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9a983234c1b7de46/Documents/flipkart project/"/>
    </mc:Choice>
  </mc:AlternateContent>
  <xr:revisionPtr revIDLastSave="13" documentId="6_{5BBE44B0-7E15-43E6-ABAA-088AAE949EF9}" xr6:coauthVersionLast="47" xr6:coauthVersionMax="47" xr10:uidLastSave="{3A46300D-F63E-4EBA-B3EC-B385BD629473}"/>
  <bookViews>
    <workbookView xWindow="-108" yWindow="-108" windowWidth="23256" windowHeight="12456" xr2:uid="{14CC37A2-F648-4E82-A299-667F54C1A895}"/>
  </bookViews>
  <sheets>
    <sheet name="Dashboard" sheetId="11" r:id="rId1"/>
    <sheet name="Pivot_Analysis" sheetId="12" r:id="rId2"/>
    <sheet name="Calculations" sheetId="6" r:id="rId3"/>
    <sheet name="Data_Quality" sheetId="5" r:id="rId4"/>
    <sheet name="Cleaned_Data" sheetId="3" r:id="rId5"/>
    <sheet name="Raw_Data" sheetId="2" r:id="rId6"/>
  </sheets>
  <definedNames>
    <definedName name="ExternalData_1" localSheetId="4" hidden="1">Cleaned_Data!$A$1:$O$1001</definedName>
    <definedName name="ExternalData_1" localSheetId="5" hidden="1">Raw_Data!$A$1:$O$1001</definedName>
    <definedName name="Slicer_Category">#N/A</definedName>
    <definedName name="Slicer_Customer_Segment">#N/A</definedName>
    <definedName name="Slicer_Payment_Method">#N/A</definedName>
    <definedName name="Slicer_Region">#N/A</definedName>
    <definedName name="Slicer_Year">#N/A</definedName>
  </definedNames>
  <calcPr calcId="191029"/>
  <pivotCaches>
    <pivotCache cacheId="11"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5" i="11" l="1"/>
  <c r="M5" i="11"/>
  <c r="J5" i="11"/>
  <c r="G5" i="11"/>
  <c r="D5" i="11"/>
  <c r="A5" i="11"/>
  <c r="Z3" i="3"/>
  <c r="Z4" i="3"/>
  <c r="Z5" i="3"/>
  <c r="Z6" i="3"/>
  <c r="Z7" i="3"/>
  <c r="Z8" i="3"/>
  <c r="Z9" i="3"/>
  <c r="Z10" i="3"/>
  <c r="Z11" i="3"/>
  <c r="Z12" i="3"/>
  <c r="Z13" i="3"/>
  <c r="Z14" i="3"/>
  <c r="Z15" i="3"/>
  <c r="Z16" i="3"/>
  <c r="Z17" i="3"/>
  <c r="Z18" i="3"/>
  <c r="Z19" i="3"/>
  <c r="Z20" i="3"/>
  <c r="Z21" i="3"/>
  <c r="Z22" i="3"/>
  <c r="Z23" i="3"/>
  <c r="Z24" i="3"/>
  <c r="Z25" i="3"/>
  <c r="Z26" i="3"/>
  <c r="Z27" i="3"/>
  <c r="Z28" i="3"/>
  <c r="Z29" i="3"/>
  <c r="Z30" i="3"/>
  <c r="Z31" i="3"/>
  <c r="Z32" i="3"/>
  <c r="Z33" i="3"/>
  <c r="Z34" i="3"/>
  <c r="Z35" i="3"/>
  <c r="Z36" i="3"/>
  <c r="Z37" i="3"/>
  <c r="Z38" i="3"/>
  <c r="Z39" i="3"/>
  <c r="Z40" i="3"/>
  <c r="Z41" i="3"/>
  <c r="Z42" i="3"/>
  <c r="Z43" i="3"/>
  <c r="Z44" i="3"/>
  <c r="Z45" i="3"/>
  <c r="Z46" i="3"/>
  <c r="Z47" i="3"/>
  <c r="Z48" i="3"/>
  <c r="Z49" i="3"/>
  <c r="Z50" i="3"/>
  <c r="Z51" i="3"/>
  <c r="Z52" i="3"/>
  <c r="Z53" i="3"/>
  <c r="Z54" i="3"/>
  <c r="Z55" i="3"/>
  <c r="Z56" i="3"/>
  <c r="Z57" i="3"/>
  <c r="Z58" i="3"/>
  <c r="Z59" i="3"/>
  <c r="Z60" i="3"/>
  <c r="Z61" i="3"/>
  <c r="Z62" i="3"/>
  <c r="Z63" i="3"/>
  <c r="Z64" i="3"/>
  <c r="Z65" i="3"/>
  <c r="Z66" i="3"/>
  <c r="Z67" i="3"/>
  <c r="Z68" i="3"/>
  <c r="Z69" i="3"/>
  <c r="Z70" i="3"/>
  <c r="Z71" i="3"/>
  <c r="Z72" i="3"/>
  <c r="Z73" i="3"/>
  <c r="Z74" i="3"/>
  <c r="Z75" i="3"/>
  <c r="Z76" i="3"/>
  <c r="Z77" i="3"/>
  <c r="Z78" i="3"/>
  <c r="Z79" i="3"/>
  <c r="Z80" i="3"/>
  <c r="Z81" i="3"/>
  <c r="Z82" i="3"/>
  <c r="Z83" i="3"/>
  <c r="Z84" i="3"/>
  <c r="Z85" i="3"/>
  <c r="Z86" i="3"/>
  <c r="Z87" i="3"/>
  <c r="Z88" i="3"/>
  <c r="Z89" i="3"/>
  <c r="Z90" i="3"/>
  <c r="Z91" i="3"/>
  <c r="Z92" i="3"/>
  <c r="Z93" i="3"/>
  <c r="Z94" i="3"/>
  <c r="Z95" i="3"/>
  <c r="Z96" i="3"/>
  <c r="Z97" i="3"/>
  <c r="Z98" i="3"/>
  <c r="Z99" i="3"/>
  <c r="Z100" i="3"/>
  <c r="Z101" i="3"/>
  <c r="Z102" i="3"/>
  <c r="Z103" i="3"/>
  <c r="Z104" i="3"/>
  <c r="Z105" i="3"/>
  <c r="Z106" i="3"/>
  <c r="Z107" i="3"/>
  <c r="Z108" i="3"/>
  <c r="Z109" i="3"/>
  <c r="Z110" i="3"/>
  <c r="Z111" i="3"/>
  <c r="Z112" i="3"/>
  <c r="Z113" i="3"/>
  <c r="Z114" i="3"/>
  <c r="Z115" i="3"/>
  <c r="Z116" i="3"/>
  <c r="Z117" i="3"/>
  <c r="Z118" i="3"/>
  <c r="Z119" i="3"/>
  <c r="Z120" i="3"/>
  <c r="Z121" i="3"/>
  <c r="Z122" i="3"/>
  <c r="Z123" i="3"/>
  <c r="Z124" i="3"/>
  <c r="Z125" i="3"/>
  <c r="Z126" i="3"/>
  <c r="Z127" i="3"/>
  <c r="Z128" i="3"/>
  <c r="Z129" i="3"/>
  <c r="Z130" i="3"/>
  <c r="Z131" i="3"/>
  <c r="Z132" i="3"/>
  <c r="Z133" i="3"/>
  <c r="Z134" i="3"/>
  <c r="Z135" i="3"/>
  <c r="Z136" i="3"/>
  <c r="Z137" i="3"/>
  <c r="Z138" i="3"/>
  <c r="Z139" i="3"/>
  <c r="Z140" i="3"/>
  <c r="Z141" i="3"/>
  <c r="Z142" i="3"/>
  <c r="Z143" i="3"/>
  <c r="Z144" i="3"/>
  <c r="Z145" i="3"/>
  <c r="Z146" i="3"/>
  <c r="Z147" i="3"/>
  <c r="Z148" i="3"/>
  <c r="Z149" i="3"/>
  <c r="Z150" i="3"/>
  <c r="Z151" i="3"/>
  <c r="Z152" i="3"/>
  <c r="Z153" i="3"/>
  <c r="Z154" i="3"/>
  <c r="Z155" i="3"/>
  <c r="Z156" i="3"/>
  <c r="Z157" i="3"/>
  <c r="Z158" i="3"/>
  <c r="Z159" i="3"/>
  <c r="Z160" i="3"/>
  <c r="Z161" i="3"/>
  <c r="Z162" i="3"/>
  <c r="Z163" i="3"/>
  <c r="Z164" i="3"/>
  <c r="Z165" i="3"/>
  <c r="Z166" i="3"/>
  <c r="Z167" i="3"/>
  <c r="Z168" i="3"/>
  <c r="Z169" i="3"/>
  <c r="Z170" i="3"/>
  <c r="Z171" i="3"/>
  <c r="Z172" i="3"/>
  <c r="Z173" i="3"/>
  <c r="Z174" i="3"/>
  <c r="Z175" i="3"/>
  <c r="Z176" i="3"/>
  <c r="Z177" i="3"/>
  <c r="Z178" i="3"/>
  <c r="Z179" i="3"/>
  <c r="Z180" i="3"/>
  <c r="Z181" i="3"/>
  <c r="Z182" i="3"/>
  <c r="Z183" i="3"/>
  <c r="Z184" i="3"/>
  <c r="Z185" i="3"/>
  <c r="Z186" i="3"/>
  <c r="Z187" i="3"/>
  <c r="Z188" i="3"/>
  <c r="Z189" i="3"/>
  <c r="Z190" i="3"/>
  <c r="Z191" i="3"/>
  <c r="Z192" i="3"/>
  <c r="Z193" i="3"/>
  <c r="Z194" i="3"/>
  <c r="Z195" i="3"/>
  <c r="Z196" i="3"/>
  <c r="Z197" i="3"/>
  <c r="Z198" i="3"/>
  <c r="Z199" i="3"/>
  <c r="Z200" i="3"/>
  <c r="Z201" i="3"/>
  <c r="Z202" i="3"/>
  <c r="Z203" i="3"/>
  <c r="Z204" i="3"/>
  <c r="Z205" i="3"/>
  <c r="Z206" i="3"/>
  <c r="Z207" i="3"/>
  <c r="Z208" i="3"/>
  <c r="Z209" i="3"/>
  <c r="Z210" i="3"/>
  <c r="Z211" i="3"/>
  <c r="Z212" i="3"/>
  <c r="Z213" i="3"/>
  <c r="Z214" i="3"/>
  <c r="Z215" i="3"/>
  <c r="Z216" i="3"/>
  <c r="Z217" i="3"/>
  <c r="Z218" i="3"/>
  <c r="Z219" i="3"/>
  <c r="Z220" i="3"/>
  <c r="Z221" i="3"/>
  <c r="Z222" i="3"/>
  <c r="Z223" i="3"/>
  <c r="Z224" i="3"/>
  <c r="Z225" i="3"/>
  <c r="Z226" i="3"/>
  <c r="Z227" i="3"/>
  <c r="Z228" i="3"/>
  <c r="Z229" i="3"/>
  <c r="Z230" i="3"/>
  <c r="Z231" i="3"/>
  <c r="Z232" i="3"/>
  <c r="Z233" i="3"/>
  <c r="Z234" i="3"/>
  <c r="Z235" i="3"/>
  <c r="Z236" i="3"/>
  <c r="Z237" i="3"/>
  <c r="Z238" i="3"/>
  <c r="Z239" i="3"/>
  <c r="Z240" i="3"/>
  <c r="Z241" i="3"/>
  <c r="Z242" i="3"/>
  <c r="Z243" i="3"/>
  <c r="Z244" i="3"/>
  <c r="Z245" i="3"/>
  <c r="Z246" i="3"/>
  <c r="Z247" i="3"/>
  <c r="Z248" i="3"/>
  <c r="Z249" i="3"/>
  <c r="Z250" i="3"/>
  <c r="Z251" i="3"/>
  <c r="Z252" i="3"/>
  <c r="Z253" i="3"/>
  <c r="Z254" i="3"/>
  <c r="Z255" i="3"/>
  <c r="Z256" i="3"/>
  <c r="Z257" i="3"/>
  <c r="Z258" i="3"/>
  <c r="Z259" i="3"/>
  <c r="Z260" i="3"/>
  <c r="Z261" i="3"/>
  <c r="Z262" i="3"/>
  <c r="Z263" i="3"/>
  <c r="Z264" i="3"/>
  <c r="Z265" i="3"/>
  <c r="Z266" i="3"/>
  <c r="Z267" i="3"/>
  <c r="Z268" i="3"/>
  <c r="Z269" i="3"/>
  <c r="Z270" i="3"/>
  <c r="Z271" i="3"/>
  <c r="Z272" i="3"/>
  <c r="Z273" i="3"/>
  <c r="Z274" i="3"/>
  <c r="Z275" i="3"/>
  <c r="Z276" i="3"/>
  <c r="Z277" i="3"/>
  <c r="Z278" i="3"/>
  <c r="Z279" i="3"/>
  <c r="Z280" i="3"/>
  <c r="Z281" i="3"/>
  <c r="Z282" i="3"/>
  <c r="Z283" i="3"/>
  <c r="Z284" i="3"/>
  <c r="Z285" i="3"/>
  <c r="Z286" i="3"/>
  <c r="Z287" i="3"/>
  <c r="Z288" i="3"/>
  <c r="Z289" i="3"/>
  <c r="Z290" i="3"/>
  <c r="Z291" i="3"/>
  <c r="Z292" i="3"/>
  <c r="Z293" i="3"/>
  <c r="Z294" i="3"/>
  <c r="Z295" i="3"/>
  <c r="Z296" i="3"/>
  <c r="Z297" i="3"/>
  <c r="Z298" i="3"/>
  <c r="Z299" i="3"/>
  <c r="Z300" i="3"/>
  <c r="Z301" i="3"/>
  <c r="Z302" i="3"/>
  <c r="Z303" i="3"/>
  <c r="Z304" i="3"/>
  <c r="Z305" i="3"/>
  <c r="Z306" i="3"/>
  <c r="Z307" i="3"/>
  <c r="Z308" i="3"/>
  <c r="Z309" i="3"/>
  <c r="Z310" i="3"/>
  <c r="Z311" i="3"/>
  <c r="Z312" i="3"/>
  <c r="Z313" i="3"/>
  <c r="Z314" i="3"/>
  <c r="Z315" i="3"/>
  <c r="Z316" i="3"/>
  <c r="Z317" i="3"/>
  <c r="Z318" i="3"/>
  <c r="Z319" i="3"/>
  <c r="Z320" i="3"/>
  <c r="Z321" i="3"/>
  <c r="Z322" i="3"/>
  <c r="Z323" i="3"/>
  <c r="Z324" i="3"/>
  <c r="Z325" i="3"/>
  <c r="Z326" i="3"/>
  <c r="Z327" i="3"/>
  <c r="Z328" i="3"/>
  <c r="Z329" i="3"/>
  <c r="Z330" i="3"/>
  <c r="Z331" i="3"/>
  <c r="Z332" i="3"/>
  <c r="Z333" i="3"/>
  <c r="Z334" i="3"/>
  <c r="Z335" i="3"/>
  <c r="Z336" i="3"/>
  <c r="Z337" i="3"/>
  <c r="Z338" i="3"/>
  <c r="Z339" i="3"/>
  <c r="Z340" i="3"/>
  <c r="Z341" i="3"/>
  <c r="Z342" i="3"/>
  <c r="Z343" i="3"/>
  <c r="Z344" i="3"/>
  <c r="Z345" i="3"/>
  <c r="Z346" i="3"/>
  <c r="Z347" i="3"/>
  <c r="Z348" i="3"/>
  <c r="Z349" i="3"/>
  <c r="Z350" i="3"/>
  <c r="Z351" i="3"/>
  <c r="Z352" i="3"/>
  <c r="Z353" i="3"/>
  <c r="Z354" i="3"/>
  <c r="Z355" i="3"/>
  <c r="Z356" i="3"/>
  <c r="Z357" i="3"/>
  <c r="Z358" i="3"/>
  <c r="Z359" i="3"/>
  <c r="Z360" i="3"/>
  <c r="Z361" i="3"/>
  <c r="Z362" i="3"/>
  <c r="Z363" i="3"/>
  <c r="Z364" i="3"/>
  <c r="Z365" i="3"/>
  <c r="Z366" i="3"/>
  <c r="Z367" i="3"/>
  <c r="Z368" i="3"/>
  <c r="Z369" i="3"/>
  <c r="Z370" i="3"/>
  <c r="Z371" i="3"/>
  <c r="Z372" i="3"/>
  <c r="Z373" i="3"/>
  <c r="Z374" i="3"/>
  <c r="Z375" i="3"/>
  <c r="Z376" i="3"/>
  <c r="Z377" i="3"/>
  <c r="Z378" i="3"/>
  <c r="Z379" i="3"/>
  <c r="Z380" i="3"/>
  <c r="Z381" i="3"/>
  <c r="Z382" i="3"/>
  <c r="Z383" i="3"/>
  <c r="Z384" i="3"/>
  <c r="Z385" i="3"/>
  <c r="Z386" i="3"/>
  <c r="Z387" i="3"/>
  <c r="Z388" i="3"/>
  <c r="Z389" i="3"/>
  <c r="Z390" i="3"/>
  <c r="Z391" i="3"/>
  <c r="Z392" i="3"/>
  <c r="Z393" i="3"/>
  <c r="Z394" i="3"/>
  <c r="Z395" i="3"/>
  <c r="Z396" i="3"/>
  <c r="Z397" i="3"/>
  <c r="Z398" i="3"/>
  <c r="Z399" i="3"/>
  <c r="Z400" i="3"/>
  <c r="Z401" i="3"/>
  <c r="Z402" i="3"/>
  <c r="Z403" i="3"/>
  <c r="Z404" i="3"/>
  <c r="Z405" i="3"/>
  <c r="Z406" i="3"/>
  <c r="Z407" i="3"/>
  <c r="Z408" i="3"/>
  <c r="Z409" i="3"/>
  <c r="Z410" i="3"/>
  <c r="Z411" i="3"/>
  <c r="Z412" i="3"/>
  <c r="Z413" i="3"/>
  <c r="Z414" i="3"/>
  <c r="Z415" i="3"/>
  <c r="Z416" i="3"/>
  <c r="Z417" i="3"/>
  <c r="Z418" i="3"/>
  <c r="Z419" i="3"/>
  <c r="Z420" i="3"/>
  <c r="Z421" i="3"/>
  <c r="Z422" i="3"/>
  <c r="Z423" i="3"/>
  <c r="Z424" i="3"/>
  <c r="Z425" i="3"/>
  <c r="Z426" i="3"/>
  <c r="Z427" i="3"/>
  <c r="Z428" i="3"/>
  <c r="Z429" i="3"/>
  <c r="Z430" i="3"/>
  <c r="Z431" i="3"/>
  <c r="Z432" i="3"/>
  <c r="Z433" i="3"/>
  <c r="Z434" i="3"/>
  <c r="Z435" i="3"/>
  <c r="Z436" i="3"/>
  <c r="Z437" i="3"/>
  <c r="Z438" i="3"/>
  <c r="Z439" i="3"/>
  <c r="Z440" i="3"/>
  <c r="Z441" i="3"/>
  <c r="Z442" i="3"/>
  <c r="Z443" i="3"/>
  <c r="Z444" i="3"/>
  <c r="Z445" i="3"/>
  <c r="Z446" i="3"/>
  <c r="Z447" i="3"/>
  <c r="Z448" i="3"/>
  <c r="Z449" i="3"/>
  <c r="Z450" i="3"/>
  <c r="Z451" i="3"/>
  <c r="Z452" i="3"/>
  <c r="Z453" i="3"/>
  <c r="Z454" i="3"/>
  <c r="Z455" i="3"/>
  <c r="Z456" i="3"/>
  <c r="Z457" i="3"/>
  <c r="Z458" i="3"/>
  <c r="Z459" i="3"/>
  <c r="Z460" i="3"/>
  <c r="Z461" i="3"/>
  <c r="Z462" i="3"/>
  <c r="Z463" i="3"/>
  <c r="Z464" i="3"/>
  <c r="Z465" i="3"/>
  <c r="Z466" i="3"/>
  <c r="Z467" i="3"/>
  <c r="Z468" i="3"/>
  <c r="Z469" i="3"/>
  <c r="Z470" i="3"/>
  <c r="Z471" i="3"/>
  <c r="Z472" i="3"/>
  <c r="Z473" i="3"/>
  <c r="Z474" i="3"/>
  <c r="Z475" i="3"/>
  <c r="Z476" i="3"/>
  <c r="Z477" i="3"/>
  <c r="Z478" i="3"/>
  <c r="Z479" i="3"/>
  <c r="Z480" i="3"/>
  <c r="Z481" i="3"/>
  <c r="Z482" i="3"/>
  <c r="Z483" i="3"/>
  <c r="Z484" i="3"/>
  <c r="Z485" i="3"/>
  <c r="Z486" i="3"/>
  <c r="Z487" i="3"/>
  <c r="Z488" i="3"/>
  <c r="Z489" i="3"/>
  <c r="Z490" i="3"/>
  <c r="Z491" i="3"/>
  <c r="Z492" i="3"/>
  <c r="Z493" i="3"/>
  <c r="Z494" i="3"/>
  <c r="Z495" i="3"/>
  <c r="Z496" i="3"/>
  <c r="Z497" i="3"/>
  <c r="Z498" i="3"/>
  <c r="Z499" i="3"/>
  <c r="Z500" i="3"/>
  <c r="Z501" i="3"/>
  <c r="Z502" i="3"/>
  <c r="Z503" i="3"/>
  <c r="Z504" i="3"/>
  <c r="Z505" i="3"/>
  <c r="Z506" i="3"/>
  <c r="Z507" i="3"/>
  <c r="Z508" i="3"/>
  <c r="Z509" i="3"/>
  <c r="Z510" i="3"/>
  <c r="Z511" i="3"/>
  <c r="Z512" i="3"/>
  <c r="Z513" i="3"/>
  <c r="Z514" i="3"/>
  <c r="Z515" i="3"/>
  <c r="Z516" i="3"/>
  <c r="Z517" i="3"/>
  <c r="Z518" i="3"/>
  <c r="Z519" i="3"/>
  <c r="Z520" i="3"/>
  <c r="Z521" i="3"/>
  <c r="Z522" i="3"/>
  <c r="Z523" i="3"/>
  <c r="Z524" i="3"/>
  <c r="Z525" i="3"/>
  <c r="Z526" i="3"/>
  <c r="Z527" i="3"/>
  <c r="Z528" i="3"/>
  <c r="Z529" i="3"/>
  <c r="Z530" i="3"/>
  <c r="Z531" i="3"/>
  <c r="Z532" i="3"/>
  <c r="Z533" i="3"/>
  <c r="Z534" i="3"/>
  <c r="Z535" i="3"/>
  <c r="Z536" i="3"/>
  <c r="Z537" i="3"/>
  <c r="Z538" i="3"/>
  <c r="Z539" i="3"/>
  <c r="Z540" i="3"/>
  <c r="Z541" i="3"/>
  <c r="Z542" i="3"/>
  <c r="Z543" i="3"/>
  <c r="Z544" i="3"/>
  <c r="Z545" i="3"/>
  <c r="Z546" i="3"/>
  <c r="Z547" i="3"/>
  <c r="Z548" i="3"/>
  <c r="Z549" i="3"/>
  <c r="Z550" i="3"/>
  <c r="Z551" i="3"/>
  <c r="Z552" i="3"/>
  <c r="Z553" i="3"/>
  <c r="Z554" i="3"/>
  <c r="Z555" i="3"/>
  <c r="Z556" i="3"/>
  <c r="Z557" i="3"/>
  <c r="Z558" i="3"/>
  <c r="Z559" i="3"/>
  <c r="Z560" i="3"/>
  <c r="Z561" i="3"/>
  <c r="Z562" i="3"/>
  <c r="Z563" i="3"/>
  <c r="Z564" i="3"/>
  <c r="Z565" i="3"/>
  <c r="Z566" i="3"/>
  <c r="Z567" i="3"/>
  <c r="Z568" i="3"/>
  <c r="Z569" i="3"/>
  <c r="Z570" i="3"/>
  <c r="Z571" i="3"/>
  <c r="Z572" i="3"/>
  <c r="Z573" i="3"/>
  <c r="Z574" i="3"/>
  <c r="Z575" i="3"/>
  <c r="Z576" i="3"/>
  <c r="Z577" i="3"/>
  <c r="Z578" i="3"/>
  <c r="Z579" i="3"/>
  <c r="Z580" i="3"/>
  <c r="Z581" i="3"/>
  <c r="Z582" i="3"/>
  <c r="Z583" i="3"/>
  <c r="Z584" i="3"/>
  <c r="Z585" i="3"/>
  <c r="Z586" i="3"/>
  <c r="Z587" i="3"/>
  <c r="Z588" i="3"/>
  <c r="Z589" i="3"/>
  <c r="Z590" i="3"/>
  <c r="Z591" i="3"/>
  <c r="Z592" i="3"/>
  <c r="Z593" i="3"/>
  <c r="Z594" i="3"/>
  <c r="Z595" i="3"/>
  <c r="Z596" i="3"/>
  <c r="Z597" i="3"/>
  <c r="Z598" i="3"/>
  <c r="Z599" i="3"/>
  <c r="Z600" i="3"/>
  <c r="Z601" i="3"/>
  <c r="Z602" i="3"/>
  <c r="Z603" i="3"/>
  <c r="Z604" i="3"/>
  <c r="Z605" i="3"/>
  <c r="Z606" i="3"/>
  <c r="Z607" i="3"/>
  <c r="Z608" i="3"/>
  <c r="Z609" i="3"/>
  <c r="Z610" i="3"/>
  <c r="Z611" i="3"/>
  <c r="Z612" i="3"/>
  <c r="Z613" i="3"/>
  <c r="Z614" i="3"/>
  <c r="Z615" i="3"/>
  <c r="Z616" i="3"/>
  <c r="Z617" i="3"/>
  <c r="Z618" i="3"/>
  <c r="Z619" i="3"/>
  <c r="Z620" i="3"/>
  <c r="Z621" i="3"/>
  <c r="Z622" i="3"/>
  <c r="Z623" i="3"/>
  <c r="Z624" i="3"/>
  <c r="Z625" i="3"/>
  <c r="Z626" i="3"/>
  <c r="Z627" i="3"/>
  <c r="Z628" i="3"/>
  <c r="Z629" i="3"/>
  <c r="Z630" i="3"/>
  <c r="Z631" i="3"/>
  <c r="Z632" i="3"/>
  <c r="Z633" i="3"/>
  <c r="Z634" i="3"/>
  <c r="Z635" i="3"/>
  <c r="Z636" i="3"/>
  <c r="Z637" i="3"/>
  <c r="Z638" i="3"/>
  <c r="Z639" i="3"/>
  <c r="Z640" i="3"/>
  <c r="Z641" i="3"/>
  <c r="Z642" i="3"/>
  <c r="Z643" i="3"/>
  <c r="Z644" i="3"/>
  <c r="Z645" i="3"/>
  <c r="Z646" i="3"/>
  <c r="Z647" i="3"/>
  <c r="Z648" i="3"/>
  <c r="Z649" i="3"/>
  <c r="Z650" i="3"/>
  <c r="Z651" i="3"/>
  <c r="Z652" i="3"/>
  <c r="Z653" i="3"/>
  <c r="Z654" i="3"/>
  <c r="Z655" i="3"/>
  <c r="Z656" i="3"/>
  <c r="Z657" i="3"/>
  <c r="Z658" i="3"/>
  <c r="Z659" i="3"/>
  <c r="Z660" i="3"/>
  <c r="Z661" i="3"/>
  <c r="Z662" i="3"/>
  <c r="Z663" i="3"/>
  <c r="Z664" i="3"/>
  <c r="Z665" i="3"/>
  <c r="Z666" i="3"/>
  <c r="Z667" i="3"/>
  <c r="Z668" i="3"/>
  <c r="Z669" i="3"/>
  <c r="Z670" i="3"/>
  <c r="Z671" i="3"/>
  <c r="Z672" i="3"/>
  <c r="Z673" i="3"/>
  <c r="Z674" i="3"/>
  <c r="Z675" i="3"/>
  <c r="Z676" i="3"/>
  <c r="Z677" i="3"/>
  <c r="Z678" i="3"/>
  <c r="Z679" i="3"/>
  <c r="Z680" i="3"/>
  <c r="Z681" i="3"/>
  <c r="Z682" i="3"/>
  <c r="Z683" i="3"/>
  <c r="Z684" i="3"/>
  <c r="Z685" i="3"/>
  <c r="Z686" i="3"/>
  <c r="Z687" i="3"/>
  <c r="Z688" i="3"/>
  <c r="Z689" i="3"/>
  <c r="Z690" i="3"/>
  <c r="Z691" i="3"/>
  <c r="Z692" i="3"/>
  <c r="Z693" i="3"/>
  <c r="Z694" i="3"/>
  <c r="Z695" i="3"/>
  <c r="Z696" i="3"/>
  <c r="Z697" i="3"/>
  <c r="Z698" i="3"/>
  <c r="Z699" i="3"/>
  <c r="Z700" i="3"/>
  <c r="Z701" i="3"/>
  <c r="Z702" i="3"/>
  <c r="Z703" i="3"/>
  <c r="Z704" i="3"/>
  <c r="Z705" i="3"/>
  <c r="Z706" i="3"/>
  <c r="Z707" i="3"/>
  <c r="Z708" i="3"/>
  <c r="Z709" i="3"/>
  <c r="Z710" i="3"/>
  <c r="Z711" i="3"/>
  <c r="Z712" i="3"/>
  <c r="Z713" i="3"/>
  <c r="Z714" i="3"/>
  <c r="Z715" i="3"/>
  <c r="Z716" i="3"/>
  <c r="Z717" i="3"/>
  <c r="Z718" i="3"/>
  <c r="Z719" i="3"/>
  <c r="Z720" i="3"/>
  <c r="Z721" i="3"/>
  <c r="Z722" i="3"/>
  <c r="Z723" i="3"/>
  <c r="Z724" i="3"/>
  <c r="Z725" i="3"/>
  <c r="Z726" i="3"/>
  <c r="Z727" i="3"/>
  <c r="Z728" i="3"/>
  <c r="Z729" i="3"/>
  <c r="Z730" i="3"/>
  <c r="Z731" i="3"/>
  <c r="Z732" i="3"/>
  <c r="Z733" i="3"/>
  <c r="Z734" i="3"/>
  <c r="Z735" i="3"/>
  <c r="Z736" i="3"/>
  <c r="Z737" i="3"/>
  <c r="Z738" i="3"/>
  <c r="Z739" i="3"/>
  <c r="Z740" i="3"/>
  <c r="Z741" i="3"/>
  <c r="Z742" i="3"/>
  <c r="Z743" i="3"/>
  <c r="Z744" i="3"/>
  <c r="Z745" i="3"/>
  <c r="Z746" i="3"/>
  <c r="Z747" i="3"/>
  <c r="Z748" i="3"/>
  <c r="Z749" i="3"/>
  <c r="Z750" i="3"/>
  <c r="Z751" i="3"/>
  <c r="Z752" i="3"/>
  <c r="Z753" i="3"/>
  <c r="Z754" i="3"/>
  <c r="Z755" i="3"/>
  <c r="Z756" i="3"/>
  <c r="Z757" i="3"/>
  <c r="Z758" i="3"/>
  <c r="Z759" i="3"/>
  <c r="Z760" i="3"/>
  <c r="Z761" i="3"/>
  <c r="Z762" i="3"/>
  <c r="Z763" i="3"/>
  <c r="Z764" i="3"/>
  <c r="Z765" i="3"/>
  <c r="Z766" i="3"/>
  <c r="Z767" i="3"/>
  <c r="Z768" i="3"/>
  <c r="Z769" i="3"/>
  <c r="Z770" i="3"/>
  <c r="Z771" i="3"/>
  <c r="Z772" i="3"/>
  <c r="Z773" i="3"/>
  <c r="Z774" i="3"/>
  <c r="Z775" i="3"/>
  <c r="Z776" i="3"/>
  <c r="Z777" i="3"/>
  <c r="Z778" i="3"/>
  <c r="Z779" i="3"/>
  <c r="Z780" i="3"/>
  <c r="Z781" i="3"/>
  <c r="Z782" i="3"/>
  <c r="Z783" i="3"/>
  <c r="Z784" i="3"/>
  <c r="Z785" i="3"/>
  <c r="Z786" i="3"/>
  <c r="Z787" i="3"/>
  <c r="Z788" i="3"/>
  <c r="Z789" i="3"/>
  <c r="Z790" i="3"/>
  <c r="Z791" i="3"/>
  <c r="Z792" i="3"/>
  <c r="Z793" i="3"/>
  <c r="Z794" i="3"/>
  <c r="Z795" i="3"/>
  <c r="Z796" i="3"/>
  <c r="Z797" i="3"/>
  <c r="Z798" i="3"/>
  <c r="Z799" i="3"/>
  <c r="Z800" i="3"/>
  <c r="Z801" i="3"/>
  <c r="Z802" i="3"/>
  <c r="Z803" i="3"/>
  <c r="Z804" i="3"/>
  <c r="Z805" i="3"/>
  <c r="Z806" i="3"/>
  <c r="Z807" i="3"/>
  <c r="Z808" i="3"/>
  <c r="Z809" i="3"/>
  <c r="Z810" i="3"/>
  <c r="Z811" i="3"/>
  <c r="Z812" i="3"/>
  <c r="Z813" i="3"/>
  <c r="Z814" i="3"/>
  <c r="Z815" i="3"/>
  <c r="Z816" i="3"/>
  <c r="Z817" i="3"/>
  <c r="Z818" i="3"/>
  <c r="Z819" i="3"/>
  <c r="Z820" i="3"/>
  <c r="Z821" i="3"/>
  <c r="Z822" i="3"/>
  <c r="Z823" i="3"/>
  <c r="Z824" i="3"/>
  <c r="Z825" i="3"/>
  <c r="Z826" i="3"/>
  <c r="Z827" i="3"/>
  <c r="Z828" i="3"/>
  <c r="Z829" i="3"/>
  <c r="Z830" i="3"/>
  <c r="Z831" i="3"/>
  <c r="Z832" i="3"/>
  <c r="Z833" i="3"/>
  <c r="Z834" i="3"/>
  <c r="Z835" i="3"/>
  <c r="Z836" i="3"/>
  <c r="Z837" i="3"/>
  <c r="Z838" i="3"/>
  <c r="Z839" i="3"/>
  <c r="Z840" i="3"/>
  <c r="Z841" i="3"/>
  <c r="Z842" i="3"/>
  <c r="Z843" i="3"/>
  <c r="Z844" i="3"/>
  <c r="Z845" i="3"/>
  <c r="Z846" i="3"/>
  <c r="Z847" i="3"/>
  <c r="Z848" i="3"/>
  <c r="Z849" i="3"/>
  <c r="Z850" i="3"/>
  <c r="Z851" i="3"/>
  <c r="Z852" i="3"/>
  <c r="Z853" i="3"/>
  <c r="Z854" i="3"/>
  <c r="Z855" i="3"/>
  <c r="Z856" i="3"/>
  <c r="Z857" i="3"/>
  <c r="Z858" i="3"/>
  <c r="Z859" i="3"/>
  <c r="Z860" i="3"/>
  <c r="Z861" i="3"/>
  <c r="Z862" i="3"/>
  <c r="Z863" i="3"/>
  <c r="Z864" i="3"/>
  <c r="Z865" i="3"/>
  <c r="Z866" i="3"/>
  <c r="Z867" i="3"/>
  <c r="Z868" i="3"/>
  <c r="Z869" i="3"/>
  <c r="Z870" i="3"/>
  <c r="Z871" i="3"/>
  <c r="Z872" i="3"/>
  <c r="Z873" i="3"/>
  <c r="Z874" i="3"/>
  <c r="Z875" i="3"/>
  <c r="Z876" i="3"/>
  <c r="Z877" i="3"/>
  <c r="Z878" i="3"/>
  <c r="Z879" i="3"/>
  <c r="Z880" i="3"/>
  <c r="Z881" i="3"/>
  <c r="Z882" i="3"/>
  <c r="Z883" i="3"/>
  <c r="Z884" i="3"/>
  <c r="Z885" i="3"/>
  <c r="Z886" i="3"/>
  <c r="Z887" i="3"/>
  <c r="Z888" i="3"/>
  <c r="Z889" i="3"/>
  <c r="Z890" i="3"/>
  <c r="Z891" i="3"/>
  <c r="Z892" i="3"/>
  <c r="Z893" i="3"/>
  <c r="Z894" i="3"/>
  <c r="Z895" i="3"/>
  <c r="Z896" i="3"/>
  <c r="Z897" i="3"/>
  <c r="Z898" i="3"/>
  <c r="Z899" i="3"/>
  <c r="Z900" i="3"/>
  <c r="Z901" i="3"/>
  <c r="Z902" i="3"/>
  <c r="Z903" i="3"/>
  <c r="Z904" i="3"/>
  <c r="Z905" i="3"/>
  <c r="Z906" i="3"/>
  <c r="Z907" i="3"/>
  <c r="Z908" i="3"/>
  <c r="Z909" i="3"/>
  <c r="Z910" i="3"/>
  <c r="Z911" i="3"/>
  <c r="Z912" i="3"/>
  <c r="Z913" i="3"/>
  <c r="Z914" i="3"/>
  <c r="Z915" i="3"/>
  <c r="Z916" i="3"/>
  <c r="Z917" i="3"/>
  <c r="Z918" i="3"/>
  <c r="Z919" i="3"/>
  <c r="Z920" i="3"/>
  <c r="Z921" i="3"/>
  <c r="Z922" i="3"/>
  <c r="Z923" i="3"/>
  <c r="Z924" i="3"/>
  <c r="Z925" i="3"/>
  <c r="Z926" i="3"/>
  <c r="Z927" i="3"/>
  <c r="Z928" i="3"/>
  <c r="Z929" i="3"/>
  <c r="Z930" i="3"/>
  <c r="Z931" i="3"/>
  <c r="Z932" i="3"/>
  <c r="Z933" i="3"/>
  <c r="Z934" i="3"/>
  <c r="Z935" i="3"/>
  <c r="Z936" i="3"/>
  <c r="Z937" i="3"/>
  <c r="Z938" i="3"/>
  <c r="Z939" i="3"/>
  <c r="Z940" i="3"/>
  <c r="Z941" i="3"/>
  <c r="Z942" i="3"/>
  <c r="Z943" i="3"/>
  <c r="Z944" i="3"/>
  <c r="Z945" i="3"/>
  <c r="Z946" i="3"/>
  <c r="Z947" i="3"/>
  <c r="Z948" i="3"/>
  <c r="Z949" i="3"/>
  <c r="Z950" i="3"/>
  <c r="Z951" i="3"/>
  <c r="Z952" i="3"/>
  <c r="Z953" i="3"/>
  <c r="Z954" i="3"/>
  <c r="Z955" i="3"/>
  <c r="Z956" i="3"/>
  <c r="Z957" i="3"/>
  <c r="Z958" i="3"/>
  <c r="Z959" i="3"/>
  <c r="Z960" i="3"/>
  <c r="Z961" i="3"/>
  <c r="Z962" i="3"/>
  <c r="Z963" i="3"/>
  <c r="Z964" i="3"/>
  <c r="Z965" i="3"/>
  <c r="Z966" i="3"/>
  <c r="Z967" i="3"/>
  <c r="Z968" i="3"/>
  <c r="Z969" i="3"/>
  <c r="Z970" i="3"/>
  <c r="Z971" i="3"/>
  <c r="Z972" i="3"/>
  <c r="Z973" i="3"/>
  <c r="Z974" i="3"/>
  <c r="Z975" i="3"/>
  <c r="Z976" i="3"/>
  <c r="Z977" i="3"/>
  <c r="Z978" i="3"/>
  <c r="Z979" i="3"/>
  <c r="Z980" i="3"/>
  <c r="Z981" i="3"/>
  <c r="Z982" i="3"/>
  <c r="Z983" i="3"/>
  <c r="Z984" i="3"/>
  <c r="Z985" i="3"/>
  <c r="Z986" i="3"/>
  <c r="Z987" i="3"/>
  <c r="Z988" i="3"/>
  <c r="Z989" i="3"/>
  <c r="Z990" i="3"/>
  <c r="Z991" i="3"/>
  <c r="Z992" i="3"/>
  <c r="Z993" i="3"/>
  <c r="Z994" i="3"/>
  <c r="Z995" i="3"/>
  <c r="Z996" i="3"/>
  <c r="Z997" i="3"/>
  <c r="Z998" i="3"/>
  <c r="Z999" i="3"/>
  <c r="Z1000" i="3"/>
  <c r="Z1001" i="3"/>
  <c r="Z2" i="3"/>
  <c r="P2" i="3"/>
  <c r="Q2" i="3" s="1"/>
  <c r="R2" i="3"/>
  <c r="S2" i="3"/>
  <c r="T2" i="3"/>
  <c r="U2" i="3"/>
  <c r="V2" i="3"/>
  <c r="W2" i="3"/>
  <c r="X2" i="3"/>
  <c r="Y2" i="3" s="1"/>
  <c r="P3" i="3"/>
  <c r="Q3" i="3" s="1"/>
  <c r="R3" i="3"/>
  <c r="S3" i="3"/>
  <c r="T3" i="3"/>
  <c r="U3" i="3"/>
  <c r="V3" i="3"/>
  <c r="W3" i="3"/>
  <c r="X3" i="3"/>
  <c r="Y3" i="3" s="1"/>
  <c r="P4" i="3"/>
  <c r="Q4" i="3" s="1"/>
  <c r="R4" i="3"/>
  <c r="S4" i="3"/>
  <c r="T4" i="3"/>
  <c r="U4" i="3"/>
  <c r="V4" i="3"/>
  <c r="W4" i="3"/>
  <c r="X4" i="3"/>
  <c r="Y4" i="3" s="1"/>
  <c r="P5" i="3"/>
  <c r="Q5" i="3" s="1"/>
  <c r="R5" i="3"/>
  <c r="S5" i="3"/>
  <c r="T5" i="3"/>
  <c r="U5" i="3"/>
  <c r="V5" i="3"/>
  <c r="W5" i="3"/>
  <c r="X5" i="3"/>
  <c r="Y5" i="3" s="1"/>
  <c r="P6" i="3"/>
  <c r="Q6" i="3" s="1"/>
  <c r="R6" i="3"/>
  <c r="S6" i="3"/>
  <c r="T6" i="3"/>
  <c r="U6" i="3"/>
  <c r="V6" i="3"/>
  <c r="W6" i="3"/>
  <c r="X6" i="3"/>
  <c r="Y6" i="3"/>
  <c r="P7" i="3"/>
  <c r="Q7" i="3"/>
  <c r="R7" i="3"/>
  <c r="S7" i="3"/>
  <c r="T7" i="3"/>
  <c r="U7" i="3"/>
  <c r="V7" i="3"/>
  <c r="W7" i="3"/>
  <c r="X7" i="3"/>
  <c r="Y7" i="3" s="1"/>
  <c r="P8" i="3"/>
  <c r="Q8" i="3" s="1"/>
  <c r="R8" i="3"/>
  <c r="S8" i="3"/>
  <c r="T8" i="3"/>
  <c r="U8" i="3"/>
  <c r="V8" i="3"/>
  <c r="W8" i="3"/>
  <c r="X8" i="3"/>
  <c r="Y8" i="3"/>
  <c r="P9" i="3"/>
  <c r="Q9" i="3" s="1"/>
  <c r="R9" i="3"/>
  <c r="S9" i="3"/>
  <c r="T9" i="3"/>
  <c r="U9" i="3"/>
  <c r="V9" i="3"/>
  <c r="W9" i="3"/>
  <c r="X9" i="3"/>
  <c r="Y9" i="3" s="1"/>
  <c r="P10" i="3"/>
  <c r="Q10" i="3"/>
  <c r="R10" i="3"/>
  <c r="S10" i="3"/>
  <c r="T10" i="3"/>
  <c r="U10" i="3"/>
  <c r="V10" i="3"/>
  <c r="W10" i="3"/>
  <c r="X10" i="3"/>
  <c r="Y10" i="3"/>
  <c r="P11" i="3"/>
  <c r="Q11" i="3" s="1"/>
  <c r="R11" i="3"/>
  <c r="S11" i="3"/>
  <c r="T11" i="3"/>
  <c r="U11" i="3"/>
  <c r="V11" i="3"/>
  <c r="W11" i="3"/>
  <c r="X11" i="3"/>
  <c r="Y11" i="3"/>
  <c r="P12" i="3"/>
  <c r="Q12" i="3"/>
  <c r="R12" i="3"/>
  <c r="S12" i="3"/>
  <c r="T12" i="3"/>
  <c r="U12" i="3"/>
  <c r="V12" i="3"/>
  <c r="W12" i="3"/>
  <c r="X12" i="3"/>
  <c r="Y12" i="3" s="1"/>
  <c r="P13" i="3"/>
  <c r="Q13" i="3" s="1"/>
  <c r="R13" i="3"/>
  <c r="S13" i="3"/>
  <c r="T13" i="3"/>
  <c r="U13" i="3"/>
  <c r="V13" i="3"/>
  <c r="W13" i="3"/>
  <c r="X13" i="3"/>
  <c r="Y13" i="3"/>
  <c r="P14" i="3"/>
  <c r="Q14" i="3" s="1"/>
  <c r="R14" i="3"/>
  <c r="S14" i="3"/>
  <c r="T14" i="3"/>
  <c r="U14" i="3"/>
  <c r="V14" i="3"/>
  <c r="W14" i="3"/>
  <c r="X14" i="3"/>
  <c r="Y14" i="3" s="1"/>
  <c r="P15" i="3"/>
  <c r="Q15" i="3"/>
  <c r="R15" i="3"/>
  <c r="S15" i="3"/>
  <c r="T15" i="3"/>
  <c r="U15" i="3"/>
  <c r="V15" i="3"/>
  <c r="W15" i="3"/>
  <c r="X15" i="3"/>
  <c r="Y15" i="3"/>
  <c r="P16" i="3"/>
  <c r="Q16" i="3" s="1"/>
  <c r="R16" i="3"/>
  <c r="S16" i="3"/>
  <c r="T16" i="3"/>
  <c r="U16" i="3"/>
  <c r="V16" i="3"/>
  <c r="W16" i="3"/>
  <c r="X16" i="3"/>
  <c r="Y16" i="3"/>
  <c r="P17" i="3"/>
  <c r="Q17" i="3"/>
  <c r="R17" i="3"/>
  <c r="S17" i="3"/>
  <c r="T17" i="3"/>
  <c r="U17" i="3"/>
  <c r="V17" i="3"/>
  <c r="W17" i="3"/>
  <c r="X17" i="3"/>
  <c r="Y17" i="3" s="1"/>
  <c r="P18" i="3"/>
  <c r="Q18" i="3"/>
  <c r="R18" i="3"/>
  <c r="S18" i="3"/>
  <c r="T18" i="3"/>
  <c r="U18" i="3"/>
  <c r="V18" i="3"/>
  <c r="W18" i="3"/>
  <c r="X18" i="3"/>
  <c r="Y18" i="3"/>
  <c r="P19" i="3"/>
  <c r="Q19" i="3"/>
  <c r="R19" i="3"/>
  <c r="S19" i="3"/>
  <c r="T19" i="3"/>
  <c r="U19" i="3"/>
  <c r="V19" i="3"/>
  <c r="W19" i="3"/>
  <c r="X19" i="3"/>
  <c r="Y19" i="3" s="1"/>
  <c r="P20" i="3"/>
  <c r="Q20" i="3" s="1"/>
  <c r="R20" i="3"/>
  <c r="S20" i="3"/>
  <c r="T20" i="3"/>
  <c r="U20" i="3"/>
  <c r="V20" i="3"/>
  <c r="W20" i="3"/>
  <c r="X20" i="3"/>
  <c r="Y20" i="3" s="1"/>
  <c r="P21" i="3"/>
  <c r="Q21" i="3" s="1"/>
  <c r="R21" i="3"/>
  <c r="S21" i="3"/>
  <c r="T21" i="3"/>
  <c r="U21" i="3"/>
  <c r="V21" i="3"/>
  <c r="W21" i="3"/>
  <c r="X21" i="3"/>
  <c r="Y21" i="3" s="1"/>
  <c r="P22" i="3"/>
  <c r="Q22" i="3"/>
  <c r="R22" i="3"/>
  <c r="S22" i="3"/>
  <c r="T22" i="3"/>
  <c r="U22" i="3"/>
  <c r="V22" i="3"/>
  <c r="W22" i="3"/>
  <c r="X22" i="3"/>
  <c r="Y22" i="3"/>
  <c r="P23" i="3"/>
  <c r="Q23" i="3"/>
  <c r="R23" i="3"/>
  <c r="S23" i="3"/>
  <c r="T23" i="3"/>
  <c r="U23" i="3"/>
  <c r="V23" i="3"/>
  <c r="W23" i="3"/>
  <c r="X23" i="3"/>
  <c r="Y23" i="3"/>
  <c r="P24" i="3"/>
  <c r="Q24" i="3" s="1"/>
  <c r="R24" i="3"/>
  <c r="S24" i="3"/>
  <c r="T24" i="3"/>
  <c r="U24" i="3"/>
  <c r="V24" i="3"/>
  <c r="W24" i="3"/>
  <c r="X24" i="3"/>
  <c r="Y24" i="3" s="1"/>
  <c r="P25" i="3"/>
  <c r="Q25" i="3"/>
  <c r="R25" i="3"/>
  <c r="S25" i="3"/>
  <c r="T25" i="3"/>
  <c r="U25" i="3"/>
  <c r="V25" i="3"/>
  <c r="W25" i="3"/>
  <c r="X25" i="3"/>
  <c r="Y25" i="3"/>
  <c r="P26" i="3"/>
  <c r="Q26" i="3" s="1"/>
  <c r="R26" i="3"/>
  <c r="S26" i="3"/>
  <c r="T26" i="3"/>
  <c r="U26" i="3"/>
  <c r="V26" i="3"/>
  <c r="W26" i="3"/>
  <c r="X26" i="3"/>
  <c r="Y26" i="3"/>
  <c r="P27" i="3"/>
  <c r="Q27" i="3"/>
  <c r="R27" i="3"/>
  <c r="S27" i="3"/>
  <c r="T27" i="3"/>
  <c r="U27" i="3"/>
  <c r="V27" i="3"/>
  <c r="W27" i="3"/>
  <c r="X27" i="3"/>
  <c r="Y27" i="3"/>
  <c r="P28" i="3"/>
  <c r="Q28" i="3"/>
  <c r="R28" i="3"/>
  <c r="S28" i="3"/>
  <c r="T28" i="3"/>
  <c r="U28" i="3"/>
  <c r="V28" i="3"/>
  <c r="W28" i="3"/>
  <c r="X28" i="3"/>
  <c r="Y28" i="3" s="1"/>
  <c r="P29" i="3"/>
  <c r="Q29" i="3"/>
  <c r="R29" i="3"/>
  <c r="S29" i="3"/>
  <c r="T29" i="3"/>
  <c r="U29" i="3"/>
  <c r="V29" i="3"/>
  <c r="W29" i="3"/>
  <c r="X29" i="3"/>
  <c r="Y29" i="3" s="1"/>
  <c r="P30" i="3"/>
  <c r="Q30" i="3"/>
  <c r="R30" i="3"/>
  <c r="S30" i="3"/>
  <c r="T30" i="3"/>
  <c r="U30" i="3"/>
  <c r="V30" i="3"/>
  <c r="W30" i="3"/>
  <c r="X30" i="3"/>
  <c r="Y30" i="3" s="1"/>
  <c r="P31" i="3"/>
  <c r="Q31" i="3" s="1"/>
  <c r="R31" i="3"/>
  <c r="S31" i="3"/>
  <c r="T31" i="3"/>
  <c r="U31" i="3"/>
  <c r="V31" i="3"/>
  <c r="W31" i="3"/>
  <c r="X31" i="3"/>
  <c r="Y31" i="3"/>
  <c r="P32" i="3"/>
  <c r="Q32" i="3" s="1"/>
  <c r="R32" i="3"/>
  <c r="S32" i="3"/>
  <c r="T32" i="3"/>
  <c r="U32" i="3"/>
  <c r="V32" i="3"/>
  <c r="W32" i="3"/>
  <c r="X32" i="3"/>
  <c r="Y32" i="3"/>
  <c r="P33" i="3"/>
  <c r="Q33" i="3"/>
  <c r="R33" i="3"/>
  <c r="S33" i="3"/>
  <c r="T33" i="3"/>
  <c r="U33" i="3"/>
  <c r="V33" i="3"/>
  <c r="W33" i="3"/>
  <c r="X33" i="3"/>
  <c r="Y33" i="3" s="1"/>
  <c r="P34" i="3"/>
  <c r="Q34" i="3"/>
  <c r="R34" i="3"/>
  <c r="S34" i="3"/>
  <c r="T34" i="3"/>
  <c r="U34" i="3"/>
  <c r="V34" i="3"/>
  <c r="W34" i="3"/>
  <c r="X34" i="3"/>
  <c r="Y34" i="3"/>
  <c r="P35" i="3"/>
  <c r="Q35" i="3" s="1"/>
  <c r="R35" i="3"/>
  <c r="S35" i="3"/>
  <c r="T35" i="3"/>
  <c r="U35" i="3"/>
  <c r="V35" i="3"/>
  <c r="W35" i="3"/>
  <c r="X35" i="3"/>
  <c r="Y35" i="3" s="1"/>
  <c r="P36" i="3"/>
  <c r="Q36" i="3"/>
  <c r="R36" i="3"/>
  <c r="S36" i="3"/>
  <c r="T36" i="3"/>
  <c r="U36" i="3"/>
  <c r="V36" i="3"/>
  <c r="W36" i="3"/>
  <c r="X36" i="3"/>
  <c r="Y36" i="3" s="1"/>
  <c r="P37" i="3"/>
  <c r="Q37" i="3"/>
  <c r="R37" i="3"/>
  <c r="S37" i="3"/>
  <c r="T37" i="3"/>
  <c r="U37" i="3"/>
  <c r="V37" i="3"/>
  <c r="W37" i="3"/>
  <c r="X37" i="3"/>
  <c r="Y37" i="3"/>
  <c r="P38" i="3"/>
  <c r="Q38" i="3"/>
  <c r="R38" i="3"/>
  <c r="S38" i="3"/>
  <c r="T38" i="3"/>
  <c r="U38" i="3"/>
  <c r="V38" i="3"/>
  <c r="W38" i="3"/>
  <c r="X38" i="3"/>
  <c r="Y38" i="3"/>
  <c r="P39" i="3"/>
  <c r="Q39" i="3" s="1"/>
  <c r="R39" i="3"/>
  <c r="S39" i="3"/>
  <c r="T39" i="3"/>
  <c r="U39" i="3"/>
  <c r="V39" i="3"/>
  <c r="W39" i="3"/>
  <c r="X39" i="3"/>
  <c r="Y39" i="3"/>
  <c r="P40" i="3"/>
  <c r="Q40" i="3" s="1"/>
  <c r="R40" i="3"/>
  <c r="S40" i="3"/>
  <c r="T40" i="3"/>
  <c r="U40" i="3"/>
  <c r="V40" i="3"/>
  <c r="W40" i="3"/>
  <c r="X40" i="3"/>
  <c r="Y40" i="3" s="1"/>
  <c r="P41" i="3"/>
  <c r="Q41" i="3"/>
  <c r="R41" i="3"/>
  <c r="S41" i="3"/>
  <c r="T41" i="3"/>
  <c r="U41" i="3"/>
  <c r="V41" i="3"/>
  <c r="W41" i="3"/>
  <c r="X41" i="3"/>
  <c r="Y41" i="3"/>
  <c r="P42" i="3"/>
  <c r="Q42" i="3" s="1"/>
  <c r="R42" i="3"/>
  <c r="S42" i="3"/>
  <c r="T42" i="3"/>
  <c r="U42" i="3"/>
  <c r="V42" i="3"/>
  <c r="W42" i="3"/>
  <c r="X42" i="3"/>
  <c r="Y42" i="3" s="1"/>
  <c r="P43" i="3"/>
  <c r="Q43" i="3"/>
  <c r="R43" i="3"/>
  <c r="S43" i="3"/>
  <c r="T43" i="3"/>
  <c r="U43" i="3"/>
  <c r="V43" i="3"/>
  <c r="W43" i="3"/>
  <c r="X43" i="3"/>
  <c r="Y43" i="3"/>
  <c r="P44" i="3"/>
  <c r="Q44" i="3" s="1"/>
  <c r="R44" i="3"/>
  <c r="S44" i="3"/>
  <c r="T44" i="3"/>
  <c r="U44" i="3"/>
  <c r="V44" i="3"/>
  <c r="W44" i="3"/>
  <c r="X44" i="3"/>
  <c r="Y44" i="3"/>
  <c r="P45" i="3"/>
  <c r="Q45" i="3"/>
  <c r="R45" i="3"/>
  <c r="S45" i="3"/>
  <c r="T45" i="3"/>
  <c r="U45" i="3"/>
  <c r="V45" i="3"/>
  <c r="W45" i="3"/>
  <c r="X45" i="3"/>
  <c r="Y45" i="3" s="1"/>
  <c r="P46" i="3"/>
  <c r="Q46" i="3"/>
  <c r="R46" i="3"/>
  <c r="S46" i="3"/>
  <c r="T46" i="3"/>
  <c r="U46" i="3"/>
  <c r="V46" i="3"/>
  <c r="W46" i="3"/>
  <c r="X46" i="3"/>
  <c r="Y46" i="3" s="1"/>
  <c r="P47" i="3"/>
  <c r="Q47" i="3"/>
  <c r="R47" i="3"/>
  <c r="S47" i="3"/>
  <c r="T47" i="3"/>
  <c r="U47" i="3"/>
  <c r="V47" i="3"/>
  <c r="W47" i="3"/>
  <c r="X47" i="3"/>
  <c r="Y47" i="3"/>
  <c r="P48" i="3"/>
  <c r="Q48" i="3"/>
  <c r="R48" i="3"/>
  <c r="S48" i="3"/>
  <c r="T48" i="3"/>
  <c r="U48" i="3"/>
  <c r="V48" i="3"/>
  <c r="W48" i="3"/>
  <c r="X48" i="3"/>
  <c r="Y48" i="3" s="1"/>
  <c r="P49" i="3"/>
  <c r="Q49" i="3"/>
  <c r="R49" i="3"/>
  <c r="S49" i="3"/>
  <c r="T49" i="3"/>
  <c r="U49" i="3"/>
  <c r="V49" i="3"/>
  <c r="W49" i="3"/>
  <c r="X49" i="3"/>
  <c r="Y49" i="3"/>
  <c r="P50" i="3"/>
  <c r="Q50" i="3" s="1"/>
  <c r="R50" i="3"/>
  <c r="S50" i="3"/>
  <c r="T50" i="3"/>
  <c r="U50" i="3"/>
  <c r="V50" i="3"/>
  <c r="W50" i="3"/>
  <c r="X50" i="3"/>
  <c r="Y50" i="3"/>
  <c r="P51" i="3"/>
  <c r="Q51" i="3"/>
  <c r="R51" i="3"/>
  <c r="S51" i="3"/>
  <c r="T51" i="3"/>
  <c r="U51" i="3"/>
  <c r="V51" i="3"/>
  <c r="W51" i="3"/>
  <c r="X51" i="3"/>
  <c r="Y51" i="3" s="1"/>
  <c r="P52" i="3"/>
  <c r="Q52" i="3" s="1"/>
  <c r="R52" i="3"/>
  <c r="S52" i="3"/>
  <c r="T52" i="3"/>
  <c r="U52" i="3"/>
  <c r="V52" i="3"/>
  <c r="W52" i="3"/>
  <c r="X52" i="3"/>
  <c r="Y52" i="3"/>
  <c r="P53" i="3"/>
  <c r="Q53" i="3"/>
  <c r="R53" i="3"/>
  <c r="S53" i="3"/>
  <c r="T53" i="3"/>
  <c r="U53" i="3"/>
  <c r="V53" i="3"/>
  <c r="W53" i="3"/>
  <c r="X53" i="3"/>
  <c r="Y53" i="3"/>
  <c r="P54" i="3"/>
  <c r="Q54" i="3"/>
  <c r="R54" i="3"/>
  <c r="S54" i="3"/>
  <c r="T54" i="3"/>
  <c r="U54" i="3"/>
  <c r="V54" i="3"/>
  <c r="W54" i="3"/>
  <c r="X54" i="3"/>
  <c r="Y54" i="3"/>
  <c r="P55" i="3"/>
  <c r="Q55" i="3" s="1"/>
  <c r="R55" i="3"/>
  <c r="S55" i="3"/>
  <c r="T55" i="3"/>
  <c r="U55" i="3"/>
  <c r="V55" i="3"/>
  <c r="W55" i="3"/>
  <c r="X55" i="3"/>
  <c r="Y55" i="3"/>
  <c r="P56" i="3"/>
  <c r="Q56" i="3" s="1"/>
  <c r="R56" i="3"/>
  <c r="S56" i="3"/>
  <c r="T56" i="3"/>
  <c r="U56" i="3"/>
  <c r="V56" i="3"/>
  <c r="W56" i="3"/>
  <c r="X56" i="3"/>
  <c r="Y56" i="3" s="1"/>
  <c r="P57" i="3"/>
  <c r="Q57" i="3" s="1"/>
  <c r="R57" i="3"/>
  <c r="S57" i="3"/>
  <c r="T57" i="3"/>
  <c r="U57" i="3"/>
  <c r="V57" i="3"/>
  <c r="W57" i="3"/>
  <c r="X57" i="3"/>
  <c r="Y57" i="3" s="1"/>
  <c r="P58" i="3"/>
  <c r="Q58" i="3" s="1"/>
  <c r="R58" i="3"/>
  <c r="S58" i="3"/>
  <c r="T58" i="3"/>
  <c r="U58" i="3"/>
  <c r="V58" i="3"/>
  <c r="W58" i="3"/>
  <c r="X58" i="3"/>
  <c r="Y58" i="3"/>
  <c r="P59" i="3"/>
  <c r="Q59" i="3"/>
  <c r="R59" i="3"/>
  <c r="S59" i="3"/>
  <c r="T59" i="3"/>
  <c r="U59" i="3"/>
  <c r="V59" i="3"/>
  <c r="W59" i="3"/>
  <c r="X59" i="3"/>
  <c r="Y59" i="3"/>
  <c r="P60" i="3"/>
  <c r="Q60" i="3" s="1"/>
  <c r="R60" i="3"/>
  <c r="S60" i="3"/>
  <c r="T60" i="3"/>
  <c r="U60" i="3"/>
  <c r="V60" i="3"/>
  <c r="W60" i="3"/>
  <c r="X60" i="3"/>
  <c r="Y60" i="3"/>
  <c r="P61" i="3"/>
  <c r="Q61" i="3"/>
  <c r="R61" i="3"/>
  <c r="S61" i="3"/>
  <c r="T61" i="3"/>
  <c r="U61" i="3"/>
  <c r="V61" i="3"/>
  <c r="W61" i="3"/>
  <c r="X61" i="3"/>
  <c r="Y61" i="3" s="1"/>
  <c r="P62" i="3"/>
  <c r="Q62" i="3" s="1"/>
  <c r="R62" i="3"/>
  <c r="S62" i="3"/>
  <c r="T62" i="3"/>
  <c r="U62" i="3"/>
  <c r="V62" i="3"/>
  <c r="W62" i="3"/>
  <c r="X62" i="3"/>
  <c r="Y62" i="3"/>
  <c r="P63" i="3"/>
  <c r="Q63" i="3"/>
  <c r="R63" i="3"/>
  <c r="S63" i="3"/>
  <c r="T63" i="3"/>
  <c r="U63" i="3"/>
  <c r="V63" i="3"/>
  <c r="W63" i="3"/>
  <c r="X63" i="3"/>
  <c r="Y63" i="3"/>
  <c r="P64" i="3"/>
  <c r="Q64" i="3"/>
  <c r="R64" i="3"/>
  <c r="S64" i="3"/>
  <c r="T64" i="3"/>
  <c r="U64" i="3"/>
  <c r="V64" i="3"/>
  <c r="W64" i="3"/>
  <c r="X64" i="3"/>
  <c r="Y64" i="3" s="1"/>
  <c r="P65" i="3"/>
  <c r="Q65" i="3"/>
  <c r="R65" i="3"/>
  <c r="S65" i="3"/>
  <c r="T65" i="3"/>
  <c r="U65" i="3"/>
  <c r="V65" i="3"/>
  <c r="W65" i="3"/>
  <c r="X65" i="3"/>
  <c r="Y65" i="3"/>
  <c r="P66" i="3"/>
  <c r="Q66" i="3"/>
  <c r="R66" i="3"/>
  <c r="S66" i="3"/>
  <c r="T66" i="3"/>
  <c r="U66" i="3"/>
  <c r="V66" i="3"/>
  <c r="W66" i="3"/>
  <c r="X66" i="3"/>
  <c r="Y66" i="3" s="1"/>
  <c r="P67" i="3"/>
  <c r="Q67" i="3"/>
  <c r="R67" i="3"/>
  <c r="S67" i="3"/>
  <c r="T67" i="3"/>
  <c r="U67" i="3"/>
  <c r="V67" i="3"/>
  <c r="W67" i="3"/>
  <c r="X67" i="3"/>
  <c r="Y67" i="3"/>
  <c r="P68" i="3"/>
  <c r="Q68" i="3" s="1"/>
  <c r="R68" i="3"/>
  <c r="S68" i="3"/>
  <c r="T68" i="3"/>
  <c r="U68" i="3"/>
  <c r="V68" i="3"/>
  <c r="W68" i="3"/>
  <c r="X68" i="3"/>
  <c r="Y68" i="3"/>
  <c r="P69" i="3"/>
  <c r="Q69" i="3"/>
  <c r="R69" i="3"/>
  <c r="S69" i="3"/>
  <c r="T69" i="3"/>
  <c r="U69" i="3"/>
  <c r="V69" i="3"/>
  <c r="W69" i="3"/>
  <c r="X69" i="3"/>
  <c r="Y69" i="3"/>
  <c r="P70" i="3"/>
  <c r="Q70" i="3"/>
  <c r="R70" i="3"/>
  <c r="S70" i="3"/>
  <c r="T70" i="3"/>
  <c r="U70" i="3"/>
  <c r="V70" i="3"/>
  <c r="W70" i="3"/>
  <c r="X70" i="3"/>
  <c r="Y70" i="3"/>
  <c r="P71" i="3"/>
  <c r="Q71" i="3"/>
  <c r="R71" i="3"/>
  <c r="S71" i="3"/>
  <c r="T71" i="3"/>
  <c r="U71" i="3"/>
  <c r="V71" i="3"/>
  <c r="W71" i="3"/>
  <c r="X71" i="3"/>
  <c r="Y71" i="3" s="1"/>
  <c r="P72" i="3"/>
  <c r="Q72" i="3"/>
  <c r="R72" i="3"/>
  <c r="S72" i="3"/>
  <c r="T72" i="3"/>
  <c r="U72" i="3"/>
  <c r="V72" i="3"/>
  <c r="W72" i="3"/>
  <c r="X72" i="3"/>
  <c r="Y72" i="3"/>
  <c r="P73" i="3"/>
  <c r="Q73" i="3"/>
  <c r="R73" i="3"/>
  <c r="S73" i="3"/>
  <c r="T73" i="3"/>
  <c r="U73" i="3"/>
  <c r="V73" i="3"/>
  <c r="W73" i="3"/>
  <c r="X73" i="3"/>
  <c r="Y73" i="3"/>
  <c r="P74" i="3"/>
  <c r="Q74" i="3"/>
  <c r="R74" i="3"/>
  <c r="S74" i="3"/>
  <c r="T74" i="3"/>
  <c r="U74" i="3"/>
  <c r="V74" i="3"/>
  <c r="W74" i="3"/>
  <c r="X74" i="3"/>
  <c r="Y74" i="3"/>
  <c r="P75" i="3"/>
  <c r="Q75" i="3" s="1"/>
  <c r="R75" i="3"/>
  <c r="S75" i="3"/>
  <c r="T75" i="3"/>
  <c r="U75" i="3"/>
  <c r="V75" i="3"/>
  <c r="W75" i="3"/>
  <c r="X75" i="3"/>
  <c r="Y75" i="3"/>
  <c r="P76" i="3"/>
  <c r="Q76" i="3"/>
  <c r="R76" i="3"/>
  <c r="S76" i="3"/>
  <c r="T76" i="3"/>
  <c r="U76" i="3"/>
  <c r="V76" i="3"/>
  <c r="W76" i="3"/>
  <c r="X76" i="3"/>
  <c r="Y76" i="3" s="1"/>
  <c r="P77" i="3"/>
  <c r="Q77" i="3"/>
  <c r="R77" i="3"/>
  <c r="S77" i="3"/>
  <c r="T77" i="3"/>
  <c r="U77" i="3"/>
  <c r="V77" i="3"/>
  <c r="W77" i="3"/>
  <c r="X77" i="3"/>
  <c r="Y77" i="3" s="1"/>
  <c r="P78" i="3"/>
  <c r="Q78" i="3"/>
  <c r="R78" i="3"/>
  <c r="S78" i="3"/>
  <c r="T78" i="3"/>
  <c r="U78" i="3"/>
  <c r="V78" i="3"/>
  <c r="W78" i="3"/>
  <c r="X78" i="3"/>
  <c r="Y78" i="3"/>
  <c r="P79" i="3"/>
  <c r="Q79" i="3"/>
  <c r="R79" i="3"/>
  <c r="S79" i="3"/>
  <c r="T79" i="3"/>
  <c r="U79" i="3"/>
  <c r="V79" i="3"/>
  <c r="W79" i="3"/>
  <c r="X79" i="3"/>
  <c r="Y79" i="3" s="1"/>
  <c r="P80" i="3"/>
  <c r="Q80" i="3"/>
  <c r="R80" i="3"/>
  <c r="S80" i="3"/>
  <c r="T80" i="3"/>
  <c r="U80" i="3"/>
  <c r="V80" i="3"/>
  <c r="W80" i="3"/>
  <c r="X80" i="3"/>
  <c r="Y80" i="3"/>
  <c r="P81" i="3"/>
  <c r="Q81" i="3" s="1"/>
  <c r="R81" i="3"/>
  <c r="S81" i="3"/>
  <c r="T81" i="3"/>
  <c r="U81" i="3"/>
  <c r="V81" i="3"/>
  <c r="W81" i="3"/>
  <c r="X81" i="3"/>
  <c r="Y81" i="3"/>
  <c r="P82" i="3"/>
  <c r="Q82" i="3"/>
  <c r="R82" i="3"/>
  <c r="S82" i="3"/>
  <c r="T82" i="3"/>
  <c r="U82" i="3"/>
  <c r="V82" i="3"/>
  <c r="W82" i="3"/>
  <c r="X82" i="3"/>
  <c r="Y82" i="3" s="1"/>
  <c r="P83" i="3"/>
  <c r="Q83" i="3" s="1"/>
  <c r="R83" i="3"/>
  <c r="S83" i="3"/>
  <c r="T83" i="3"/>
  <c r="U83" i="3"/>
  <c r="V83" i="3"/>
  <c r="W83" i="3"/>
  <c r="X83" i="3"/>
  <c r="Y83" i="3"/>
  <c r="P84" i="3"/>
  <c r="Q84" i="3"/>
  <c r="R84" i="3"/>
  <c r="S84" i="3"/>
  <c r="T84" i="3"/>
  <c r="U84" i="3"/>
  <c r="V84" i="3"/>
  <c r="W84" i="3"/>
  <c r="X84" i="3"/>
  <c r="Y84" i="3"/>
  <c r="P85" i="3"/>
  <c r="Q85" i="3"/>
  <c r="R85" i="3"/>
  <c r="S85" i="3"/>
  <c r="T85" i="3"/>
  <c r="U85" i="3"/>
  <c r="V85" i="3"/>
  <c r="W85" i="3"/>
  <c r="X85" i="3"/>
  <c r="Y85" i="3"/>
  <c r="P86" i="3"/>
  <c r="Q86" i="3"/>
  <c r="R86" i="3"/>
  <c r="S86" i="3"/>
  <c r="T86" i="3"/>
  <c r="U86" i="3"/>
  <c r="V86" i="3"/>
  <c r="W86" i="3"/>
  <c r="X86" i="3"/>
  <c r="Y86" i="3"/>
  <c r="P87" i="3"/>
  <c r="Q87" i="3"/>
  <c r="R87" i="3"/>
  <c r="S87" i="3"/>
  <c r="T87" i="3"/>
  <c r="U87" i="3"/>
  <c r="V87" i="3"/>
  <c r="W87" i="3"/>
  <c r="X87" i="3"/>
  <c r="Y87" i="3" s="1"/>
  <c r="P88" i="3"/>
  <c r="Q88" i="3"/>
  <c r="R88" i="3"/>
  <c r="S88" i="3"/>
  <c r="T88" i="3"/>
  <c r="U88" i="3"/>
  <c r="V88" i="3"/>
  <c r="W88" i="3"/>
  <c r="X88" i="3"/>
  <c r="Y88" i="3"/>
  <c r="P89" i="3"/>
  <c r="Q89" i="3" s="1"/>
  <c r="R89" i="3"/>
  <c r="S89" i="3"/>
  <c r="T89" i="3"/>
  <c r="U89" i="3"/>
  <c r="V89" i="3"/>
  <c r="W89" i="3"/>
  <c r="X89" i="3"/>
  <c r="Y89" i="3"/>
  <c r="P90" i="3"/>
  <c r="Q90" i="3"/>
  <c r="R90" i="3"/>
  <c r="S90" i="3"/>
  <c r="T90" i="3"/>
  <c r="U90" i="3"/>
  <c r="V90" i="3"/>
  <c r="W90" i="3"/>
  <c r="X90" i="3"/>
  <c r="Y90" i="3"/>
  <c r="P91" i="3"/>
  <c r="Q91" i="3"/>
  <c r="R91" i="3"/>
  <c r="S91" i="3"/>
  <c r="T91" i="3"/>
  <c r="U91" i="3"/>
  <c r="V91" i="3"/>
  <c r="W91" i="3"/>
  <c r="X91" i="3"/>
  <c r="Y91" i="3"/>
  <c r="P92" i="3"/>
  <c r="Q92" i="3"/>
  <c r="R92" i="3"/>
  <c r="S92" i="3"/>
  <c r="T92" i="3"/>
  <c r="U92" i="3"/>
  <c r="V92" i="3"/>
  <c r="W92" i="3"/>
  <c r="X92" i="3"/>
  <c r="Y92" i="3" s="1"/>
  <c r="P93" i="3"/>
  <c r="Q93" i="3"/>
  <c r="R93" i="3"/>
  <c r="S93" i="3"/>
  <c r="T93" i="3"/>
  <c r="U93" i="3"/>
  <c r="V93" i="3"/>
  <c r="W93" i="3"/>
  <c r="X93" i="3"/>
  <c r="Y93" i="3"/>
  <c r="P94" i="3"/>
  <c r="Q94" i="3"/>
  <c r="R94" i="3"/>
  <c r="S94" i="3"/>
  <c r="T94" i="3"/>
  <c r="U94" i="3"/>
  <c r="V94" i="3"/>
  <c r="W94" i="3"/>
  <c r="X94" i="3"/>
  <c r="Y94" i="3"/>
  <c r="P95" i="3"/>
  <c r="Q95" i="3"/>
  <c r="R95" i="3"/>
  <c r="S95" i="3"/>
  <c r="T95" i="3"/>
  <c r="U95" i="3"/>
  <c r="V95" i="3"/>
  <c r="W95" i="3"/>
  <c r="X95" i="3"/>
  <c r="Y95" i="3"/>
  <c r="P96" i="3"/>
  <c r="Q96" i="3" s="1"/>
  <c r="R96" i="3"/>
  <c r="S96" i="3"/>
  <c r="T96" i="3"/>
  <c r="U96" i="3"/>
  <c r="V96" i="3"/>
  <c r="W96" i="3"/>
  <c r="X96" i="3"/>
  <c r="Y96" i="3"/>
  <c r="P97" i="3"/>
  <c r="Q97" i="3" s="1"/>
  <c r="R97" i="3"/>
  <c r="S97" i="3"/>
  <c r="T97" i="3"/>
  <c r="U97" i="3"/>
  <c r="V97" i="3"/>
  <c r="W97" i="3"/>
  <c r="X97" i="3"/>
  <c r="Y97" i="3"/>
  <c r="P98" i="3"/>
  <c r="Q98" i="3"/>
  <c r="R98" i="3"/>
  <c r="S98" i="3"/>
  <c r="T98" i="3"/>
  <c r="U98" i="3"/>
  <c r="V98" i="3"/>
  <c r="W98" i="3"/>
  <c r="X98" i="3"/>
  <c r="Y98" i="3"/>
  <c r="P99" i="3"/>
  <c r="Q99" i="3"/>
  <c r="R99" i="3"/>
  <c r="S99" i="3"/>
  <c r="T99" i="3"/>
  <c r="U99" i="3"/>
  <c r="V99" i="3"/>
  <c r="W99" i="3"/>
  <c r="X99" i="3"/>
  <c r="Y99" i="3"/>
  <c r="P100" i="3"/>
  <c r="Q100" i="3"/>
  <c r="R100" i="3"/>
  <c r="S100" i="3"/>
  <c r="T100" i="3"/>
  <c r="U100" i="3"/>
  <c r="V100" i="3"/>
  <c r="W100" i="3"/>
  <c r="X100" i="3"/>
  <c r="Y100" i="3" s="1"/>
  <c r="P101" i="3"/>
  <c r="Q101" i="3"/>
  <c r="R101" i="3"/>
  <c r="S101" i="3"/>
  <c r="T101" i="3"/>
  <c r="U101" i="3"/>
  <c r="V101" i="3"/>
  <c r="W101" i="3"/>
  <c r="X101" i="3"/>
  <c r="Y101" i="3"/>
  <c r="P102" i="3"/>
  <c r="Q102" i="3"/>
  <c r="R102" i="3"/>
  <c r="S102" i="3"/>
  <c r="T102" i="3"/>
  <c r="U102" i="3"/>
  <c r="V102" i="3"/>
  <c r="W102" i="3"/>
  <c r="X102" i="3"/>
  <c r="Y102" i="3"/>
  <c r="P103" i="3"/>
  <c r="Q103" i="3"/>
  <c r="R103" i="3"/>
  <c r="S103" i="3"/>
  <c r="T103" i="3"/>
  <c r="U103" i="3"/>
  <c r="V103" i="3"/>
  <c r="W103" i="3"/>
  <c r="X103" i="3"/>
  <c r="Y103" i="3"/>
  <c r="P104" i="3"/>
  <c r="Q104" i="3" s="1"/>
  <c r="R104" i="3"/>
  <c r="S104" i="3"/>
  <c r="T104" i="3"/>
  <c r="U104" i="3"/>
  <c r="V104" i="3"/>
  <c r="W104" i="3"/>
  <c r="X104" i="3"/>
  <c r="Y104" i="3"/>
  <c r="P105" i="3"/>
  <c r="Q105" i="3" s="1"/>
  <c r="R105" i="3"/>
  <c r="S105" i="3"/>
  <c r="T105" i="3"/>
  <c r="U105" i="3"/>
  <c r="V105" i="3"/>
  <c r="W105" i="3"/>
  <c r="X105" i="3"/>
  <c r="Y105" i="3" s="1"/>
  <c r="P106" i="3"/>
  <c r="Q106" i="3"/>
  <c r="R106" i="3"/>
  <c r="S106" i="3"/>
  <c r="T106" i="3"/>
  <c r="U106" i="3"/>
  <c r="V106" i="3"/>
  <c r="W106" i="3"/>
  <c r="X106" i="3"/>
  <c r="Y106" i="3"/>
  <c r="P107" i="3"/>
  <c r="Q107" i="3" s="1"/>
  <c r="R107" i="3"/>
  <c r="S107" i="3"/>
  <c r="T107" i="3"/>
  <c r="U107" i="3"/>
  <c r="V107" i="3"/>
  <c r="W107" i="3"/>
  <c r="X107" i="3"/>
  <c r="Y107" i="3" s="1"/>
  <c r="P108" i="3"/>
  <c r="Q108" i="3"/>
  <c r="R108" i="3"/>
  <c r="S108" i="3"/>
  <c r="T108" i="3"/>
  <c r="U108" i="3"/>
  <c r="V108" i="3"/>
  <c r="W108" i="3"/>
  <c r="X108" i="3"/>
  <c r="Y108" i="3"/>
  <c r="P109" i="3"/>
  <c r="Q109" i="3" s="1"/>
  <c r="R109" i="3"/>
  <c r="S109" i="3"/>
  <c r="T109" i="3"/>
  <c r="U109" i="3"/>
  <c r="V109" i="3"/>
  <c r="W109" i="3"/>
  <c r="X109" i="3"/>
  <c r="Y109" i="3"/>
  <c r="P110" i="3"/>
  <c r="Q110" i="3"/>
  <c r="R110" i="3"/>
  <c r="S110" i="3"/>
  <c r="T110" i="3"/>
  <c r="U110" i="3"/>
  <c r="V110" i="3"/>
  <c r="W110" i="3"/>
  <c r="X110" i="3"/>
  <c r="Y110" i="3"/>
  <c r="P111" i="3"/>
  <c r="Q111" i="3"/>
  <c r="R111" i="3"/>
  <c r="S111" i="3"/>
  <c r="T111" i="3"/>
  <c r="U111" i="3"/>
  <c r="V111" i="3"/>
  <c r="W111" i="3"/>
  <c r="X111" i="3"/>
  <c r="Y111" i="3"/>
  <c r="P112" i="3"/>
  <c r="Q112" i="3" s="1"/>
  <c r="R112" i="3"/>
  <c r="S112" i="3"/>
  <c r="T112" i="3"/>
  <c r="U112" i="3"/>
  <c r="V112" i="3"/>
  <c r="W112" i="3"/>
  <c r="X112" i="3"/>
  <c r="Y112" i="3"/>
  <c r="P113" i="3"/>
  <c r="Q113" i="3"/>
  <c r="R113" i="3"/>
  <c r="S113" i="3"/>
  <c r="T113" i="3"/>
  <c r="U113" i="3"/>
  <c r="V113" i="3"/>
  <c r="W113" i="3"/>
  <c r="X113" i="3"/>
  <c r="Y113" i="3" s="1"/>
  <c r="P114" i="3"/>
  <c r="Q114" i="3"/>
  <c r="R114" i="3"/>
  <c r="S114" i="3"/>
  <c r="T114" i="3"/>
  <c r="U114" i="3"/>
  <c r="V114" i="3"/>
  <c r="W114" i="3"/>
  <c r="X114" i="3"/>
  <c r="Y114" i="3"/>
  <c r="P115" i="3"/>
  <c r="Q115" i="3"/>
  <c r="R115" i="3"/>
  <c r="S115" i="3"/>
  <c r="T115" i="3"/>
  <c r="U115" i="3"/>
  <c r="V115" i="3"/>
  <c r="W115" i="3"/>
  <c r="X115" i="3"/>
  <c r="Y115" i="3"/>
  <c r="P116" i="3"/>
  <c r="Q116" i="3" s="1"/>
  <c r="R116" i="3"/>
  <c r="S116" i="3"/>
  <c r="T116" i="3"/>
  <c r="U116" i="3"/>
  <c r="V116" i="3"/>
  <c r="W116" i="3"/>
  <c r="X116" i="3"/>
  <c r="Y116" i="3"/>
  <c r="P117" i="3"/>
  <c r="Q117" i="3" s="1"/>
  <c r="R117" i="3"/>
  <c r="S117" i="3"/>
  <c r="T117" i="3"/>
  <c r="U117" i="3"/>
  <c r="V117" i="3"/>
  <c r="W117" i="3"/>
  <c r="X117" i="3"/>
  <c r="Y117" i="3"/>
  <c r="P118" i="3"/>
  <c r="Q118" i="3"/>
  <c r="R118" i="3"/>
  <c r="S118" i="3"/>
  <c r="T118" i="3"/>
  <c r="U118" i="3"/>
  <c r="V118" i="3"/>
  <c r="W118" i="3"/>
  <c r="X118" i="3"/>
  <c r="Y118" i="3"/>
  <c r="P119" i="3"/>
  <c r="Q119" i="3"/>
  <c r="R119" i="3"/>
  <c r="S119" i="3"/>
  <c r="T119" i="3"/>
  <c r="U119" i="3"/>
  <c r="V119" i="3"/>
  <c r="W119" i="3"/>
  <c r="X119" i="3"/>
  <c r="Y119" i="3"/>
  <c r="P120" i="3"/>
  <c r="Q120" i="3"/>
  <c r="R120" i="3"/>
  <c r="S120" i="3"/>
  <c r="T120" i="3"/>
  <c r="U120" i="3"/>
  <c r="V120" i="3"/>
  <c r="W120" i="3"/>
  <c r="X120" i="3"/>
  <c r="Y120" i="3"/>
  <c r="P121" i="3"/>
  <c r="Q121" i="3" s="1"/>
  <c r="R121" i="3"/>
  <c r="S121" i="3"/>
  <c r="T121" i="3"/>
  <c r="U121" i="3"/>
  <c r="V121" i="3"/>
  <c r="W121" i="3"/>
  <c r="X121" i="3"/>
  <c r="Y121" i="3" s="1"/>
  <c r="P122" i="3"/>
  <c r="Q122" i="3"/>
  <c r="R122" i="3"/>
  <c r="S122" i="3"/>
  <c r="T122" i="3"/>
  <c r="U122" i="3"/>
  <c r="V122" i="3"/>
  <c r="W122" i="3"/>
  <c r="X122" i="3"/>
  <c r="Y122" i="3"/>
  <c r="P123" i="3"/>
  <c r="Q123" i="3"/>
  <c r="R123" i="3"/>
  <c r="S123" i="3"/>
  <c r="T123" i="3"/>
  <c r="U123" i="3"/>
  <c r="V123" i="3"/>
  <c r="W123" i="3"/>
  <c r="X123" i="3"/>
  <c r="Y123" i="3"/>
  <c r="P124" i="3"/>
  <c r="Q124" i="3"/>
  <c r="R124" i="3"/>
  <c r="S124" i="3"/>
  <c r="T124" i="3"/>
  <c r="U124" i="3"/>
  <c r="V124" i="3"/>
  <c r="W124" i="3"/>
  <c r="X124" i="3"/>
  <c r="Y124" i="3"/>
  <c r="P125" i="3"/>
  <c r="Q125" i="3" s="1"/>
  <c r="R125" i="3"/>
  <c r="S125" i="3"/>
  <c r="T125" i="3"/>
  <c r="U125" i="3"/>
  <c r="V125" i="3"/>
  <c r="W125" i="3"/>
  <c r="X125" i="3"/>
  <c r="Y125" i="3"/>
  <c r="P126" i="3"/>
  <c r="Q126" i="3" s="1"/>
  <c r="R126" i="3"/>
  <c r="S126" i="3"/>
  <c r="T126" i="3"/>
  <c r="U126" i="3"/>
  <c r="V126" i="3"/>
  <c r="W126" i="3"/>
  <c r="X126" i="3"/>
  <c r="Y126" i="3" s="1"/>
  <c r="P127" i="3"/>
  <c r="Q127" i="3"/>
  <c r="R127" i="3"/>
  <c r="S127" i="3"/>
  <c r="T127" i="3"/>
  <c r="U127" i="3"/>
  <c r="V127" i="3"/>
  <c r="W127" i="3"/>
  <c r="X127" i="3"/>
  <c r="Y127" i="3" s="1"/>
  <c r="P128" i="3"/>
  <c r="Q128" i="3"/>
  <c r="R128" i="3"/>
  <c r="S128" i="3"/>
  <c r="T128" i="3"/>
  <c r="U128" i="3"/>
  <c r="V128" i="3"/>
  <c r="W128" i="3"/>
  <c r="X128" i="3"/>
  <c r="Y128" i="3"/>
  <c r="P129" i="3"/>
  <c r="Q129" i="3" s="1"/>
  <c r="R129" i="3"/>
  <c r="S129" i="3"/>
  <c r="T129" i="3"/>
  <c r="U129" i="3"/>
  <c r="V129" i="3"/>
  <c r="W129" i="3"/>
  <c r="X129" i="3"/>
  <c r="Y129" i="3"/>
  <c r="P130" i="3"/>
  <c r="Q130" i="3" s="1"/>
  <c r="R130" i="3"/>
  <c r="S130" i="3"/>
  <c r="T130" i="3"/>
  <c r="U130" i="3"/>
  <c r="V130" i="3"/>
  <c r="W130" i="3"/>
  <c r="X130" i="3"/>
  <c r="Y130" i="3"/>
  <c r="P131" i="3"/>
  <c r="Q131" i="3"/>
  <c r="R131" i="3"/>
  <c r="S131" i="3"/>
  <c r="T131" i="3"/>
  <c r="U131" i="3"/>
  <c r="V131" i="3"/>
  <c r="W131" i="3"/>
  <c r="X131" i="3"/>
  <c r="Y131" i="3"/>
  <c r="P132" i="3"/>
  <c r="Q132" i="3"/>
  <c r="R132" i="3"/>
  <c r="S132" i="3"/>
  <c r="T132" i="3"/>
  <c r="U132" i="3"/>
  <c r="V132" i="3"/>
  <c r="W132" i="3"/>
  <c r="X132" i="3"/>
  <c r="Y132" i="3" s="1"/>
  <c r="P133" i="3"/>
  <c r="Q133" i="3"/>
  <c r="R133" i="3"/>
  <c r="S133" i="3"/>
  <c r="T133" i="3"/>
  <c r="U133" i="3"/>
  <c r="V133" i="3"/>
  <c r="W133" i="3"/>
  <c r="X133" i="3"/>
  <c r="Y133" i="3"/>
  <c r="P134" i="3"/>
  <c r="Q134" i="3" s="1"/>
  <c r="R134" i="3"/>
  <c r="S134" i="3"/>
  <c r="T134" i="3"/>
  <c r="U134" i="3"/>
  <c r="V134" i="3"/>
  <c r="W134" i="3"/>
  <c r="X134" i="3"/>
  <c r="Y134" i="3" s="1"/>
  <c r="P135" i="3"/>
  <c r="Q135" i="3"/>
  <c r="R135" i="3"/>
  <c r="S135" i="3"/>
  <c r="T135" i="3"/>
  <c r="U135" i="3"/>
  <c r="V135" i="3"/>
  <c r="W135" i="3"/>
  <c r="X135" i="3"/>
  <c r="Y135" i="3"/>
  <c r="P136" i="3"/>
  <c r="Q136" i="3"/>
  <c r="R136" i="3"/>
  <c r="S136" i="3"/>
  <c r="T136" i="3"/>
  <c r="U136" i="3"/>
  <c r="V136" i="3"/>
  <c r="W136" i="3"/>
  <c r="X136" i="3"/>
  <c r="Y136" i="3"/>
  <c r="P137" i="3"/>
  <c r="Q137" i="3" s="1"/>
  <c r="R137" i="3"/>
  <c r="S137" i="3"/>
  <c r="T137" i="3"/>
  <c r="U137" i="3"/>
  <c r="V137" i="3"/>
  <c r="W137" i="3"/>
  <c r="X137" i="3"/>
  <c r="Y137" i="3" s="1"/>
  <c r="P138" i="3"/>
  <c r="Q138" i="3"/>
  <c r="R138" i="3"/>
  <c r="S138" i="3"/>
  <c r="T138" i="3"/>
  <c r="U138" i="3"/>
  <c r="V138" i="3"/>
  <c r="W138" i="3"/>
  <c r="X138" i="3"/>
  <c r="Y138" i="3"/>
  <c r="P139" i="3"/>
  <c r="Q139" i="3"/>
  <c r="R139" i="3"/>
  <c r="S139" i="3"/>
  <c r="T139" i="3"/>
  <c r="U139" i="3"/>
  <c r="V139" i="3"/>
  <c r="W139" i="3"/>
  <c r="X139" i="3"/>
  <c r="Y139" i="3" s="1"/>
  <c r="P140" i="3"/>
  <c r="Q140" i="3"/>
  <c r="R140" i="3"/>
  <c r="S140" i="3"/>
  <c r="T140" i="3"/>
  <c r="U140" i="3"/>
  <c r="V140" i="3"/>
  <c r="W140" i="3"/>
  <c r="X140" i="3"/>
  <c r="Y140" i="3" s="1"/>
  <c r="P141" i="3"/>
  <c r="Q141" i="3"/>
  <c r="R141" i="3"/>
  <c r="S141" i="3"/>
  <c r="T141" i="3"/>
  <c r="U141" i="3"/>
  <c r="V141" i="3"/>
  <c r="W141" i="3"/>
  <c r="X141" i="3"/>
  <c r="Y141" i="3"/>
  <c r="P142" i="3"/>
  <c r="Q142" i="3"/>
  <c r="R142" i="3"/>
  <c r="S142" i="3"/>
  <c r="T142" i="3"/>
  <c r="U142" i="3"/>
  <c r="V142" i="3"/>
  <c r="W142" i="3"/>
  <c r="X142" i="3"/>
  <c r="Y142" i="3"/>
  <c r="P143" i="3"/>
  <c r="Q143" i="3" s="1"/>
  <c r="R143" i="3"/>
  <c r="S143" i="3"/>
  <c r="T143" i="3"/>
  <c r="U143" i="3"/>
  <c r="V143" i="3"/>
  <c r="W143" i="3"/>
  <c r="X143" i="3"/>
  <c r="Y143" i="3"/>
  <c r="P144" i="3"/>
  <c r="Q144" i="3"/>
  <c r="R144" i="3"/>
  <c r="S144" i="3"/>
  <c r="T144" i="3"/>
  <c r="U144" i="3"/>
  <c r="V144" i="3"/>
  <c r="W144" i="3"/>
  <c r="X144" i="3"/>
  <c r="Y144" i="3"/>
  <c r="P145" i="3"/>
  <c r="Q145" i="3" s="1"/>
  <c r="R145" i="3"/>
  <c r="S145" i="3"/>
  <c r="T145" i="3"/>
  <c r="U145" i="3"/>
  <c r="V145" i="3"/>
  <c r="W145" i="3"/>
  <c r="X145" i="3"/>
  <c r="Y145" i="3" s="1"/>
  <c r="P146" i="3"/>
  <c r="Q146" i="3"/>
  <c r="R146" i="3"/>
  <c r="S146" i="3"/>
  <c r="T146" i="3"/>
  <c r="U146" i="3"/>
  <c r="V146" i="3"/>
  <c r="W146" i="3"/>
  <c r="X146" i="3"/>
  <c r="Y146" i="3"/>
  <c r="P147" i="3"/>
  <c r="Q147" i="3"/>
  <c r="R147" i="3"/>
  <c r="S147" i="3"/>
  <c r="T147" i="3"/>
  <c r="U147" i="3"/>
  <c r="V147" i="3"/>
  <c r="W147" i="3"/>
  <c r="X147" i="3"/>
  <c r="Y147" i="3" s="1"/>
  <c r="P148" i="3"/>
  <c r="Q148" i="3"/>
  <c r="R148" i="3"/>
  <c r="S148" i="3"/>
  <c r="T148" i="3"/>
  <c r="U148" i="3"/>
  <c r="V148" i="3"/>
  <c r="W148" i="3"/>
  <c r="X148" i="3"/>
  <c r="Y148" i="3"/>
  <c r="P149" i="3"/>
  <c r="Q149" i="3"/>
  <c r="R149" i="3"/>
  <c r="S149" i="3"/>
  <c r="T149" i="3"/>
  <c r="U149" i="3"/>
  <c r="V149" i="3"/>
  <c r="W149" i="3"/>
  <c r="X149" i="3"/>
  <c r="Y149" i="3"/>
  <c r="P150" i="3"/>
  <c r="Q150" i="3"/>
  <c r="R150" i="3"/>
  <c r="S150" i="3"/>
  <c r="T150" i="3"/>
  <c r="U150" i="3"/>
  <c r="V150" i="3"/>
  <c r="W150" i="3"/>
  <c r="X150" i="3"/>
  <c r="Y150" i="3"/>
  <c r="P151" i="3"/>
  <c r="Q151" i="3" s="1"/>
  <c r="R151" i="3"/>
  <c r="S151" i="3"/>
  <c r="T151" i="3"/>
  <c r="U151" i="3"/>
  <c r="V151" i="3"/>
  <c r="W151" i="3"/>
  <c r="X151" i="3"/>
  <c r="Y151" i="3"/>
  <c r="P152" i="3"/>
  <c r="Q152" i="3"/>
  <c r="R152" i="3"/>
  <c r="S152" i="3"/>
  <c r="T152" i="3"/>
  <c r="U152" i="3"/>
  <c r="V152" i="3"/>
  <c r="W152" i="3"/>
  <c r="X152" i="3"/>
  <c r="Y152" i="3"/>
  <c r="P153" i="3"/>
  <c r="Q153" i="3" s="1"/>
  <c r="R153" i="3"/>
  <c r="S153" i="3"/>
  <c r="T153" i="3"/>
  <c r="U153" i="3"/>
  <c r="V153" i="3"/>
  <c r="W153" i="3"/>
  <c r="X153" i="3"/>
  <c r="Y153" i="3"/>
  <c r="P154" i="3"/>
  <c r="Q154" i="3"/>
  <c r="R154" i="3"/>
  <c r="S154" i="3"/>
  <c r="T154" i="3"/>
  <c r="U154" i="3"/>
  <c r="V154" i="3"/>
  <c r="W154" i="3"/>
  <c r="X154" i="3"/>
  <c r="Y154" i="3"/>
  <c r="P155" i="3"/>
  <c r="Q155" i="3"/>
  <c r="R155" i="3"/>
  <c r="S155" i="3"/>
  <c r="T155" i="3"/>
  <c r="U155" i="3"/>
  <c r="V155" i="3"/>
  <c r="W155" i="3"/>
  <c r="X155" i="3"/>
  <c r="Y155" i="3"/>
  <c r="P156" i="3"/>
  <c r="Q156" i="3" s="1"/>
  <c r="R156" i="3"/>
  <c r="S156" i="3"/>
  <c r="T156" i="3"/>
  <c r="U156" i="3"/>
  <c r="V156" i="3"/>
  <c r="W156" i="3"/>
  <c r="X156" i="3"/>
  <c r="Y156" i="3"/>
  <c r="P157" i="3"/>
  <c r="Q157" i="3"/>
  <c r="R157" i="3"/>
  <c r="S157" i="3"/>
  <c r="T157" i="3"/>
  <c r="U157" i="3"/>
  <c r="V157" i="3"/>
  <c r="W157" i="3"/>
  <c r="X157" i="3"/>
  <c r="Y157" i="3"/>
  <c r="P158" i="3"/>
  <c r="Q158" i="3"/>
  <c r="R158" i="3"/>
  <c r="S158" i="3"/>
  <c r="T158" i="3"/>
  <c r="U158" i="3"/>
  <c r="V158" i="3"/>
  <c r="W158" i="3"/>
  <c r="X158" i="3"/>
  <c r="Y158" i="3"/>
  <c r="P159" i="3"/>
  <c r="Q159" i="3" s="1"/>
  <c r="R159" i="3"/>
  <c r="S159" i="3"/>
  <c r="T159" i="3"/>
  <c r="U159" i="3"/>
  <c r="V159" i="3"/>
  <c r="W159" i="3"/>
  <c r="X159" i="3"/>
  <c r="Y159" i="3"/>
  <c r="P160" i="3"/>
  <c r="Q160" i="3"/>
  <c r="R160" i="3"/>
  <c r="S160" i="3"/>
  <c r="T160" i="3"/>
  <c r="U160" i="3"/>
  <c r="V160" i="3"/>
  <c r="W160" i="3"/>
  <c r="X160" i="3"/>
  <c r="Y160" i="3" s="1"/>
  <c r="P161" i="3"/>
  <c r="Q161" i="3" s="1"/>
  <c r="R161" i="3"/>
  <c r="S161" i="3"/>
  <c r="T161" i="3"/>
  <c r="U161" i="3"/>
  <c r="V161" i="3"/>
  <c r="W161" i="3"/>
  <c r="X161" i="3"/>
  <c r="Y161" i="3"/>
  <c r="P162" i="3"/>
  <c r="Q162" i="3"/>
  <c r="R162" i="3"/>
  <c r="S162" i="3"/>
  <c r="T162" i="3"/>
  <c r="U162" i="3"/>
  <c r="V162" i="3"/>
  <c r="W162" i="3"/>
  <c r="X162" i="3"/>
  <c r="Y162" i="3"/>
  <c r="P163" i="3"/>
  <c r="Q163" i="3"/>
  <c r="R163" i="3"/>
  <c r="S163" i="3"/>
  <c r="T163" i="3"/>
  <c r="U163" i="3"/>
  <c r="V163" i="3"/>
  <c r="W163" i="3"/>
  <c r="X163" i="3"/>
  <c r="Y163" i="3"/>
  <c r="P164" i="3"/>
  <c r="Q164" i="3" s="1"/>
  <c r="R164" i="3"/>
  <c r="S164" i="3"/>
  <c r="T164" i="3"/>
  <c r="U164" i="3"/>
  <c r="V164" i="3"/>
  <c r="W164" i="3"/>
  <c r="X164" i="3"/>
  <c r="Y164" i="3"/>
  <c r="P165" i="3"/>
  <c r="Q165" i="3"/>
  <c r="R165" i="3"/>
  <c r="S165" i="3"/>
  <c r="T165" i="3"/>
  <c r="U165" i="3"/>
  <c r="V165" i="3"/>
  <c r="W165" i="3"/>
  <c r="X165" i="3"/>
  <c r="Y165" i="3"/>
  <c r="P166" i="3"/>
  <c r="Q166" i="3" s="1"/>
  <c r="R166" i="3"/>
  <c r="S166" i="3"/>
  <c r="T166" i="3"/>
  <c r="U166" i="3"/>
  <c r="V166" i="3"/>
  <c r="W166" i="3"/>
  <c r="X166" i="3"/>
  <c r="Y166" i="3"/>
  <c r="P167" i="3"/>
  <c r="Q167" i="3"/>
  <c r="R167" i="3"/>
  <c r="S167" i="3"/>
  <c r="T167" i="3"/>
  <c r="U167" i="3"/>
  <c r="V167" i="3"/>
  <c r="W167" i="3"/>
  <c r="X167" i="3"/>
  <c r="Y167" i="3"/>
  <c r="P168" i="3"/>
  <c r="Q168" i="3"/>
  <c r="R168" i="3"/>
  <c r="S168" i="3"/>
  <c r="T168" i="3"/>
  <c r="U168" i="3"/>
  <c r="V168" i="3"/>
  <c r="W168" i="3"/>
  <c r="X168" i="3"/>
  <c r="Y168" i="3" s="1"/>
  <c r="P169" i="3"/>
  <c r="Q169" i="3" s="1"/>
  <c r="R169" i="3"/>
  <c r="S169" i="3"/>
  <c r="T169" i="3"/>
  <c r="U169" i="3"/>
  <c r="V169" i="3"/>
  <c r="W169" i="3"/>
  <c r="X169" i="3"/>
  <c r="Y169" i="3"/>
  <c r="P170" i="3"/>
  <c r="Q170" i="3"/>
  <c r="R170" i="3"/>
  <c r="S170" i="3"/>
  <c r="T170" i="3"/>
  <c r="U170" i="3"/>
  <c r="V170" i="3"/>
  <c r="W170" i="3"/>
  <c r="X170" i="3"/>
  <c r="Y170" i="3" s="1"/>
  <c r="P171" i="3"/>
  <c r="Q171" i="3" s="1"/>
  <c r="R171" i="3"/>
  <c r="S171" i="3"/>
  <c r="T171" i="3"/>
  <c r="U171" i="3"/>
  <c r="V171" i="3"/>
  <c r="W171" i="3"/>
  <c r="X171" i="3"/>
  <c r="Y171" i="3"/>
  <c r="P172" i="3"/>
  <c r="Q172" i="3"/>
  <c r="R172" i="3"/>
  <c r="S172" i="3"/>
  <c r="T172" i="3"/>
  <c r="U172" i="3"/>
  <c r="V172" i="3"/>
  <c r="W172" i="3"/>
  <c r="X172" i="3"/>
  <c r="Y172" i="3"/>
  <c r="P173" i="3"/>
  <c r="Q173" i="3"/>
  <c r="R173" i="3"/>
  <c r="S173" i="3"/>
  <c r="T173" i="3"/>
  <c r="U173" i="3"/>
  <c r="V173" i="3"/>
  <c r="W173" i="3"/>
  <c r="X173" i="3"/>
  <c r="Y173" i="3" s="1"/>
  <c r="P174" i="3"/>
  <c r="Q174" i="3" s="1"/>
  <c r="R174" i="3"/>
  <c r="S174" i="3"/>
  <c r="T174" i="3"/>
  <c r="U174" i="3"/>
  <c r="V174" i="3"/>
  <c r="W174" i="3"/>
  <c r="X174" i="3"/>
  <c r="Y174" i="3"/>
  <c r="P175" i="3"/>
  <c r="Q175" i="3"/>
  <c r="R175" i="3"/>
  <c r="S175" i="3"/>
  <c r="T175" i="3"/>
  <c r="U175" i="3"/>
  <c r="V175" i="3"/>
  <c r="W175" i="3"/>
  <c r="X175" i="3"/>
  <c r="Y175" i="3"/>
  <c r="P176" i="3"/>
  <c r="Q176" i="3" s="1"/>
  <c r="R176" i="3"/>
  <c r="S176" i="3"/>
  <c r="T176" i="3"/>
  <c r="U176" i="3"/>
  <c r="V176" i="3"/>
  <c r="W176" i="3"/>
  <c r="X176" i="3"/>
  <c r="Y176" i="3"/>
  <c r="P177" i="3"/>
  <c r="Q177" i="3" s="1"/>
  <c r="R177" i="3"/>
  <c r="S177" i="3"/>
  <c r="T177" i="3"/>
  <c r="U177" i="3"/>
  <c r="V177" i="3"/>
  <c r="W177" i="3"/>
  <c r="X177" i="3"/>
  <c r="Y177" i="3"/>
  <c r="P178" i="3"/>
  <c r="Q178" i="3"/>
  <c r="R178" i="3"/>
  <c r="S178" i="3"/>
  <c r="T178" i="3"/>
  <c r="U178" i="3"/>
  <c r="V178" i="3"/>
  <c r="W178" i="3"/>
  <c r="X178" i="3"/>
  <c r="Y178" i="3"/>
  <c r="P179" i="3"/>
  <c r="Q179" i="3"/>
  <c r="R179" i="3"/>
  <c r="S179" i="3"/>
  <c r="T179" i="3"/>
  <c r="U179" i="3"/>
  <c r="V179" i="3"/>
  <c r="W179" i="3"/>
  <c r="X179" i="3"/>
  <c r="Y179" i="3"/>
  <c r="P180" i="3"/>
  <c r="Q180" i="3"/>
  <c r="R180" i="3"/>
  <c r="S180" i="3"/>
  <c r="T180" i="3"/>
  <c r="U180" i="3"/>
  <c r="V180" i="3"/>
  <c r="W180" i="3"/>
  <c r="X180" i="3"/>
  <c r="Y180" i="3"/>
  <c r="P181" i="3"/>
  <c r="Q181" i="3"/>
  <c r="R181" i="3"/>
  <c r="S181" i="3"/>
  <c r="T181" i="3"/>
  <c r="U181" i="3"/>
  <c r="V181" i="3"/>
  <c r="W181" i="3"/>
  <c r="X181" i="3"/>
  <c r="Y181" i="3" s="1"/>
  <c r="P182" i="3"/>
  <c r="Q182" i="3" s="1"/>
  <c r="R182" i="3"/>
  <c r="S182" i="3"/>
  <c r="T182" i="3"/>
  <c r="U182" i="3"/>
  <c r="V182" i="3"/>
  <c r="W182" i="3"/>
  <c r="X182" i="3"/>
  <c r="Y182" i="3"/>
  <c r="P183" i="3"/>
  <c r="Q183" i="3"/>
  <c r="R183" i="3"/>
  <c r="S183" i="3"/>
  <c r="T183" i="3"/>
  <c r="U183" i="3"/>
  <c r="V183" i="3"/>
  <c r="W183" i="3"/>
  <c r="X183" i="3"/>
  <c r="Y183" i="3"/>
  <c r="P184" i="3"/>
  <c r="Q184" i="3"/>
  <c r="R184" i="3"/>
  <c r="S184" i="3"/>
  <c r="T184" i="3"/>
  <c r="U184" i="3"/>
  <c r="V184" i="3"/>
  <c r="W184" i="3"/>
  <c r="X184" i="3"/>
  <c r="Y184" i="3"/>
  <c r="P185" i="3"/>
  <c r="Q185" i="3" s="1"/>
  <c r="R185" i="3"/>
  <c r="S185" i="3"/>
  <c r="T185" i="3"/>
  <c r="U185" i="3"/>
  <c r="V185" i="3"/>
  <c r="W185" i="3"/>
  <c r="X185" i="3"/>
  <c r="Y185" i="3"/>
  <c r="P186" i="3"/>
  <c r="Q186" i="3" s="1"/>
  <c r="R186" i="3"/>
  <c r="S186" i="3"/>
  <c r="T186" i="3"/>
  <c r="U186" i="3"/>
  <c r="V186" i="3"/>
  <c r="W186" i="3"/>
  <c r="X186" i="3"/>
  <c r="Y186" i="3" s="1"/>
  <c r="P187" i="3"/>
  <c r="Q187" i="3"/>
  <c r="R187" i="3"/>
  <c r="S187" i="3"/>
  <c r="T187" i="3"/>
  <c r="U187" i="3"/>
  <c r="V187" i="3"/>
  <c r="W187" i="3"/>
  <c r="X187" i="3"/>
  <c r="Y187" i="3"/>
  <c r="P188" i="3"/>
  <c r="Q188" i="3"/>
  <c r="R188" i="3"/>
  <c r="S188" i="3"/>
  <c r="T188" i="3"/>
  <c r="U188" i="3"/>
  <c r="V188" i="3"/>
  <c r="W188" i="3"/>
  <c r="X188" i="3"/>
  <c r="Y188" i="3"/>
  <c r="P189" i="3"/>
  <c r="Q189" i="3"/>
  <c r="R189" i="3"/>
  <c r="S189" i="3"/>
  <c r="T189" i="3"/>
  <c r="U189" i="3"/>
  <c r="V189" i="3"/>
  <c r="W189" i="3"/>
  <c r="X189" i="3"/>
  <c r="Y189" i="3"/>
  <c r="P190" i="3"/>
  <c r="Q190" i="3" s="1"/>
  <c r="R190" i="3"/>
  <c r="S190" i="3"/>
  <c r="T190" i="3"/>
  <c r="U190" i="3"/>
  <c r="V190" i="3"/>
  <c r="W190" i="3"/>
  <c r="X190" i="3"/>
  <c r="Y190" i="3"/>
  <c r="P191" i="3"/>
  <c r="Q191" i="3" s="1"/>
  <c r="R191" i="3"/>
  <c r="S191" i="3"/>
  <c r="T191" i="3"/>
  <c r="U191" i="3"/>
  <c r="V191" i="3"/>
  <c r="W191" i="3"/>
  <c r="X191" i="3"/>
  <c r="Y191" i="3" s="1"/>
  <c r="P192" i="3"/>
  <c r="Q192" i="3"/>
  <c r="R192" i="3"/>
  <c r="S192" i="3"/>
  <c r="T192" i="3"/>
  <c r="U192" i="3"/>
  <c r="V192" i="3"/>
  <c r="W192" i="3"/>
  <c r="X192" i="3"/>
  <c r="Y192" i="3"/>
  <c r="P193" i="3"/>
  <c r="Q193" i="3" s="1"/>
  <c r="R193" i="3"/>
  <c r="S193" i="3"/>
  <c r="T193" i="3"/>
  <c r="U193" i="3"/>
  <c r="V193" i="3"/>
  <c r="W193" i="3"/>
  <c r="X193" i="3"/>
  <c r="Y193" i="3"/>
  <c r="P194" i="3"/>
  <c r="Q194" i="3"/>
  <c r="R194" i="3"/>
  <c r="S194" i="3"/>
  <c r="T194" i="3"/>
  <c r="U194" i="3"/>
  <c r="V194" i="3"/>
  <c r="W194" i="3"/>
  <c r="X194" i="3"/>
  <c r="Y194" i="3"/>
  <c r="P195" i="3"/>
  <c r="Q195" i="3" s="1"/>
  <c r="R195" i="3"/>
  <c r="S195" i="3"/>
  <c r="T195" i="3"/>
  <c r="U195" i="3"/>
  <c r="V195" i="3"/>
  <c r="W195" i="3"/>
  <c r="X195" i="3"/>
  <c r="Y195" i="3"/>
  <c r="P196" i="3"/>
  <c r="Q196" i="3"/>
  <c r="R196" i="3"/>
  <c r="S196" i="3"/>
  <c r="T196" i="3"/>
  <c r="U196" i="3"/>
  <c r="V196" i="3"/>
  <c r="W196" i="3"/>
  <c r="X196" i="3"/>
  <c r="Y196" i="3"/>
  <c r="P197" i="3"/>
  <c r="Q197" i="3"/>
  <c r="R197" i="3"/>
  <c r="S197" i="3"/>
  <c r="T197" i="3"/>
  <c r="U197" i="3"/>
  <c r="V197" i="3"/>
  <c r="W197" i="3"/>
  <c r="X197" i="3"/>
  <c r="Y197" i="3"/>
  <c r="P198" i="3"/>
  <c r="Q198" i="3" s="1"/>
  <c r="R198" i="3"/>
  <c r="S198" i="3"/>
  <c r="T198" i="3"/>
  <c r="U198" i="3"/>
  <c r="V198" i="3"/>
  <c r="W198" i="3"/>
  <c r="X198" i="3"/>
  <c r="Y198" i="3"/>
  <c r="P199" i="3"/>
  <c r="Q199" i="3"/>
  <c r="R199" i="3"/>
  <c r="S199" i="3"/>
  <c r="T199" i="3"/>
  <c r="U199" i="3"/>
  <c r="V199" i="3"/>
  <c r="W199" i="3"/>
  <c r="X199" i="3"/>
  <c r="Y199" i="3"/>
  <c r="P200" i="3"/>
  <c r="Q200" i="3" s="1"/>
  <c r="R200" i="3"/>
  <c r="S200" i="3"/>
  <c r="T200" i="3"/>
  <c r="U200" i="3"/>
  <c r="V200" i="3"/>
  <c r="W200" i="3"/>
  <c r="X200" i="3"/>
  <c r="Y200" i="3"/>
  <c r="P201" i="3"/>
  <c r="Q201" i="3" s="1"/>
  <c r="R201" i="3"/>
  <c r="S201" i="3"/>
  <c r="T201" i="3"/>
  <c r="U201" i="3"/>
  <c r="V201" i="3"/>
  <c r="W201" i="3"/>
  <c r="X201" i="3"/>
  <c r="Y201" i="3"/>
  <c r="P202" i="3"/>
  <c r="Q202" i="3"/>
  <c r="R202" i="3"/>
  <c r="S202" i="3"/>
  <c r="T202" i="3"/>
  <c r="U202" i="3"/>
  <c r="V202" i="3"/>
  <c r="W202" i="3"/>
  <c r="X202" i="3"/>
  <c r="Y202" i="3" s="1"/>
  <c r="P203" i="3"/>
  <c r="Q203" i="3"/>
  <c r="R203" i="3"/>
  <c r="S203" i="3"/>
  <c r="T203" i="3"/>
  <c r="U203" i="3"/>
  <c r="V203" i="3"/>
  <c r="W203" i="3"/>
  <c r="X203" i="3"/>
  <c r="Y203" i="3"/>
  <c r="P204" i="3"/>
  <c r="Q204" i="3"/>
  <c r="R204" i="3"/>
  <c r="S204" i="3"/>
  <c r="T204" i="3"/>
  <c r="U204" i="3"/>
  <c r="V204" i="3"/>
  <c r="W204" i="3"/>
  <c r="X204" i="3"/>
  <c r="Y204" i="3" s="1"/>
  <c r="P205" i="3"/>
  <c r="Q205" i="3"/>
  <c r="R205" i="3"/>
  <c r="S205" i="3"/>
  <c r="T205" i="3"/>
  <c r="U205" i="3"/>
  <c r="V205" i="3"/>
  <c r="W205" i="3"/>
  <c r="X205" i="3"/>
  <c r="Y205" i="3"/>
  <c r="P206" i="3"/>
  <c r="Q206" i="3" s="1"/>
  <c r="R206" i="3"/>
  <c r="S206" i="3"/>
  <c r="T206" i="3"/>
  <c r="U206" i="3"/>
  <c r="V206" i="3"/>
  <c r="W206" i="3"/>
  <c r="X206" i="3"/>
  <c r="Y206" i="3"/>
  <c r="P207" i="3"/>
  <c r="Q207" i="3"/>
  <c r="R207" i="3"/>
  <c r="S207" i="3"/>
  <c r="T207" i="3"/>
  <c r="U207" i="3"/>
  <c r="V207" i="3"/>
  <c r="W207" i="3"/>
  <c r="X207" i="3"/>
  <c r="Y207" i="3" s="1"/>
  <c r="P208" i="3"/>
  <c r="Q208" i="3"/>
  <c r="R208" i="3"/>
  <c r="S208" i="3"/>
  <c r="T208" i="3"/>
  <c r="U208" i="3"/>
  <c r="V208" i="3"/>
  <c r="W208" i="3"/>
  <c r="X208" i="3"/>
  <c r="Y208" i="3"/>
  <c r="P209" i="3"/>
  <c r="Q209" i="3" s="1"/>
  <c r="R209" i="3"/>
  <c r="S209" i="3"/>
  <c r="T209" i="3"/>
  <c r="U209" i="3"/>
  <c r="V209" i="3"/>
  <c r="W209" i="3"/>
  <c r="X209" i="3"/>
  <c r="Y209" i="3" s="1"/>
  <c r="P210" i="3"/>
  <c r="Q210" i="3"/>
  <c r="R210" i="3"/>
  <c r="S210" i="3"/>
  <c r="T210" i="3"/>
  <c r="U210" i="3"/>
  <c r="V210" i="3"/>
  <c r="W210" i="3"/>
  <c r="X210" i="3"/>
  <c r="Y210" i="3"/>
  <c r="P211" i="3"/>
  <c r="Q211" i="3"/>
  <c r="R211" i="3"/>
  <c r="S211" i="3"/>
  <c r="T211" i="3"/>
  <c r="U211" i="3"/>
  <c r="V211" i="3"/>
  <c r="W211" i="3"/>
  <c r="X211" i="3"/>
  <c r="Y211" i="3"/>
  <c r="P212" i="3"/>
  <c r="Q212" i="3"/>
  <c r="R212" i="3"/>
  <c r="S212" i="3"/>
  <c r="T212" i="3"/>
  <c r="U212" i="3"/>
  <c r="V212" i="3"/>
  <c r="W212" i="3"/>
  <c r="X212" i="3"/>
  <c r="Y212" i="3" s="1"/>
  <c r="P213" i="3"/>
  <c r="Q213" i="3" s="1"/>
  <c r="R213" i="3"/>
  <c r="S213" i="3"/>
  <c r="T213" i="3"/>
  <c r="U213" i="3"/>
  <c r="V213" i="3"/>
  <c r="W213" i="3"/>
  <c r="X213" i="3"/>
  <c r="Y213" i="3"/>
  <c r="P214" i="3"/>
  <c r="Q214" i="3" s="1"/>
  <c r="R214" i="3"/>
  <c r="S214" i="3"/>
  <c r="T214" i="3"/>
  <c r="U214" i="3"/>
  <c r="V214" i="3"/>
  <c r="W214" i="3"/>
  <c r="X214" i="3"/>
  <c r="Y214" i="3" s="1"/>
  <c r="P215" i="3"/>
  <c r="Q215" i="3"/>
  <c r="R215" i="3"/>
  <c r="S215" i="3"/>
  <c r="T215" i="3"/>
  <c r="U215" i="3"/>
  <c r="V215" i="3"/>
  <c r="W215" i="3"/>
  <c r="X215" i="3"/>
  <c r="Y215" i="3"/>
  <c r="P216" i="3"/>
  <c r="Q216" i="3"/>
  <c r="R216" i="3"/>
  <c r="S216" i="3"/>
  <c r="T216" i="3"/>
  <c r="U216" i="3"/>
  <c r="V216" i="3"/>
  <c r="W216" i="3"/>
  <c r="X216" i="3"/>
  <c r="Y216" i="3" s="1"/>
  <c r="P217" i="3"/>
  <c r="Q217" i="3" s="1"/>
  <c r="R217" i="3"/>
  <c r="S217" i="3"/>
  <c r="T217" i="3"/>
  <c r="U217" i="3"/>
  <c r="V217" i="3"/>
  <c r="W217" i="3"/>
  <c r="X217" i="3"/>
  <c r="Y217" i="3"/>
  <c r="P218" i="3"/>
  <c r="Q218" i="3" s="1"/>
  <c r="R218" i="3"/>
  <c r="S218" i="3"/>
  <c r="T218" i="3"/>
  <c r="U218" i="3"/>
  <c r="V218" i="3"/>
  <c r="W218" i="3"/>
  <c r="X218" i="3"/>
  <c r="Y218" i="3"/>
  <c r="P219" i="3"/>
  <c r="Q219" i="3"/>
  <c r="R219" i="3"/>
  <c r="S219" i="3"/>
  <c r="T219" i="3"/>
  <c r="U219" i="3"/>
  <c r="V219" i="3"/>
  <c r="W219" i="3"/>
  <c r="X219" i="3"/>
  <c r="Y219" i="3"/>
  <c r="P220" i="3"/>
  <c r="Q220" i="3"/>
  <c r="R220" i="3"/>
  <c r="S220" i="3"/>
  <c r="T220" i="3"/>
  <c r="U220" i="3"/>
  <c r="V220" i="3"/>
  <c r="W220" i="3"/>
  <c r="X220" i="3"/>
  <c r="Y220" i="3"/>
  <c r="P221" i="3"/>
  <c r="Q221" i="3"/>
  <c r="R221" i="3"/>
  <c r="S221" i="3"/>
  <c r="T221" i="3"/>
  <c r="U221" i="3"/>
  <c r="V221" i="3"/>
  <c r="W221" i="3"/>
  <c r="X221" i="3"/>
  <c r="Y221" i="3" s="1"/>
  <c r="P222" i="3"/>
  <c r="Q222" i="3" s="1"/>
  <c r="R222" i="3"/>
  <c r="S222" i="3"/>
  <c r="T222" i="3"/>
  <c r="U222" i="3"/>
  <c r="V222" i="3"/>
  <c r="W222" i="3"/>
  <c r="X222" i="3"/>
  <c r="Y222" i="3"/>
  <c r="P223" i="3"/>
  <c r="Q223" i="3" s="1"/>
  <c r="R223" i="3"/>
  <c r="S223" i="3"/>
  <c r="T223" i="3"/>
  <c r="U223" i="3"/>
  <c r="V223" i="3"/>
  <c r="W223" i="3"/>
  <c r="X223" i="3"/>
  <c r="Y223" i="3"/>
  <c r="P224" i="3"/>
  <c r="Q224" i="3"/>
  <c r="R224" i="3"/>
  <c r="S224" i="3"/>
  <c r="T224" i="3"/>
  <c r="U224" i="3"/>
  <c r="V224" i="3"/>
  <c r="W224" i="3"/>
  <c r="X224" i="3"/>
  <c r="Y224" i="3"/>
  <c r="P225" i="3"/>
  <c r="Q225" i="3" s="1"/>
  <c r="R225" i="3"/>
  <c r="S225" i="3"/>
  <c r="T225" i="3"/>
  <c r="U225" i="3"/>
  <c r="V225" i="3"/>
  <c r="W225" i="3"/>
  <c r="X225" i="3"/>
  <c r="Y225" i="3"/>
  <c r="P226" i="3"/>
  <c r="Q226" i="3"/>
  <c r="R226" i="3"/>
  <c r="S226" i="3"/>
  <c r="T226" i="3"/>
  <c r="U226" i="3"/>
  <c r="V226" i="3"/>
  <c r="W226" i="3"/>
  <c r="X226" i="3"/>
  <c r="Y226" i="3"/>
  <c r="P227" i="3"/>
  <c r="Q227" i="3"/>
  <c r="R227" i="3"/>
  <c r="S227" i="3"/>
  <c r="T227" i="3"/>
  <c r="U227" i="3"/>
  <c r="V227" i="3"/>
  <c r="W227" i="3"/>
  <c r="X227" i="3"/>
  <c r="Y227" i="3" s="1"/>
  <c r="P228" i="3"/>
  <c r="Q228" i="3"/>
  <c r="R228" i="3"/>
  <c r="S228" i="3"/>
  <c r="T228" i="3"/>
  <c r="U228" i="3"/>
  <c r="V228" i="3"/>
  <c r="W228" i="3"/>
  <c r="X228" i="3"/>
  <c r="Y228" i="3"/>
  <c r="P229" i="3"/>
  <c r="Q229" i="3"/>
  <c r="R229" i="3"/>
  <c r="S229" i="3"/>
  <c r="T229" i="3"/>
  <c r="U229" i="3"/>
  <c r="V229" i="3"/>
  <c r="W229" i="3"/>
  <c r="X229" i="3"/>
  <c r="Y229" i="3"/>
  <c r="P230" i="3"/>
  <c r="Q230" i="3" s="1"/>
  <c r="R230" i="3"/>
  <c r="S230" i="3"/>
  <c r="T230" i="3"/>
  <c r="U230" i="3"/>
  <c r="V230" i="3"/>
  <c r="W230" i="3"/>
  <c r="X230" i="3"/>
  <c r="Y230" i="3"/>
  <c r="P231" i="3"/>
  <c r="Q231" i="3"/>
  <c r="R231" i="3"/>
  <c r="S231" i="3"/>
  <c r="T231" i="3"/>
  <c r="U231" i="3"/>
  <c r="V231" i="3"/>
  <c r="W231" i="3"/>
  <c r="X231" i="3"/>
  <c r="Y231" i="3"/>
  <c r="P232" i="3"/>
  <c r="Q232" i="3"/>
  <c r="R232" i="3"/>
  <c r="S232" i="3"/>
  <c r="T232" i="3"/>
  <c r="U232" i="3"/>
  <c r="V232" i="3"/>
  <c r="W232" i="3"/>
  <c r="X232" i="3"/>
  <c r="Y232" i="3" s="1"/>
  <c r="P233" i="3"/>
  <c r="Q233" i="3"/>
  <c r="R233" i="3"/>
  <c r="S233" i="3"/>
  <c r="T233" i="3"/>
  <c r="U233" i="3"/>
  <c r="V233" i="3"/>
  <c r="W233" i="3"/>
  <c r="X233" i="3"/>
  <c r="Y233" i="3"/>
  <c r="P234" i="3"/>
  <c r="Q234" i="3"/>
  <c r="R234" i="3"/>
  <c r="S234" i="3"/>
  <c r="T234" i="3"/>
  <c r="U234" i="3"/>
  <c r="V234" i="3"/>
  <c r="W234" i="3"/>
  <c r="X234" i="3"/>
  <c r="Y234" i="3"/>
  <c r="P235" i="3"/>
  <c r="Q235" i="3"/>
  <c r="R235" i="3"/>
  <c r="S235" i="3"/>
  <c r="T235" i="3"/>
  <c r="U235" i="3"/>
  <c r="V235" i="3"/>
  <c r="W235" i="3"/>
  <c r="X235" i="3"/>
  <c r="Y235" i="3"/>
  <c r="P236" i="3"/>
  <c r="Q236" i="3" s="1"/>
  <c r="R236" i="3"/>
  <c r="S236" i="3"/>
  <c r="T236" i="3"/>
  <c r="U236" i="3"/>
  <c r="V236" i="3"/>
  <c r="W236" i="3"/>
  <c r="X236" i="3"/>
  <c r="Y236" i="3"/>
  <c r="P237" i="3"/>
  <c r="Q237" i="3"/>
  <c r="R237" i="3"/>
  <c r="S237" i="3"/>
  <c r="T237" i="3"/>
  <c r="U237" i="3"/>
  <c r="V237" i="3"/>
  <c r="W237" i="3"/>
  <c r="X237" i="3"/>
  <c r="Y237" i="3"/>
  <c r="P238" i="3"/>
  <c r="Q238" i="3" s="1"/>
  <c r="R238" i="3"/>
  <c r="S238" i="3"/>
  <c r="T238" i="3"/>
  <c r="U238" i="3"/>
  <c r="V238" i="3"/>
  <c r="W238" i="3"/>
  <c r="X238" i="3"/>
  <c r="Y238" i="3"/>
  <c r="P239" i="3"/>
  <c r="Q239" i="3"/>
  <c r="R239" i="3"/>
  <c r="S239" i="3"/>
  <c r="T239" i="3"/>
  <c r="U239" i="3"/>
  <c r="V239" i="3"/>
  <c r="W239" i="3"/>
  <c r="X239" i="3"/>
  <c r="Y239" i="3"/>
  <c r="P240" i="3"/>
  <c r="Q240" i="3"/>
  <c r="R240" i="3"/>
  <c r="S240" i="3"/>
  <c r="T240" i="3"/>
  <c r="U240" i="3"/>
  <c r="V240" i="3"/>
  <c r="W240" i="3"/>
  <c r="X240" i="3"/>
  <c r="Y240" i="3" s="1"/>
  <c r="P241" i="3"/>
  <c r="Q241" i="3" s="1"/>
  <c r="R241" i="3"/>
  <c r="S241" i="3"/>
  <c r="T241" i="3"/>
  <c r="U241" i="3"/>
  <c r="V241" i="3"/>
  <c r="W241" i="3"/>
  <c r="X241" i="3"/>
  <c r="Y241" i="3"/>
  <c r="P242" i="3"/>
  <c r="Q242" i="3" s="1"/>
  <c r="R242" i="3"/>
  <c r="S242" i="3"/>
  <c r="T242" i="3"/>
  <c r="U242" i="3"/>
  <c r="V242" i="3"/>
  <c r="W242" i="3"/>
  <c r="X242" i="3"/>
  <c r="Y242" i="3"/>
  <c r="P243" i="3"/>
  <c r="Q243" i="3"/>
  <c r="R243" i="3"/>
  <c r="S243" i="3"/>
  <c r="T243" i="3"/>
  <c r="U243" i="3"/>
  <c r="V243" i="3"/>
  <c r="W243" i="3"/>
  <c r="X243" i="3"/>
  <c r="Y243" i="3"/>
  <c r="P244" i="3"/>
  <c r="Q244" i="3"/>
  <c r="R244" i="3"/>
  <c r="S244" i="3"/>
  <c r="T244" i="3"/>
  <c r="U244" i="3"/>
  <c r="V244" i="3"/>
  <c r="W244" i="3"/>
  <c r="X244" i="3"/>
  <c r="Y244" i="3"/>
  <c r="P245" i="3"/>
  <c r="Q245" i="3"/>
  <c r="R245" i="3"/>
  <c r="S245" i="3"/>
  <c r="T245" i="3"/>
  <c r="U245" i="3"/>
  <c r="V245" i="3"/>
  <c r="W245" i="3"/>
  <c r="X245" i="3"/>
  <c r="Y245" i="3" s="1"/>
  <c r="P246" i="3"/>
  <c r="Q246" i="3" s="1"/>
  <c r="R246" i="3"/>
  <c r="S246" i="3"/>
  <c r="T246" i="3"/>
  <c r="U246" i="3"/>
  <c r="V246" i="3"/>
  <c r="W246" i="3"/>
  <c r="X246" i="3"/>
  <c r="Y246" i="3"/>
  <c r="P247" i="3"/>
  <c r="Q247" i="3" s="1"/>
  <c r="R247" i="3"/>
  <c r="S247" i="3"/>
  <c r="T247" i="3"/>
  <c r="U247" i="3"/>
  <c r="V247" i="3"/>
  <c r="W247" i="3"/>
  <c r="X247" i="3"/>
  <c r="Y247" i="3"/>
  <c r="P248" i="3"/>
  <c r="Q248" i="3"/>
  <c r="R248" i="3"/>
  <c r="S248" i="3"/>
  <c r="T248" i="3"/>
  <c r="U248" i="3"/>
  <c r="V248" i="3"/>
  <c r="W248" i="3"/>
  <c r="X248" i="3"/>
  <c r="Y248" i="3"/>
  <c r="P249" i="3"/>
  <c r="Q249" i="3" s="1"/>
  <c r="R249" i="3"/>
  <c r="S249" i="3"/>
  <c r="T249" i="3"/>
  <c r="U249" i="3"/>
  <c r="V249" i="3"/>
  <c r="W249" i="3"/>
  <c r="X249" i="3"/>
  <c r="Y249" i="3" s="1"/>
  <c r="P250" i="3"/>
  <c r="Q250" i="3"/>
  <c r="R250" i="3"/>
  <c r="S250" i="3"/>
  <c r="T250" i="3"/>
  <c r="U250" i="3"/>
  <c r="V250" i="3"/>
  <c r="W250" i="3"/>
  <c r="X250" i="3"/>
  <c r="Y250" i="3" s="1"/>
  <c r="P251" i="3"/>
  <c r="Q251" i="3"/>
  <c r="R251" i="3"/>
  <c r="S251" i="3"/>
  <c r="T251" i="3"/>
  <c r="U251" i="3"/>
  <c r="V251" i="3"/>
  <c r="W251" i="3"/>
  <c r="X251" i="3"/>
  <c r="Y251" i="3"/>
  <c r="P252" i="3"/>
  <c r="Q252" i="3"/>
  <c r="R252" i="3"/>
  <c r="S252" i="3"/>
  <c r="T252" i="3"/>
  <c r="U252" i="3"/>
  <c r="V252" i="3"/>
  <c r="W252" i="3"/>
  <c r="X252" i="3"/>
  <c r="Y252" i="3"/>
  <c r="P253" i="3"/>
  <c r="Q253" i="3"/>
  <c r="R253" i="3"/>
  <c r="S253" i="3"/>
  <c r="T253" i="3"/>
  <c r="U253" i="3"/>
  <c r="V253" i="3"/>
  <c r="W253" i="3"/>
  <c r="X253" i="3"/>
  <c r="Y253" i="3"/>
  <c r="P254" i="3"/>
  <c r="Q254" i="3" s="1"/>
  <c r="R254" i="3"/>
  <c r="S254" i="3"/>
  <c r="T254" i="3"/>
  <c r="U254" i="3"/>
  <c r="V254" i="3"/>
  <c r="W254" i="3"/>
  <c r="X254" i="3"/>
  <c r="Y254" i="3" s="1"/>
  <c r="P255" i="3"/>
  <c r="Q255" i="3"/>
  <c r="R255" i="3"/>
  <c r="S255" i="3"/>
  <c r="T255" i="3"/>
  <c r="U255" i="3"/>
  <c r="V255" i="3"/>
  <c r="W255" i="3"/>
  <c r="X255" i="3"/>
  <c r="Y255" i="3"/>
  <c r="P256" i="3"/>
  <c r="Q256" i="3"/>
  <c r="R256" i="3"/>
  <c r="S256" i="3"/>
  <c r="T256" i="3"/>
  <c r="U256" i="3"/>
  <c r="V256" i="3"/>
  <c r="W256" i="3"/>
  <c r="X256" i="3"/>
  <c r="Y256" i="3"/>
  <c r="P257" i="3"/>
  <c r="Q257" i="3" s="1"/>
  <c r="R257" i="3"/>
  <c r="S257" i="3"/>
  <c r="T257" i="3"/>
  <c r="U257" i="3"/>
  <c r="V257" i="3"/>
  <c r="W257" i="3"/>
  <c r="X257" i="3"/>
  <c r="Y257" i="3"/>
  <c r="P258" i="3"/>
  <c r="Q258" i="3"/>
  <c r="R258" i="3"/>
  <c r="S258" i="3"/>
  <c r="T258" i="3"/>
  <c r="U258" i="3"/>
  <c r="V258" i="3"/>
  <c r="W258" i="3"/>
  <c r="X258" i="3"/>
  <c r="Y258" i="3" s="1"/>
  <c r="P259" i="3"/>
  <c r="Q259" i="3" s="1"/>
  <c r="R259" i="3"/>
  <c r="S259" i="3"/>
  <c r="T259" i="3"/>
  <c r="U259" i="3"/>
  <c r="V259" i="3"/>
  <c r="W259" i="3"/>
  <c r="X259" i="3"/>
  <c r="Y259" i="3" s="1"/>
  <c r="P260" i="3"/>
  <c r="Q260" i="3"/>
  <c r="R260" i="3"/>
  <c r="S260" i="3"/>
  <c r="T260" i="3"/>
  <c r="U260" i="3"/>
  <c r="V260" i="3"/>
  <c r="W260" i="3"/>
  <c r="X260" i="3"/>
  <c r="Y260" i="3"/>
  <c r="P261" i="3"/>
  <c r="Q261" i="3"/>
  <c r="R261" i="3"/>
  <c r="S261" i="3"/>
  <c r="T261" i="3"/>
  <c r="U261" i="3"/>
  <c r="V261" i="3"/>
  <c r="W261" i="3"/>
  <c r="X261" i="3"/>
  <c r="Y261" i="3"/>
  <c r="P262" i="3"/>
  <c r="Q262" i="3" s="1"/>
  <c r="R262" i="3"/>
  <c r="S262" i="3"/>
  <c r="T262" i="3"/>
  <c r="U262" i="3"/>
  <c r="V262" i="3"/>
  <c r="W262" i="3"/>
  <c r="X262" i="3"/>
  <c r="Y262" i="3"/>
  <c r="P263" i="3"/>
  <c r="Q263" i="3"/>
  <c r="R263" i="3"/>
  <c r="S263" i="3"/>
  <c r="T263" i="3"/>
  <c r="U263" i="3"/>
  <c r="V263" i="3"/>
  <c r="W263" i="3"/>
  <c r="X263" i="3"/>
  <c r="Y263" i="3" s="1"/>
  <c r="P264" i="3"/>
  <c r="Q264" i="3"/>
  <c r="R264" i="3"/>
  <c r="S264" i="3"/>
  <c r="T264" i="3"/>
  <c r="U264" i="3"/>
  <c r="V264" i="3"/>
  <c r="W264" i="3"/>
  <c r="X264" i="3"/>
  <c r="Y264" i="3" s="1"/>
  <c r="P265" i="3"/>
  <c r="Q265" i="3" s="1"/>
  <c r="R265" i="3"/>
  <c r="S265" i="3"/>
  <c r="T265" i="3"/>
  <c r="U265" i="3"/>
  <c r="V265" i="3"/>
  <c r="W265" i="3"/>
  <c r="X265" i="3"/>
  <c r="Y265" i="3" s="1"/>
  <c r="P266" i="3"/>
  <c r="Q266" i="3"/>
  <c r="R266" i="3"/>
  <c r="S266" i="3"/>
  <c r="T266" i="3"/>
  <c r="U266" i="3"/>
  <c r="V266" i="3"/>
  <c r="W266" i="3"/>
  <c r="X266" i="3"/>
  <c r="Y266" i="3"/>
  <c r="P267" i="3"/>
  <c r="Q267" i="3"/>
  <c r="R267" i="3"/>
  <c r="S267" i="3"/>
  <c r="T267" i="3"/>
  <c r="U267" i="3"/>
  <c r="V267" i="3"/>
  <c r="W267" i="3"/>
  <c r="X267" i="3"/>
  <c r="Y267" i="3"/>
  <c r="P268" i="3"/>
  <c r="Q268" i="3"/>
  <c r="R268" i="3"/>
  <c r="S268" i="3"/>
  <c r="T268" i="3"/>
  <c r="U268" i="3"/>
  <c r="V268" i="3"/>
  <c r="W268" i="3"/>
  <c r="X268" i="3"/>
  <c r="Y268" i="3" s="1"/>
  <c r="P269" i="3"/>
  <c r="Q269" i="3"/>
  <c r="R269" i="3"/>
  <c r="S269" i="3"/>
  <c r="T269" i="3"/>
  <c r="U269" i="3"/>
  <c r="V269" i="3"/>
  <c r="W269" i="3"/>
  <c r="X269" i="3"/>
  <c r="Y269" i="3" s="1"/>
  <c r="P270" i="3"/>
  <c r="Q270" i="3" s="1"/>
  <c r="R270" i="3"/>
  <c r="S270" i="3"/>
  <c r="T270" i="3"/>
  <c r="U270" i="3"/>
  <c r="V270" i="3"/>
  <c r="W270" i="3"/>
  <c r="X270" i="3"/>
  <c r="Y270" i="3"/>
  <c r="P271" i="3"/>
  <c r="Q271" i="3"/>
  <c r="R271" i="3"/>
  <c r="S271" i="3"/>
  <c r="T271" i="3"/>
  <c r="U271" i="3"/>
  <c r="V271" i="3"/>
  <c r="W271" i="3"/>
  <c r="X271" i="3"/>
  <c r="Y271" i="3"/>
  <c r="P272" i="3"/>
  <c r="Q272" i="3" s="1"/>
  <c r="R272" i="3"/>
  <c r="S272" i="3"/>
  <c r="T272" i="3"/>
  <c r="U272" i="3"/>
  <c r="V272" i="3"/>
  <c r="W272" i="3"/>
  <c r="X272" i="3"/>
  <c r="Y272" i="3"/>
  <c r="P273" i="3"/>
  <c r="Q273" i="3" s="1"/>
  <c r="R273" i="3"/>
  <c r="S273" i="3"/>
  <c r="T273" i="3"/>
  <c r="U273" i="3"/>
  <c r="V273" i="3"/>
  <c r="W273" i="3"/>
  <c r="X273" i="3"/>
  <c r="Y273" i="3" s="1"/>
  <c r="P274" i="3"/>
  <c r="Q274" i="3"/>
  <c r="R274" i="3"/>
  <c r="S274" i="3"/>
  <c r="T274" i="3"/>
  <c r="U274" i="3"/>
  <c r="V274" i="3"/>
  <c r="W274" i="3"/>
  <c r="X274" i="3"/>
  <c r="Y274" i="3"/>
  <c r="P275" i="3"/>
  <c r="Q275" i="3" s="1"/>
  <c r="R275" i="3"/>
  <c r="S275" i="3"/>
  <c r="T275" i="3"/>
  <c r="U275" i="3"/>
  <c r="V275" i="3"/>
  <c r="W275" i="3"/>
  <c r="X275" i="3"/>
  <c r="Y275" i="3"/>
  <c r="P276" i="3"/>
  <c r="Q276" i="3"/>
  <c r="R276" i="3"/>
  <c r="S276" i="3"/>
  <c r="T276" i="3"/>
  <c r="U276" i="3"/>
  <c r="V276" i="3"/>
  <c r="W276" i="3"/>
  <c r="X276" i="3"/>
  <c r="Y276" i="3"/>
  <c r="P277" i="3"/>
  <c r="Q277" i="3" s="1"/>
  <c r="R277" i="3"/>
  <c r="S277" i="3"/>
  <c r="T277" i="3"/>
  <c r="U277" i="3"/>
  <c r="V277" i="3"/>
  <c r="W277" i="3"/>
  <c r="X277" i="3"/>
  <c r="Y277" i="3" s="1"/>
  <c r="P278" i="3"/>
  <c r="Q278" i="3" s="1"/>
  <c r="R278" i="3"/>
  <c r="S278" i="3"/>
  <c r="T278" i="3"/>
  <c r="U278" i="3"/>
  <c r="V278" i="3"/>
  <c r="W278" i="3"/>
  <c r="X278" i="3"/>
  <c r="Y278" i="3"/>
  <c r="P279" i="3"/>
  <c r="Q279" i="3"/>
  <c r="R279" i="3"/>
  <c r="S279" i="3"/>
  <c r="T279" i="3"/>
  <c r="U279" i="3"/>
  <c r="V279" i="3"/>
  <c r="W279" i="3"/>
  <c r="X279" i="3"/>
  <c r="Y279" i="3"/>
  <c r="P280" i="3"/>
  <c r="Q280" i="3" s="1"/>
  <c r="R280" i="3"/>
  <c r="S280" i="3"/>
  <c r="T280" i="3"/>
  <c r="U280" i="3"/>
  <c r="V280" i="3"/>
  <c r="W280" i="3"/>
  <c r="X280" i="3"/>
  <c r="Y280" i="3"/>
  <c r="P281" i="3"/>
  <c r="Q281" i="3" s="1"/>
  <c r="R281" i="3"/>
  <c r="S281" i="3"/>
  <c r="T281" i="3"/>
  <c r="U281" i="3"/>
  <c r="V281" i="3"/>
  <c r="W281" i="3"/>
  <c r="X281" i="3"/>
  <c r="Y281" i="3"/>
  <c r="P282" i="3"/>
  <c r="Q282" i="3" s="1"/>
  <c r="R282" i="3"/>
  <c r="S282" i="3"/>
  <c r="T282" i="3"/>
  <c r="U282" i="3"/>
  <c r="V282" i="3"/>
  <c r="W282" i="3"/>
  <c r="X282" i="3"/>
  <c r="Y282" i="3"/>
  <c r="P283" i="3"/>
  <c r="Q283" i="3" s="1"/>
  <c r="R283" i="3"/>
  <c r="S283" i="3"/>
  <c r="T283" i="3"/>
  <c r="U283" i="3"/>
  <c r="V283" i="3"/>
  <c r="W283" i="3"/>
  <c r="X283" i="3"/>
  <c r="Y283" i="3"/>
  <c r="P284" i="3"/>
  <c r="Q284" i="3"/>
  <c r="R284" i="3"/>
  <c r="S284" i="3"/>
  <c r="T284" i="3"/>
  <c r="U284" i="3"/>
  <c r="V284" i="3"/>
  <c r="W284" i="3"/>
  <c r="X284" i="3"/>
  <c r="Y284" i="3"/>
  <c r="P285" i="3"/>
  <c r="Q285" i="3" s="1"/>
  <c r="R285" i="3"/>
  <c r="S285" i="3"/>
  <c r="T285" i="3"/>
  <c r="U285" i="3"/>
  <c r="V285" i="3"/>
  <c r="W285" i="3"/>
  <c r="X285" i="3"/>
  <c r="Y285" i="3"/>
  <c r="P286" i="3"/>
  <c r="Q286" i="3" s="1"/>
  <c r="R286" i="3"/>
  <c r="S286" i="3"/>
  <c r="T286" i="3"/>
  <c r="U286" i="3"/>
  <c r="V286" i="3"/>
  <c r="W286" i="3"/>
  <c r="X286" i="3"/>
  <c r="Y286" i="3"/>
  <c r="P287" i="3"/>
  <c r="Q287" i="3"/>
  <c r="R287" i="3"/>
  <c r="S287" i="3"/>
  <c r="T287" i="3"/>
  <c r="U287" i="3"/>
  <c r="V287" i="3"/>
  <c r="W287" i="3"/>
  <c r="X287" i="3"/>
  <c r="Y287" i="3"/>
  <c r="P288" i="3"/>
  <c r="Q288" i="3" s="1"/>
  <c r="R288" i="3"/>
  <c r="S288" i="3"/>
  <c r="T288" i="3"/>
  <c r="U288" i="3"/>
  <c r="V288" i="3"/>
  <c r="W288" i="3"/>
  <c r="X288" i="3"/>
  <c r="Y288" i="3"/>
  <c r="P289" i="3"/>
  <c r="Q289" i="3" s="1"/>
  <c r="R289" i="3"/>
  <c r="S289" i="3"/>
  <c r="T289" i="3"/>
  <c r="U289" i="3"/>
  <c r="V289" i="3"/>
  <c r="W289" i="3"/>
  <c r="X289" i="3"/>
  <c r="Y289" i="3"/>
  <c r="P290" i="3"/>
  <c r="Q290" i="3" s="1"/>
  <c r="R290" i="3"/>
  <c r="S290" i="3"/>
  <c r="T290" i="3"/>
  <c r="U290" i="3"/>
  <c r="V290" i="3"/>
  <c r="W290" i="3"/>
  <c r="X290" i="3"/>
  <c r="Y290" i="3"/>
  <c r="P291" i="3"/>
  <c r="Q291" i="3"/>
  <c r="R291" i="3"/>
  <c r="S291" i="3"/>
  <c r="T291" i="3"/>
  <c r="U291" i="3"/>
  <c r="V291" i="3"/>
  <c r="W291" i="3"/>
  <c r="X291" i="3"/>
  <c r="Y291" i="3" s="1"/>
  <c r="P292" i="3"/>
  <c r="Q292" i="3"/>
  <c r="R292" i="3"/>
  <c r="S292" i="3"/>
  <c r="T292" i="3"/>
  <c r="U292" i="3"/>
  <c r="V292" i="3"/>
  <c r="W292" i="3"/>
  <c r="X292" i="3"/>
  <c r="Y292" i="3"/>
  <c r="P293" i="3"/>
  <c r="Q293" i="3"/>
  <c r="R293" i="3"/>
  <c r="S293" i="3"/>
  <c r="T293" i="3"/>
  <c r="U293" i="3"/>
  <c r="V293" i="3"/>
  <c r="W293" i="3"/>
  <c r="X293" i="3"/>
  <c r="Y293" i="3"/>
  <c r="P294" i="3"/>
  <c r="Q294" i="3" s="1"/>
  <c r="R294" i="3"/>
  <c r="S294" i="3"/>
  <c r="T294" i="3"/>
  <c r="U294" i="3"/>
  <c r="V294" i="3"/>
  <c r="W294" i="3"/>
  <c r="X294" i="3"/>
  <c r="Y294" i="3" s="1"/>
  <c r="P295" i="3"/>
  <c r="Q295" i="3" s="1"/>
  <c r="R295" i="3"/>
  <c r="S295" i="3"/>
  <c r="T295" i="3"/>
  <c r="U295" i="3"/>
  <c r="V295" i="3"/>
  <c r="W295" i="3"/>
  <c r="X295" i="3"/>
  <c r="Y295" i="3"/>
  <c r="P296" i="3"/>
  <c r="Q296" i="3"/>
  <c r="R296" i="3"/>
  <c r="S296" i="3"/>
  <c r="T296" i="3"/>
  <c r="U296" i="3"/>
  <c r="V296" i="3"/>
  <c r="W296" i="3"/>
  <c r="X296" i="3"/>
  <c r="Y296" i="3"/>
  <c r="P297" i="3"/>
  <c r="Q297" i="3" s="1"/>
  <c r="R297" i="3"/>
  <c r="S297" i="3"/>
  <c r="T297" i="3"/>
  <c r="U297" i="3"/>
  <c r="V297" i="3"/>
  <c r="W297" i="3"/>
  <c r="X297" i="3"/>
  <c r="Y297" i="3"/>
  <c r="P298" i="3"/>
  <c r="Q298" i="3"/>
  <c r="R298" i="3"/>
  <c r="S298" i="3"/>
  <c r="T298" i="3"/>
  <c r="U298" i="3"/>
  <c r="V298" i="3"/>
  <c r="W298" i="3"/>
  <c r="X298" i="3"/>
  <c r="Y298" i="3"/>
  <c r="P299" i="3"/>
  <c r="Q299" i="3"/>
  <c r="R299" i="3"/>
  <c r="S299" i="3"/>
  <c r="T299" i="3"/>
  <c r="U299" i="3"/>
  <c r="V299" i="3"/>
  <c r="W299" i="3"/>
  <c r="X299" i="3"/>
  <c r="Y299" i="3" s="1"/>
  <c r="P300" i="3"/>
  <c r="Q300" i="3" s="1"/>
  <c r="R300" i="3"/>
  <c r="S300" i="3"/>
  <c r="T300" i="3"/>
  <c r="U300" i="3"/>
  <c r="V300" i="3"/>
  <c r="W300" i="3"/>
  <c r="X300" i="3"/>
  <c r="Y300" i="3"/>
  <c r="P301" i="3"/>
  <c r="Q301" i="3"/>
  <c r="R301" i="3"/>
  <c r="S301" i="3"/>
  <c r="T301" i="3"/>
  <c r="U301" i="3"/>
  <c r="V301" i="3"/>
  <c r="W301" i="3"/>
  <c r="X301" i="3"/>
  <c r="Y301" i="3"/>
  <c r="P302" i="3"/>
  <c r="Q302" i="3" s="1"/>
  <c r="R302" i="3"/>
  <c r="S302" i="3"/>
  <c r="T302" i="3"/>
  <c r="U302" i="3"/>
  <c r="V302" i="3"/>
  <c r="W302" i="3"/>
  <c r="X302" i="3"/>
  <c r="Y302" i="3"/>
  <c r="P303" i="3"/>
  <c r="Q303" i="3"/>
  <c r="R303" i="3"/>
  <c r="S303" i="3"/>
  <c r="T303" i="3"/>
  <c r="U303" i="3"/>
  <c r="V303" i="3"/>
  <c r="W303" i="3"/>
  <c r="X303" i="3"/>
  <c r="Y303" i="3"/>
  <c r="P304" i="3"/>
  <c r="Q304" i="3"/>
  <c r="R304" i="3"/>
  <c r="S304" i="3"/>
  <c r="T304" i="3"/>
  <c r="U304" i="3"/>
  <c r="V304" i="3"/>
  <c r="W304" i="3"/>
  <c r="X304" i="3"/>
  <c r="Y304" i="3" s="1"/>
  <c r="P305" i="3"/>
  <c r="Q305" i="3" s="1"/>
  <c r="R305" i="3"/>
  <c r="S305" i="3"/>
  <c r="T305" i="3"/>
  <c r="U305" i="3"/>
  <c r="V305" i="3"/>
  <c r="W305" i="3"/>
  <c r="X305" i="3"/>
  <c r="Y305" i="3"/>
  <c r="P306" i="3"/>
  <c r="Q306" i="3"/>
  <c r="R306" i="3"/>
  <c r="S306" i="3"/>
  <c r="T306" i="3"/>
  <c r="U306" i="3"/>
  <c r="V306" i="3"/>
  <c r="W306" i="3"/>
  <c r="X306" i="3"/>
  <c r="Y306" i="3"/>
  <c r="P307" i="3"/>
  <c r="Q307" i="3"/>
  <c r="R307" i="3"/>
  <c r="S307" i="3"/>
  <c r="T307" i="3"/>
  <c r="U307" i="3"/>
  <c r="V307" i="3"/>
  <c r="W307" i="3"/>
  <c r="X307" i="3"/>
  <c r="Y307" i="3"/>
  <c r="P308" i="3"/>
  <c r="Q308" i="3"/>
  <c r="R308" i="3"/>
  <c r="S308" i="3"/>
  <c r="T308" i="3"/>
  <c r="U308" i="3"/>
  <c r="V308" i="3"/>
  <c r="W308" i="3"/>
  <c r="X308" i="3"/>
  <c r="Y308" i="3"/>
  <c r="P309" i="3"/>
  <c r="Q309" i="3"/>
  <c r="R309" i="3"/>
  <c r="S309" i="3"/>
  <c r="T309" i="3"/>
  <c r="U309" i="3"/>
  <c r="V309" i="3"/>
  <c r="W309" i="3"/>
  <c r="X309" i="3"/>
  <c r="Y309" i="3" s="1"/>
  <c r="P310" i="3"/>
  <c r="Q310" i="3" s="1"/>
  <c r="R310" i="3"/>
  <c r="S310" i="3"/>
  <c r="T310" i="3"/>
  <c r="U310" i="3"/>
  <c r="V310" i="3"/>
  <c r="W310" i="3"/>
  <c r="X310" i="3"/>
  <c r="Y310" i="3"/>
  <c r="P311" i="3"/>
  <c r="Q311" i="3"/>
  <c r="R311" i="3"/>
  <c r="S311" i="3"/>
  <c r="T311" i="3"/>
  <c r="U311" i="3"/>
  <c r="V311" i="3"/>
  <c r="W311" i="3"/>
  <c r="X311" i="3"/>
  <c r="Y311" i="3"/>
  <c r="P312" i="3"/>
  <c r="Q312" i="3"/>
  <c r="R312" i="3"/>
  <c r="S312" i="3"/>
  <c r="T312" i="3"/>
  <c r="U312" i="3"/>
  <c r="V312" i="3"/>
  <c r="W312" i="3"/>
  <c r="X312" i="3"/>
  <c r="Y312" i="3"/>
  <c r="P313" i="3"/>
  <c r="Q313" i="3" s="1"/>
  <c r="R313" i="3"/>
  <c r="S313" i="3"/>
  <c r="T313" i="3"/>
  <c r="U313" i="3"/>
  <c r="V313" i="3"/>
  <c r="W313" i="3"/>
  <c r="X313" i="3"/>
  <c r="Y313" i="3"/>
  <c r="P314" i="3"/>
  <c r="Q314" i="3"/>
  <c r="R314" i="3"/>
  <c r="S314" i="3"/>
  <c r="T314" i="3"/>
  <c r="U314" i="3"/>
  <c r="V314" i="3"/>
  <c r="W314" i="3"/>
  <c r="X314" i="3"/>
  <c r="Y314" i="3" s="1"/>
  <c r="P315" i="3"/>
  <c r="Q315" i="3" s="1"/>
  <c r="R315" i="3"/>
  <c r="S315" i="3"/>
  <c r="T315" i="3"/>
  <c r="U315" i="3"/>
  <c r="V315" i="3"/>
  <c r="W315" i="3"/>
  <c r="X315" i="3"/>
  <c r="Y315" i="3"/>
  <c r="P316" i="3"/>
  <c r="Q316" i="3"/>
  <c r="R316" i="3"/>
  <c r="S316" i="3"/>
  <c r="T316" i="3"/>
  <c r="U316" i="3"/>
  <c r="V316" i="3"/>
  <c r="W316" i="3"/>
  <c r="X316" i="3"/>
  <c r="Y316" i="3"/>
  <c r="P317" i="3"/>
  <c r="Q317" i="3"/>
  <c r="R317" i="3"/>
  <c r="S317" i="3"/>
  <c r="T317" i="3"/>
  <c r="U317" i="3"/>
  <c r="V317" i="3"/>
  <c r="W317" i="3"/>
  <c r="X317" i="3"/>
  <c r="Y317" i="3"/>
  <c r="P318" i="3"/>
  <c r="Q318" i="3" s="1"/>
  <c r="R318" i="3"/>
  <c r="S318" i="3"/>
  <c r="T318" i="3"/>
  <c r="U318" i="3"/>
  <c r="V318" i="3"/>
  <c r="W318" i="3"/>
  <c r="X318" i="3"/>
  <c r="Y318" i="3"/>
  <c r="P319" i="3"/>
  <c r="Q319" i="3"/>
  <c r="R319" i="3"/>
  <c r="S319" i="3"/>
  <c r="T319" i="3"/>
  <c r="U319" i="3"/>
  <c r="V319" i="3"/>
  <c r="W319" i="3"/>
  <c r="X319" i="3"/>
  <c r="Y319" i="3"/>
  <c r="P320" i="3"/>
  <c r="Q320" i="3"/>
  <c r="R320" i="3"/>
  <c r="S320" i="3"/>
  <c r="T320" i="3"/>
  <c r="U320" i="3"/>
  <c r="V320" i="3"/>
  <c r="W320" i="3"/>
  <c r="X320" i="3"/>
  <c r="Y320" i="3"/>
  <c r="P321" i="3"/>
  <c r="Q321" i="3" s="1"/>
  <c r="R321" i="3"/>
  <c r="S321" i="3"/>
  <c r="T321" i="3"/>
  <c r="U321" i="3"/>
  <c r="V321" i="3"/>
  <c r="W321" i="3"/>
  <c r="X321" i="3"/>
  <c r="Y321" i="3"/>
  <c r="P322" i="3"/>
  <c r="Q322" i="3"/>
  <c r="R322" i="3"/>
  <c r="S322" i="3"/>
  <c r="T322" i="3"/>
  <c r="U322" i="3"/>
  <c r="V322" i="3"/>
  <c r="W322" i="3"/>
  <c r="X322" i="3"/>
  <c r="Y322" i="3"/>
  <c r="P323" i="3"/>
  <c r="Q323" i="3" s="1"/>
  <c r="R323" i="3"/>
  <c r="S323" i="3"/>
  <c r="T323" i="3"/>
  <c r="U323" i="3"/>
  <c r="V323" i="3"/>
  <c r="W323" i="3"/>
  <c r="X323" i="3"/>
  <c r="Y323" i="3"/>
  <c r="P324" i="3"/>
  <c r="Q324" i="3"/>
  <c r="R324" i="3"/>
  <c r="S324" i="3"/>
  <c r="T324" i="3"/>
  <c r="U324" i="3"/>
  <c r="V324" i="3"/>
  <c r="W324" i="3"/>
  <c r="X324" i="3"/>
  <c r="Y324" i="3"/>
  <c r="P325" i="3"/>
  <c r="Q325" i="3"/>
  <c r="R325" i="3"/>
  <c r="S325" i="3"/>
  <c r="T325" i="3"/>
  <c r="U325" i="3"/>
  <c r="V325" i="3"/>
  <c r="W325" i="3"/>
  <c r="X325" i="3"/>
  <c r="Y325" i="3"/>
  <c r="P326" i="3"/>
  <c r="Q326" i="3" s="1"/>
  <c r="R326" i="3"/>
  <c r="S326" i="3"/>
  <c r="T326" i="3"/>
  <c r="U326" i="3"/>
  <c r="V326" i="3"/>
  <c r="W326" i="3"/>
  <c r="X326" i="3"/>
  <c r="Y326" i="3"/>
  <c r="P327" i="3"/>
  <c r="Q327" i="3"/>
  <c r="R327" i="3"/>
  <c r="S327" i="3"/>
  <c r="T327" i="3"/>
  <c r="U327" i="3"/>
  <c r="V327" i="3"/>
  <c r="W327" i="3"/>
  <c r="X327" i="3"/>
  <c r="Y327" i="3"/>
  <c r="P328" i="3"/>
  <c r="Q328" i="3"/>
  <c r="R328" i="3"/>
  <c r="S328" i="3"/>
  <c r="T328" i="3"/>
  <c r="U328" i="3"/>
  <c r="V328" i="3"/>
  <c r="W328" i="3"/>
  <c r="X328" i="3"/>
  <c r="Y328" i="3"/>
  <c r="P329" i="3"/>
  <c r="Q329" i="3" s="1"/>
  <c r="R329" i="3"/>
  <c r="S329" i="3"/>
  <c r="T329" i="3"/>
  <c r="U329" i="3"/>
  <c r="V329" i="3"/>
  <c r="W329" i="3"/>
  <c r="X329" i="3"/>
  <c r="Y329" i="3"/>
  <c r="P330" i="3"/>
  <c r="Q330" i="3"/>
  <c r="R330" i="3"/>
  <c r="S330" i="3"/>
  <c r="T330" i="3"/>
  <c r="U330" i="3"/>
  <c r="V330" i="3"/>
  <c r="W330" i="3"/>
  <c r="X330" i="3"/>
  <c r="Y330" i="3"/>
  <c r="P331" i="3"/>
  <c r="Q331" i="3"/>
  <c r="R331" i="3"/>
  <c r="S331" i="3"/>
  <c r="T331" i="3"/>
  <c r="U331" i="3"/>
  <c r="V331" i="3"/>
  <c r="W331" i="3"/>
  <c r="X331" i="3"/>
  <c r="Y331" i="3"/>
  <c r="P332" i="3"/>
  <c r="Q332" i="3"/>
  <c r="R332" i="3"/>
  <c r="S332" i="3"/>
  <c r="T332" i="3"/>
  <c r="U332" i="3"/>
  <c r="V332" i="3"/>
  <c r="W332" i="3"/>
  <c r="X332" i="3"/>
  <c r="Y332" i="3" s="1"/>
  <c r="P333" i="3"/>
  <c r="Q333" i="3"/>
  <c r="R333" i="3"/>
  <c r="S333" i="3"/>
  <c r="T333" i="3"/>
  <c r="U333" i="3"/>
  <c r="V333" i="3"/>
  <c r="W333" i="3"/>
  <c r="X333" i="3"/>
  <c r="Y333" i="3"/>
  <c r="P334" i="3"/>
  <c r="Q334" i="3" s="1"/>
  <c r="R334" i="3"/>
  <c r="S334" i="3"/>
  <c r="T334" i="3"/>
  <c r="U334" i="3"/>
  <c r="V334" i="3"/>
  <c r="W334" i="3"/>
  <c r="X334" i="3"/>
  <c r="Y334" i="3"/>
  <c r="P335" i="3"/>
  <c r="Q335" i="3"/>
  <c r="R335" i="3"/>
  <c r="S335" i="3"/>
  <c r="T335" i="3"/>
  <c r="U335" i="3"/>
  <c r="V335" i="3"/>
  <c r="W335" i="3"/>
  <c r="X335" i="3"/>
  <c r="Y335" i="3"/>
  <c r="P336" i="3"/>
  <c r="Q336" i="3"/>
  <c r="R336" i="3"/>
  <c r="S336" i="3"/>
  <c r="T336" i="3"/>
  <c r="U336" i="3"/>
  <c r="V336" i="3"/>
  <c r="W336" i="3"/>
  <c r="X336" i="3"/>
  <c r="Y336" i="3"/>
  <c r="P337" i="3"/>
  <c r="Q337" i="3"/>
  <c r="R337" i="3"/>
  <c r="S337" i="3"/>
  <c r="T337" i="3"/>
  <c r="U337" i="3"/>
  <c r="V337" i="3"/>
  <c r="W337" i="3"/>
  <c r="X337" i="3"/>
  <c r="Y337" i="3"/>
  <c r="P338" i="3"/>
  <c r="Q338" i="3"/>
  <c r="R338" i="3"/>
  <c r="S338" i="3"/>
  <c r="T338" i="3"/>
  <c r="U338" i="3"/>
  <c r="V338" i="3"/>
  <c r="W338" i="3"/>
  <c r="X338" i="3"/>
  <c r="Y338" i="3"/>
  <c r="P339" i="3"/>
  <c r="Q339" i="3"/>
  <c r="R339" i="3"/>
  <c r="S339" i="3"/>
  <c r="T339" i="3"/>
  <c r="U339" i="3"/>
  <c r="V339" i="3"/>
  <c r="W339" i="3"/>
  <c r="X339" i="3"/>
  <c r="Y339" i="3"/>
  <c r="P340" i="3"/>
  <c r="Q340" i="3"/>
  <c r="R340" i="3"/>
  <c r="S340" i="3"/>
  <c r="T340" i="3"/>
  <c r="U340" i="3"/>
  <c r="V340" i="3"/>
  <c r="W340" i="3"/>
  <c r="X340" i="3"/>
  <c r="Y340" i="3"/>
  <c r="P341" i="3"/>
  <c r="Q341" i="3"/>
  <c r="R341" i="3"/>
  <c r="S341" i="3"/>
  <c r="T341" i="3"/>
  <c r="U341" i="3"/>
  <c r="V341" i="3"/>
  <c r="W341" i="3"/>
  <c r="X341" i="3"/>
  <c r="Y341" i="3"/>
  <c r="P342" i="3"/>
  <c r="Q342" i="3" s="1"/>
  <c r="R342" i="3"/>
  <c r="S342" i="3"/>
  <c r="T342" i="3"/>
  <c r="U342" i="3"/>
  <c r="V342" i="3"/>
  <c r="W342" i="3"/>
  <c r="X342" i="3"/>
  <c r="Y342" i="3"/>
  <c r="P343" i="3"/>
  <c r="Q343" i="3" s="1"/>
  <c r="R343" i="3"/>
  <c r="S343" i="3"/>
  <c r="T343" i="3"/>
  <c r="U343" i="3"/>
  <c r="V343" i="3"/>
  <c r="W343" i="3"/>
  <c r="X343" i="3"/>
  <c r="Y343" i="3"/>
  <c r="P344" i="3"/>
  <c r="Q344" i="3"/>
  <c r="R344" i="3"/>
  <c r="S344" i="3"/>
  <c r="T344" i="3"/>
  <c r="U344" i="3"/>
  <c r="V344" i="3"/>
  <c r="W344" i="3"/>
  <c r="X344" i="3"/>
  <c r="Y344" i="3"/>
  <c r="P345" i="3"/>
  <c r="Q345" i="3" s="1"/>
  <c r="R345" i="3"/>
  <c r="S345" i="3"/>
  <c r="T345" i="3"/>
  <c r="U345" i="3"/>
  <c r="V345" i="3"/>
  <c r="W345" i="3"/>
  <c r="X345" i="3"/>
  <c r="Y345" i="3"/>
  <c r="P346" i="3"/>
  <c r="Q346" i="3"/>
  <c r="R346" i="3"/>
  <c r="S346" i="3"/>
  <c r="T346" i="3"/>
  <c r="U346" i="3"/>
  <c r="V346" i="3"/>
  <c r="W346" i="3"/>
  <c r="X346" i="3"/>
  <c r="Y346" i="3"/>
  <c r="P347" i="3"/>
  <c r="Q347" i="3"/>
  <c r="R347" i="3"/>
  <c r="S347" i="3"/>
  <c r="T347" i="3"/>
  <c r="U347" i="3"/>
  <c r="V347" i="3"/>
  <c r="W347" i="3"/>
  <c r="X347" i="3"/>
  <c r="Y347" i="3"/>
  <c r="P348" i="3"/>
  <c r="Q348" i="3"/>
  <c r="R348" i="3"/>
  <c r="S348" i="3"/>
  <c r="T348" i="3"/>
  <c r="U348" i="3"/>
  <c r="V348" i="3"/>
  <c r="W348" i="3"/>
  <c r="X348" i="3"/>
  <c r="Y348" i="3"/>
  <c r="P349" i="3"/>
  <c r="Q349" i="3"/>
  <c r="R349" i="3"/>
  <c r="S349" i="3"/>
  <c r="T349" i="3"/>
  <c r="U349" i="3"/>
  <c r="V349" i="3"/>
  <c r="W349" i="3"/>
  <c r="X349" i="3"/>
  <c r="Y349" i="3"/>
  <c r="P350" i="3"/>
  <c r="Q350" i="3" s="1"/>
  <c r="R350" i="3"/>
  <c r="S350" i="3"/>
  <c r="T350" i="3"/>
  <c r="U350" i="3"/>
  <c r="V350" i="3"/>
  <c r="W350" i="3"/>
  <c r="X350" i="3"/>
  <c r="Y350" i="3" s="1"/>
  <c r="P351" i="3"/>
  <c r="Q351" i="3"/>
  <c r="R351" i="3"/>
  <c r="S351" i="3"/>
  <c r="T351" i="3"/>
  <c r="U351" i="3"/>
  <c r="V351" i="3"/>
  <c r="W351" i="3"/>
  <c r="X351" i="3"/>
  <c r="Y351" i="3"/>
  <c r="P352" i="3"/>
  <c r="Q352" i="3"/>
  <c r="R352" i="3"/>
  <c r="S352" i="3"/>
  <c r="T352" i="3"/>
  <c r="U352" i="3"/>
  <c r="V352" i="3"/>
  <c r="W352" i="3"/>
  <c r="X352" i="3"/>
  <c r="Y352" i="3"/>
  <c r="P353" i="3"/>
  <c r="Q353" i="3" s="1"/>
  <c r="R353" i="3"/>
  <c r="S353" i="3"/>
  <c r="T353" i="3"/>
  <c r="U353" i="3"/>
  <c r="V353" i="3"/>
  <c r="W353" i="3"/>
  <c r="X353" i="3"/>
  <c r="Y353" i="3"/>
  <c r="P354" i="3"/>
  <c r="Q354" i="3"/>
  <c r="R354" i="3"/>
  <c r="S354" i="3"/>
  <c r="T354" i="3"/>
  <c r="U354" i="3"/>
  <c r="V354" i="3"/>
  <c r="W354" i="3"/>
  <c r="X354" i="3"/>
  <c r="Y354" i="3"/>
  <c r="P355" i="3"/>
  <c r="Q355" i="3"/>
  <c r="R355" i="3"/>
  <c r="S355" i="3"/>
  <c r="T355" i="3"/>
  <c r="U355" i="3"/>
  <c r="V355" i="3"/>
  <c r="W355" i="3"/>
  <c r="X355" i="3"/>
  <c r="Y355" i="3"/>
  <c r="P356" i="3"/>
  <c r="Q356" i="3"/>
  <c r="R356" i="3"/>
  <c r="S356" i="3"/>
  <c r="T356" i="3"/>
  <c r="U356" i="3"/>
  <c r="V356" i="3"/>
  <c r="W356" i="3"/>
  <c r="X356" i="3"/>
  <c r="Y356" i="3"/>
  <c r="P357" i="3"/>
  <c r="Q357" i="3"/>
  <c r="R357" i="3"/>
  <c r="S357" i="3"/>
  <c r="T357" i="3"/>
  <c r="U357" i="3"/>
  <c r="V357" i="3"/>
  <c r="W357" i="3"/>
  <c r="X357" i="3"/>
  <c r="Y357" i="3" s="1"/>
  <c r="P358" i="3"/>
  <c r="Q358" i="3" s="1"/>
  <c r="R358" i="3"/>
  <c r="S358" i="3"/>
  <c r="T358" i="3"/>
  <c r="U358" i="3"/>
  <c r="V358" i="3"/>
  <c r="W358" i="3"/>
  <c r="X358" i="3"/>
  <c r="Y358" i="3"/>
  <c r="P359" i="3"/>
  <c r="Q359" i="3" s="1"/>
  <c r="R359" i="3"/>
  <c r="S359" i="3"/>
  <c r="T359" i="3"/>
  <c r="U359" i="3"/>
  <c r="V359" i="3"/>
  <c r="W359" i="3"/>
  <c r="X359" i="3"/>
  <c r="Y359" i="3"/>
  <c r="P360" i="3"/>
  <c r="Q360" i="3"/>
  <c r="R360" i="3"/>
  <c r="S360" i="3"/>
  <c r="T360" i="3"/>
  <c r="U360" i="3"/>
  <c r="V360" i="3"/>
  <c r="W360" i="3"/>
  <c r="X360" i="3"/>
  <c r="Y360" i="3"/>
  <c r="P361" i="3"/>
  <c r="Q361" i="3" s="1"/>
  <c r="R361" i="3"/>
  <c r="S361" i="3"/>
  <c r="T361" i="3"/>
  <c r="U361" i="3"/>
  <c r="V361" i="3"/>
  <c r="W361" i="3"/>
  <c r="X361" i="3"/>
  <c r="Y361" i="3"/>
  <c r="P362" i="3"/>
  <c r="Q362" i="3"/>
  <c r="R362" i="3"/>
  <c r="S362" i="3"/>
  <c r="T362" i="3"/>
  <c r="U362" i="3"/>
  <c r="V362" i="3"/>
  <c r="W362" i="3"/>
  <c r="X362" i="3"/>
  <c r="Y362" i="3"/>
  <c r="P363" i="3"/>
  <c r="Q363" i="3"/>
  <c r="R363" i="3"/>
  <c r="S363" i="3"/>
  <c r="T363" i="3"/>
  <c r="U363" i="3"/>
  <c r="V363" i="3"/>
  <c r="W363" i="3"/>
  <c r="X363" i="3"/>
  <c r="Y363" i="3"/>
  <c r="P364" i="3"/>
  <c r="Q364" i="3"/>
  <c r="R364" i="3"/>
  <c r="S364" i="3"/>
  <c r="T364" i="3"/>
  <c r="U364" i="3"/>
  <c r="V364" i="3"/>
  <c r="W364" i="3"/>
  <c r="X364" i="3"/>
  <c r="Y364" i="3"/>
  <c r="P365" i="3"/>
  <c r="Q365" i="3"/>
  <c r="R365" i="3"/>
  <c r="S365" i="3"/>
  <c r="T365" i="3"/>
  <c r="U365" i="3"/>
  <c r="V365" i="3"/>
  <c r="W365" i="3"/>
  <c r="X365" i="3"/>
  <c r="Y365" i="3"/>
  <c r="P366" i="3"/>
  <c r="Q366" i="3" s="1"/>
  <c r="R366" i="3"/>
  <c r="S366" i="3"/>
  <c r="T366" i="3"/>
  <c r="U366" i="3"/>
  <c r="V366" i="3"/>
  <c r="W366" i="3"/>
  <c r="X366" i="3"/>
  <c r="Y366" i="3"/>
  <c r="P367" i="3"/>
  <c r="Q367" i="3"/>
  <c r="R367" i="3"/>
  <c r="S367" i="3"/>
  <c r="T367" i="3"/>
  <c r="U367" i="3"/>
  <c r="V367" i="3"/>
  <c r="W367" i="3"/>
  <c r="X367" i="3"/>
  <c r="Y367" i="3" s="1"/>
  <c r="P368" i="3"/>
  <c r="Q368" i="3"/>
  <c r="R368" i="3"/>
  <c r="S368" i="3"/>
  <c r="T368" i="3"/>
  <c r="U368" i="3"/>
  <c r="V368" i="3"/>
  <c r="W368" i="3"/>
  <c r="X368" i="3"/>
  <c r="Y368" i="3" s="1"/>
  <c r="P369" i="3"/>
  <c r="Q369" i="3" s="1"/>
  <c r="R369" i="3"/>
  <c r="S369" i="3"/>
  <c r="T369" i="3"/>
  <c r="U369" i="3"/>
  <c r="V369" i="3"/>
  <c r="W369" i="3"/>
  <c r="X369" i="3"/>
  <c r="Y369" i="3"/>
  <c r="P370" i="3"/>
  <c r="Q370" i="3"/>
  <c r="R370" i="3"/>
  <c r="S370" i="3"/>
  <c r="T370" i="3"/>
  <c r="U370" i="3"/>
  <c r="V370" i="3"/>
  <c r="W370" i="3"/>
  <c r="X370" i="3"/>
  <c r="Y370" i="3"/>
  <c r="P371" i="3"/>
  <c r="Q371" i="3"/>
  <c r="R371" i="3"/>
  <c r="S371" i="3"/>
  <c r="T371" i="3"/>
  <c r="U371" i="3"/>
  <c r="V371" i="3"/>
  <c r="W371" i="3"/>
  <c r="X371" i="3"/>
  <c r="Y371" i="3"/>
  <c r="P372" i="3"/>
  <c r="Q372" i="3"/>
  <c r="R372" i="3"/>
  <c r="S372" i="3"/>
  <c r="T372" i="3"/>
  <c r="U372" i="3"/>
  <c r="V372" i="3"/>
  <c r="W372" i="3"/>
  <c r="X372" i="3"/>
  <c r="Y372" i="3" s="1"/>
  <c r="P373" i="3"/>
  <c r="Q373" i="3"/>
  <c r="R373" i="3"/>
  <c r="S373" i="3"/>
  <c r="T373" i="3"/>
  <c r="U373" i="3"/>
  <c r="V373" i="3"/>
  <c r="W373" i="3"/>
  <c r="X373" i="3"/>
  <c r="Y373" i="3"/>
  <c r="P374" i="3"/>
  <c r="Q374" i="3" s="1"/>
  <c r="R374" i="3"/>
  <c r="S374" i="3"/>
  <c r="T374" i="3"/>
  <c r="U374" i="3"/>
  <c r="V374" i="3"/>
  <c r="W374" i="3"/>
  <c r="X374" i="3"/>
  <c r="Y374" i="3"/>
  <c r="P375" i="3"/>
  <c r="Q375" i="3"/>
  <c r="R375" i="3"/>
  <c r="S375" i="3"/>
  <c r="T375" i="3"/>
  <c r="U375" i="3"/>
  <c r="V375" i="3"/>
  <c r="W375" i="3"/>
  <c r="X375" i="3"/>
  <c r="Y375" i="3"/>
  <c r="P376" i="3"/>
  <c r="Q376" i="3"/>
  <c r="R376" i="3"/>
  <c r="S376" i="3"/>
  <c r="T376" i="3"/>
  <c r="U376" i="3"/>
  <c r="V376" i="3"/>
  <c r="W376" i="3"/>
  <c r="X376" i="3"/>
  <c r="Y376" i="3"/>
  <c r="P377" i="3"/>
  <c r="Q377" i="3" s="1"/>
  <c r="R377" i="3"/>
  <c r="S377" i="3"/>
  <c r="T377" i="3"/>
  <c r="U377" i="3"/>
  <c r="V377" i="3"/>
  <c r="W377" i="3"/>
  <c r="X377" i="3"/>
  <c r="Y377" i="3" s="1"/>
  <c r="P378" i="3"/>
  <c r="Q378" i="3"/>
  <c r="R378" i="3"/>
  <c r="S378" i="3"/>
  <c r="T378" i="3"/>
  <c r="U378" i="3"/>
  <c r="V378" i="3"/>
  <c r="W378" i="3"/>
  <c r="X378" i="3"/>
  <c r="Y378" i="3"/>
  <c r="P379" i="3"/>
  <c r="Q379" i="3"/>
  <c r="R379" i="3"/>
  <c r="S379" i="3"/>
  <c r="T379" i="3"/>
  <c r="U379" i="3"/>
  <c r="V379" i="3"/>
  <c r="W379" i="3"/>
  <c r="X379" i="3"/>
  <c r="Y379" i="3"/>
  <c r="P380" i="3"/>
  <c r="Q380" i="3"/>
  <c r="R380" i="3"/>
  <c r="S380" i="3"/>
  <c r="T380" i="3"/>
  <c r="U380" i="3"/>
  <c r="V380" i="3"/>
  <c r="W380" i="3"/>
  <c r="X380" i="3"/>
  <c r="Y380" i="3"/>
  <c r="P381" i="3"/>
  <c r="Q381" i="3" s="1"/>
  <c r="R381" i="3"/>
  <c r="S381" i="3"/>
  <c r="T381" i="3"/>
  <c r="U381" i="3"/>
  <c r="V381" i="3"/>
  <c r="W381" i="3"/>
  <c r="X381" i="3"/>
  <c r="Y381" i="3"/>
  <c r="P382" i="3"/>
  <c r="Q382" i="3" s="1"/>
  <c r="R382" i="3"/>
  <c r="S382" i="3"/>
  <c r="T382" i="3"/>
  <c r="U382" i="3"/>
  <c r="V382" i="3"/>
  <c r="W382" i="3"/>
  <c r="X382" i="3"/>
  <c r="Y382" i="3"/>
  <c r="P383" i="3"/>
  <c r="Q383" i="3"/>
  <c r="R383" i="3"/>
  <c r="S383" i="3"/>
  <c r="T383" i="3"/>
  <c r="U383" i="3"/>
  <c r="V383" i="3"/>
  <c r="W383" i="3"/>
  <c r="X383" i="3"/>
  <c r="Y383" i="3"/>
  <c r="P384" i="3"/>
  <c r="Q384" i="3"/>
  <c r="R384" i="3"/>
  <c r="S384" i="3"/>
  <c r="T384" i="3"/>
  <c r="U384" i="3"/>
  <c r="V384" i="3"/>
  <c r="W384" i="3"/>
  <c r="X384" i="3"/>
  <c r="Y384" i="3"/>
  <c r="P385" i="3"/>
  <c r="Q385" i="3" s="1"/>
  <c r="R385" i="3"/>
  <c r="S385" i="3"/>
  <c r="T385" i="3"/>
  <c r="U385" i="3"/>
  <c r="V385" i="3"/>
  <c r="W385" i="3"/>
  <c r="X385" i="3"/>
  <c r="Y385" i="3"/>
  <c r="P386" i="3"/>
  <c r="Q386" i="3" s="1"/>
  <c r="R386" i="3"/>
  <c r="S386" i="3"/>
  <c r="T386" i="3"/>
  <c r="U386" i="3"/>
  <c r="V386" i="3"/>
  <c r="W386" i="3"/>
  <c r="X386" i="3"/>
  <c r="Y386" i="3"/>
  <c r="P387" i="3"/>
  <c r="Q387" i="3"/>
  <c r="R387" i="3"/>
  <c r="S387" i="3"/>
  <c r="T387" i="3"/>
  <c r="U387" i="3"/>
  <c r="V387" i="3"/>
  <c r="W387" i="3"/>
  <c r="X387" i="3"/>
  <c r="Y387" i="3"/>
  <c r="P388" i="3"/>
  <c r="Q388" i="3"/>
  <c r="R388" i="3"/>
  <c r="S388" i="3"/>
  <c r="T388" i="3"/>
  <c r="U388" i="3"/>
  <c r="V388" i="3"/>
  <c r="W388" i="3"/>
  <c r="X388" i="3"/>
  <c r="Y388" i="3"/>
  <c r="P389" i="3"/>
  <c r="Q389" i="3"/>
  <c r="R389" i="3"/>
  <c r="S389" i="3"/>
  <c r="T389" i="3"/>
  <c r="U389" i="3"/>
  <c r="V389" i="3"/>
  <c r="W389" i="3"/>
  <c r="X389" i="3"/>
  <c r="Y389" i="3"/>
  <c r="P390" i="3"/>
  <c r="Q390" i="3" s="1"/>
  <c r="R390" i="3"/>
  <c r="S390" i="3"/>
  <c r="T390" i="3"/>
  <c r="U390" i="3"/>
  <c r="V390" i="3"/>
  <c r="W390" i="3"/>
  <c r="X390" i="3"/>
  <c r="Y390" i="3"/>
  <c r="P391" i="3"/>
  <c r="Q391" i="3"/>
  <c r="R391" i="3"/>
  <c r="S391" i="3"/>
  <c r="T391" i="3"/>
  <c r="U391" i="3"/>
  <c r="V391" i="3"/>
  <c r="W391" i="3"/>
  <c r="X391" i="3"/>
  <c r="Y391" i="3" s="1"/>
  <c r="P392" i="3"/>
  <c r="Q392" i="3"/>
  <c r="R392" i="3"/>
  <c r="S392" i="3"/>
  <c r="T392" i="3"/>
  <c r="U392" i="3"/>
  <c r="V392" i="3"/>
  <c r="W392" i="3"/>
  <c r="X392" i="3"/>
  <c r="Y392" i="3"/>
  <c r="P393" i="3"/>
  <c r="Q393" i="3" s="1"/>
  <c r="R393" i="3"/>
  <c r="S393" i="3"/>
  <c r="T393" i="3"/>
  <c r="U393" i="3"/>
  <c r="V393" i="3"/>
  <c r="W393" i="3"/>
  <c r="X393" i="3"/>
  <c r="Y393" i="3"/>
  <c r="P394" i="3"/>
  <c r="Q394" i="3"/>
  <c r="R394" i="3"/>
  <c r="S394" i="3"/>
  <c r="T394" i="3"/>
  <c r="U394" i="3"/>
  <c r="V394" i="3"/>
  <c r="W394" i="3"/>
  <c r="X394" i="3"/>
  <c r="Y394" i="3"/>
  <c r="P395" i="3"/>
  <c r="Q395" i="3" s="1"/>
  <c r="R395" i="3"/>
  <c r="S395" i="3"/>
  <c r="T395" i="3"/>
  <c r="U395" i="3"/>
  <c r="V395" i="3"/>
  <c r="W395" i="3"/>
  <c r="X395" i="3"/>
  <c r="Y395" i="3"/>
  <c r="P396" i="3"/>
  <c r="Q396" i="3"/>
  <c r="R396" i="3"/>
  <c r="S396" i="3"/>
  <c r="T396" i="3"/>
  <c r="U396" i="3"/>
  <c r="V396" i="3"/>
  <c r="W396" i="3"/>
  <c r="X396" i="3"/>
  <c r="Y396" i="3"/>
  <c r="P397" i="3"/>
  <c r="Q397" i="3"/>
  <c r="R397" i="3"/>
  <c r="S397" i="3"/>
  <c r="T397" i="3"/>
  <c r="U397" i="3"/>
  <c r="V397" i="3"/>
  <c r="W397" i="3"/>
  <c r="X397" i="3"/>
  <c r="Y397" i="3"/>
  <c r="P398" i="3"/>
  <c r="Q398" i="3" s="1"/>
  <c r="R398" i="3"/>
  <c r="S398" i="3"/>
  <c r="T398" i="3"/>
  <c r="U398" i="3"/>
  <c r="V398" i="3"/>
  <c r="W398" i="3"/>
  <c r="X398" i="3"/>
  <c r="Y398" i="3"/>
  <c r="P399" i="3"/>
  <c r="Q399" i="3"/>
  <c r="R399" i="3"/>
  <c r="S399" i="3"/>
  <c r="T399" i="3"/>
  <c r="U399" i="3"/>
  <c r="V399" i="3"/>
  <c r="W399" i="3"/>
  <c r="X399" i="3"/>
  <c r="Y399" i="3"/>
  <c r="P400" i="3"/>
  <c r="Q400" i="3" s="1"/>
  <c r="R400" i="3"/>
  <c r="S400" i="3"/>
  <c r="T400" i="3"/>
  <c r="U400" i="3"/>
  <c r="V400" i="3"/>
  <c r="W400" i="3"/>
  <c r="X400" i="3"/>
  <c r="Y400" i="3"/>
  <c r="P401" i="3"/>
  <c r="Q401" i="3" s="1"/>
  <c r="R401" i="3"/>
  <c r="S401" i="3"/>
  <c r="T401" i="3"/>
  <c r="U401" i="3"/>
  <c r="V401" i="3"/>
  <c r="W401" i="3"/>
  <c r="X401" i="3"/>
  <c r="Y401" i="3"/>
  <c r="P402" i="3"/>
  <c r="Q402" i="3"/>
  <c r="R402" i="3"/>
  <c r="S402" i="3"/>
  <c r="T402" i="3"/>
  <c r="U402" i="3"/>
  <c r="V402" i="3"/>
  <c r="W402" i="3"/>
  <c r="X402" i="3"/>
  <c r="Y402" i="3"/>
  <c r="P403" i="3"/>
  <c r="Q403" i="3"/>
  <c r="R403" i="3"/>
  <c r="S403" i="3"/>
  <c r="T403" i="3"/>
  <c r="U403" i="3"/>
  <c r="V403" i="3"/>
  <c r="W403" i="3"/>
  <c r="X403" i="3"/>
  <c r="Y403" i="3"/>
  <c r="P404" i="3"/>
  <c r="Q404" i="3"/>
  <c r="R404" i="3"/>
  <c r="S404" i="3"/>
  <c r="T404" i="3"/>
  <c r="U404" i="3"/>
  <c r="V404" i="3"/>
  <c r="W404" i="3"/>
  <c r="X404" i="3"/>
  <c r="Y404" i="3"/>
  <c r="P405" i="3"/>
  <c r="Q405" i="3"/>
  <c r="R405" i="3"/>
  <c r="S405" i="3"/>
  <c r="T405" i="3"/>
  <c r="U405" i="3"/>
  <c r="V405" i="3"/>
  <c r="W405" i="3"/>
  <c r="X405" i="3"/>
  <c r="Y405" i="3" s="1"/>
  <c r="P406" i="3"/>
  <c r="Q406" i="3" s="1"/>
  <c r="R406" i="3"/>
  <c r="S406" i="3"/>
  <c r="T406" i="3"/>
  <c r="U406" i="3"/>
  <c r="V406" i="3"/>
  <c r="W406" i="3"/>
  <c r="X406" i="3"/>
  <c r="Y406" i="3"/>
  <c r="P407" i="3"/>
  <c r="Q407" i="3"/>
  <c r="R407" i="3"/>
  <c r="S407" i="3"/>
  <c r="T407" i="3"/>
  <c r="U407" i="3"/>
  <c r="V407" i="3"/>
  <c r="W407" i="3"/>
  <c r="X407" i="3"/>
  <c r="Y407" i="3"/>
  <c r="P408" i="3"/>
  <c r="Q408" i="3"/>
  <c r="R408" i="3"/>
  <c r="S408" i="3"/>
  <c r="T408" i="3"/>
  <c r="U408" i="3"/>
  <c r="V408" i="3"/>
  <c r="W408" i="3"/>
  <c r="X408" i="3"/>
  <c r="Y408" i="3"/>
  <c r="P409" i="3"/>
  <c r="Q409" i="3" s="1"/>
  <c r="R409" i="3"/>
  <c r="S409" i="3"/>
  <c r="T409" i="3"/>
  <c r="U409" i="3"/>
  <c r="V409" i="3"/>
  <c r="W409" i="3"/>
  <c r="X409" i="3"/>
  <c r="Y409" i="3"/>
  <c r="P410" i="3"/>
  <c r="Q410" i="3"/>
  <c r="R410" i="3"/>
  <c r="S410" i="3"/>
  <c r="T410" i="3"/>
  <c r="U410" i="3"/>
  <c r="V410" i="3"/>
  <c r="W410" i="3"/>
  <c r="X410" i="3"/>
  <c r="Y410" i="3" s="1"/>
  <c r="P411" i="3"/>
  <c r="Q411" i="3"/>
  <c r="R411" i="3"/>
  <c r="S411" i="3"/>
  <c r="T411" i="3"/>
  <c r="U411" i="3"/>
  <c r="V411" i="3"/>
  <c r="W411" i="3"/>
  <c r="X411" i="3"/>
  <c r="Y411" i="3"/>
  <c r="P412" i="3"/>
  <c r="Q412" i="3"/>
  <c r="R412" i="3"/>
  <c r="S412" i="3"/>
  <c r="T412" i="3"/>
  <c r="U412" i="3"/>
  <c r="V412" i="3"/>
  <c r="W412" i="3"/>
  <c r="X412" i="3"/>
  <c r="Y412" i="3"/>
  <c r="P413" i="3"/>
  <c r="Q413" i="3"/>
  <c r="R413" i="3"/>
  <c r="S413" i="3"/>
  <c r="T413" i="3"/>
  <c r="U413" i="3"/>
  <c r="V413" i="3"/>
  <c r="W413" i="3"/>
  <c r="X413" i="3"/>
  <c r="Y413" i="3"/>
  <c r="P414" i="3"/>
  <c r="Q414" i="3" s="1"/>
  <c r="R414" i="3"/>
  <c r="S414" i="3"/>
  <c r="T414" i="3"/>
  <c r="U414" i="3"/>
  <c r="V414" i="3"/>
  <c r="W414" i="3"/>
  <c r="X414" i="3"/>
  <c r="Y414" i="3" s="1"/>
  <c r="P415" i="3"/>
  <c r="Q415" i="3"/>
  <c r="R415" i="3"/>
  <c r="S415" i="3"/>
  <c r="T415" i="3"/>
  <c r="U415" i="3"/>
  <c r="V415" i="3"/>
  <c r="W415" i="3"/>
  <c r="X415" i="3"/>
  <c r="Y415" i="3" s="1"/>
  <c r="P416" i="3"/>
  <c r="Q416" i="3"/>
  <c r="R416" i="3"/>
  <c r="S416" i="3"/>
  <c r="T416" i="3"/>
  <c r="U416" i="3"/>
  <c r="V416" i="3"/>
  <c r="W416" i="3"/>
  <c r="X416" i="3"/>
  <c r="Y416" i="3" s="1"/>
  <c r="P417" i="3"/>
  <c r="Q417" i="3" s="1"/>
  <c r="R417" i="3"/>
  <c r="S417" i="3"/>
  <c r="T417" i="3"/>
  <c r="U417" i="3"/>
  <c r="V417" i="3"/>
  <c r="W417" i="3"/>
  <c r="X417" i="3"/>
  <c r="Y417" i="3"/>
  <c r="P418" i="3"/>
  <c r="Q418" i="3"/>
  <c r="R418" i="3"/>
  <c r="S418" i="3"/>
  <c r="T418" i="3"/>
  <c r="U418" i="3"/>
  <c r="V418" i="3"/>
  <c r="W418" i="3"/>
  <c r="X418" i="3"/>
  <c r="Y418" i="3"/>
  <c r="P419" i="3"/>
  <c r="Q419" i="3"/>
  <c r="R419" i="3"/>
  <c r="S419" i="3"/>
  <c r="T419" i="3"/>
  <c r="U419" i="3"/>
  <c r="V419" i="3"/>
  <c r="W419" i="3"/>
  <c r="X419" i="3"/>
  <c r="Y419" i="3"/>
  <c r="P420" i="3"/>
  <c r="Q420" i="3"/>
  <c r="R420" i="3"/>
  <c r="S420" i="3"/>
  <c r="T420" i="3"/>
  <c r="U420" i="3"/>
  <c r="V420" i="3"/>
  <c r="W420" i="3"/>
  <c r="X420" i="3"/>
  <c r="Y420" i="3"/>
  <c r="P421" i="3"/>
  <c r="Q421" i="3"/>
  <c r="R421" i="3"/>
  <c r="S421" i="3"/>
  <c r="T421" i="3"/>
  <c r="U421" i="3"/>
  <c r="V421" i="3"/>
  <c r="W421" i="3"/>
  <c r="X421" i="3"/>
  <c r="Y421" i="3"/>
  <c r="P422" i="3"/>
  <c r="Q422" i="3" s="1"/>
  <c r="R422" i="3"/>
  <c r="S422" i="3"/>
  <c r="T422" i="3"/>
  <c r="U422" i="3"/>
  <c r="V422" i="3"/>
  <c r="W422" i="3"/>
  <c r="X422" i="3"/>
  <c r="Y422" i="3"/>
  <c r="P423" i="3"/>
  <c r="Q423" i="3" s="1"/>
  <c r="R423" i="3"/>
  <c r="S423" i="3"/>
  <c r="T423" i="3"/>
  <c r="U423" i="3"/>
  <c r="V423" i="3"/>
  <c r="W423" i="3"/>
  <c r="X423" i="3"/>
  <c r="Y423" i="3"/>
  <c r="P424" i="3"/>
  <c r="Q424" i="3"/>
  <c r="R424" i="3"/>
  <c r="S424" i="3"/>
  <c r="T424" i="3"/>
  <c r="U424" i="3"/>
  <c r="V424" i="3"/>
  <c r="W424" i="3"/>
  <c r="X424" i="3"/>
  <c r="Y424" i="3"/>
  <c r="P425" i="3"/>
  <c r="Q425" i="3"/>
  <c r="R425" i="3"/>
  <c r="S425" i="3"/>
  <c r="T425" i="3"/>
  <c r="U425" i="3"/>
  <c r="V425" i="3"/>
  <c r="W425" i="3"/>
  <c r="X425" i="3"/>
  <c r="Y425" i="3"/>
  <c r="P426" i="3"/>
  <c r="Q426" i="3"/>
  <c r="R426" i="3"/>
  <c r="S426" i="3"/>
  <c r="T426" i="3"/>
  <c r="U426" i="3"/>
  <c r="V426" i="3"/>
  <c r="W426" i="3"/>
  <c r="X426" i="3"/>
  <c r="Y426" i="3"/>
  <c r="P427" i="3"/>
  <c r="Q427" i="3"/>
  <c r="R427" i="3"/>
  <c r="S427" i="3"/>
  <c r="T427" i="3"/>
  <c r="U427" i="3"/>
  <c r="V427" i="3"/>
  <c r="W427" i="3"/>
  <c r="X427" i="3"/>
  <c r="Y427" i="3" s="1"/>
  <c r="P428" i="3"/>
  <c r="Q428" i="3"/>
  <c r="R428" i="3"/>
  <c r="S428" i="3"/>
  <c r="T428" i="3"/>
  <c r="U428" i="3"/>
  <c r="V428" i="3"/>
  <c r="W428" i="3"/>
  <c r="X428" i="3"/>
  <c r="Y428" i="3"/>
  <c r="P429" i="3"/>
  <c r="Q429" i="3" s="1"/>
  <c r="R429" i="3"/>
  <c r="S429" i="3"/>
  <c r="T429" i="3"/>
  <c r="U429" i="3"/>
  <c r="V429" i="3"/>
  <c r="W429" i="3"/>
  <c r="X429" i="3"/>
  <c r="Y429" i="3"/>
  <c r="P430" i="3"/>
  <c r="Q430" i="3" s="1"/>
  <c r="R430" i="3"/>
  <c r="S430" i="3"/>
  <c r="T430" i="3"/>
  <c r="U430" i="3"/>
  <c r="V430" i="3"/>
  <c r="W430" i="3"/>
  <c r="X430" i="3"/>
  <c r="Y430" i="3"/>
  <c r="P431" i="3"/>
  <c r="Q431" i="3"/>
  <c r="R431" i="3"/>
  <c r="S431" i="3"/>
  <c r="T431" i="3"/>
  <c r="U431" i="3"/>
  <c r="V431" i="3"/>
  <c r="W431" i="3"/>
  <c r="X431" i="3"/>
  <c r="Y431" i="3" s="1"/>
  <c r="P432" i="3"/>
  <c r="Q432" i="3"/>
  <c r="R432" i="3"/>
  <c r="S432" i="3"/>
  <c r="T432" i="3"/>
  <c r="U432" i="3"/>
  <c r="V432" i="3"/>
  <c r="W432" i="3"/>
  <c r="X432" i="3"/>
  <c r="Y432" i="3"/>
  <c r="P433" i="3"/>
  <c r="Q433" i="3"/>
  <c r="R433" i="3"/>
  <c r="S433" i="3"/>
  <c r="T433" i="3"/>
  <c r="U433" i="3"/>
  <c r="V433" i="3"/>
  <c r="W433" i="3"/>
  <c r="X433" i="3"/>
  <c r="Y433" i="3"/>
  <c r="P434" i="3"/>
  <c r="Q434" i="3"/>
  <c r="R434" i="3"/>
  <c r="S434" i="3"/>
  <c r="T434" i="3"/>
  <c r="U434" i="3"/>
  <c r="V434" i="3"/>
  <c r="W434" i="3"/>
  <c r="X434" i="3"/>
  <c r="Y434" i="3"/>
  <c r="P435" i="3"/>
  <c r="Q435" i="3" s="1"/>
  <c r="R435" i="3"/>
  <c r="S435" i="3"/>
  <c r="T435" i="3"/>
  <c r="U435" i="3"/>
  <c r="V435" i="3"/>
  <c r="W435" i="3"/>
  <c r="X435" i="3"/>
  <c r="Y435" i="3"/>
  <c r="P436" i="3"/>
  <c r="Q436" i="3"/>
  <c r="R436" i="3"/>
  <c r="S436" i="3"/>
  <c r="T436" i="3"/>
  <c r="U436" i="3"/>
  <c r="V436" i="3"/>
  <c r="W436" i="3"/>
  <c r="X436" i="3"/>
  <c r="Y436" i="3"/>
  <c r="P437" i="3"/>
  <c r="Q437" i="3"/>
  <c r="R437" i="3"/>
  <c r="S437" i="3"/>
  <c r="T437" i="3"/>
  <c r="U437" i="3"/>
  <c r="V437" i="3"/>
  <c r="W437" i="3"/>
  <c r="X437" i="3"/>
  <c r="Y437" i="3"/>
  <c r="P438" i="3"/>
  <c r="Q438" i="3" s="1"/>
  <c r="R438" i="3"/>
  <c r="S438" i="3"/>
  <c r="T438" i="3"/>
  <c r="U438" i="3"/>
  <c r="V438" i="3"/>
  <c r="W438" i="3"/>
  <c r="X438" i="3"/>
  <c r="Y438" i="3" s="1"/>
  <c r="P439" i="3"/>
  <c r="Q439" i="3"/>
  <c r="R439" i="3"/>
  <c r="S439" i="3"/>
  <c r="T439" i="3"/>
  <c r="U439" i="3"/>
  <c r="V439" i="3"/>
  <c r="W439" i="3"/>
  <c r="X439" i="3"/>
  <c r="Y439" i="3"/>
  <c r="P440" i="3"/>
  <c r="Q440" i="3" s="1"/>
  <c r="R440" i="3"/>
  <c r="S440" i="3"/>
  <c r="T440" i="3"/>
  <c r="U440" i="3"/>
  <c r="V440" i="3"/>
  <c r="W440" i="3"/>
  <c r="X440" i="3"/>
  <c r="Y440" i="3" s="1"/>
  <c r="P441" i="3"/>
  <c r="Q441" i="3" s="1"/>
  <c r="R441" i="3"/>
  <c r="S441" i="3"/>
  <c r="T441" i="3"/>
  <c r="U441" i="3"/>
  <c r="V441" i="3"/>
  <c r="W441" i="3"/>
  <c r="X441" i="3"/>
  <c r="Y441" i="3" s="1"/>
  <c r="P442" i="3"/>
  <c r="Q442" i="3"/>
  <c r="R442" i="3"/>
  <c r="S442" i="3"/>
  <c r="T442" i="3"/>
  <c r="U442" i="3"/>
  <c r="V442" i="3"/>
  <c r="W442" i="3"/>
  <c r="X442" i="3"/>
  <c r="Y442" i="3"/>
  <c r="P443" i="3"/>
  <c r="Q443" i="3"/>
  <c r="R443" i="3"/>
  <c r="S443" i="3"/>
  <c r="T443" i="3"/>
  <c r="U443" i="3"/>
  <c r="V443" i="3"/>
  <c r="W443" i="3"/>
  <c r="X443" i="3"/>
  <c r="Y443" i="3" s="1"/>
  <c r="P444" i="3"/>
  <c r="Q444" i="3"/>
  <c r="R444" i="3"/>
  <c r="S444" i="3"/>
  <c r="T444" i="3"/>
  <c r="U444" i="3"/>
  <c r="V444" i="3"/>
  <c r="W444" i="3"/>
  <c r="X444" i="3"/>
  <c r="Y444" i="3"/>
  <c r="P445" i="3"/>
  <c r="Q445" i="3"/>
  <c r="R445" i="3"/>
  <c r="S445" i="3"/>
  <c r="T445" i="3"/>
  <c r="U445" i="3"/>
  <c r="V445" i="3"/>
  <c r="W445" i="3"/>
  <c r="X445" i="3"/>
  <c r="Y445" i="3"/>
  <c r="P446" i="3"/>
  <c r="Q446" i="3" s="1"/>
  <c r="R446" i="3"/>
  <c r="S446" i="3"/>
  <c r="T446" i="3"/>
  <c r="U446" i="3"/>
  <c r="V446" i="3"/>
  <c r="W446" i="3"/>
  <c r="X446" i="3"/>
  <c r="Y446" i="3" s="1"/>
  <c r="P447" i="3"/>
  <c r="Q447" i="3"/>
  <c r="R447" i="3"/>
  <c r="S447" i="3"/>
  <c r="T447" i="3"/>
  <c r="U447" i="3"/>
  <c r="V447" i="3"/>
  <c r="W447" i="3"/>
  <c r="X447" i="3"/>
  <c r="Y447" i="3"/>
  <c r="P448" i="3"/>
  <c r="Q448" i="3"/>
  <c r="R448" i="3"/>
  <c r="S448" i="3"/>
  <c r="T448" i="3"/>
  <c r="U448" i="3"/>
  <c r="V448" i="3"/>
  <c r="W448" i="3"/>
  <c r="X448" i="3"/>
  <c r="Y448" i="3"/>
  <c r="P449" i="3"/>
  <c r="Q449" i="3" s="1"/>
  <c r="R449" i="3"/>
  <c r="S449" i="3"/>
  <c r="T449" i="3"/>
  <c r="U449" i="3"/>
  <c r="V449" i="3"/>
  <c r="W449" i="3"/>
  <c r="X449" i="3"/>
  <c r="Y449" i="3"/>
  <c r="P450" i="3"/>
  <c r="Q450" i="3"/>
  <c r="R450" i="3"/>
  <c r="S450" i="3"/>
  <c r="T450" i="3"/>
  <c r="U450" i="3"/>
  <c r="V450" i="3"/>
  <c r="W450" i="3"/>
  <c r="X450" i="3"/>
  <c r="Y450" i="3"/>
  <c r="P451" i="3"/>
  <c r="Q451" i="3"/>
  <c r="R451" i="3"/>
  <c r="S451" i="3"/>
  <c r="T451" i="3"/>
  <c r="U451" i="3"/>
  <c r="V451" i="3"/>
  <c r="W451" i="3"/>
  <c r="X451" i="3"/>
  <c r="Y451" i="3"/>
  <c r="P452" i="3"/>
  <c r="Q452" i="3" s="1"/>
  <c r="R452" i="3"/>
  <c r="S452" i="3"/>
  <c r="T452" i="3"/>
  <c r="U452" i="3"/>
  <c r="V452" i="3"/>
  <c r="W452" i="3"/>
  <c r="X452" i="3"/>
  <c r="Y452" i="3"/>
  <c r="P453" i="3"/>
  <c r="Q453" i="3"/>
  <c r="R453" i="3"/>
  <c r="S453" i="3"/>
  <c r="T453" i="3"/>
  <c r="U453" i="3"/>
  <c r="V453" i="3"/>
  <c r="W453" i="3"/>
  <c r="X453" i="3"/>
  <c r="Y453" i="3"/>
  <c r="P454" i="3"/>
  <c r="Q454" i="3" s="1"/>
  <c r="R454" i="3"/>
  <c r="S454" i="3"/>
  <c r="T454" i="3"/>
  <c r="U454" i="3"/>
  <c r="V454" i="3"/>
  <c r="W454" i="3"/>
  <c r="X454" i="3"/>
  <c r="Y454" i="3"/>
  <c r="P455" i="3"/>
  <c r="Q455" i="3"/>
  <c r="R455" i="3"/>
  <c r="S455" i="3"/>
  <c r="T455" i="3"/>
  <c r="U455" i="3"/>
  <c r="V455" i="3"/>
  <c r="W455" i="3"/>
  <c r="X455" i="3"/>
  <c r="Y455" i="3"/>
  <c r="P456" i="3"/>
  <c r="Q456" i="3"/>
  <c r="R456" i="3"/>
  <c r="S456" i="3"/>
  <c r="T456" i="3"/>
  <c r="U456" i="3"/>
  <c r="V456" i="3"/>
  <c r="W456" i="3"/>
  <c r="X456" i="3"/>
  <c r="Y456" i="3"/>
  <c r="P457" i="3"/>
  <c r="Q457" i="3" s="1"/>
  <c r="R457" i="3"/>
  <c r="S457" i="3"/>
  <c r="T457" i="3"/>
  <c r="U457" i="3"/>
  <c r="V457" i="3"/>
  <c r="W457" i="3"/>
  <c r="X457" i="3"/>
  <c r="Y457" i="3"/>
  <c r="P458" i="3"/>
  <c r="Q458" i="3"/>
  <c r="R458" i="3"/>
  <c r="S458" i="3"/>
  <c r="T458" i="3"/>
  <c r="U458" i="3"/>
  <c r="V458" i="3"/>
  <c r="W458" i="3"/>
  <c r="X458" i="3"/>
  <c r="Y458" i="3"/>
  <c r="P459" i="3"/>
  <c r="Q459" i="3"/>
  <c r="R459" i="3"/>
  <c r="S459" i="3"/>
  <c r="T459" i="3"/>
  <c r="U459" i="3"/>
  <c r="V459" i="3"/>
  <c r="W459" i="3"/>
  <c r="X459" i="3"/>
  <c r="Y459" i="3"/>
  <c r="P460" i="3"/>
  <c r="Q460" i="3" s="1"/>
  <c r="R460" i="3"/>
  <c r="S460" i="3"/>
  <c r="T460" i="3"/>
  <c r="U460" i="3"/>
  <c r="V460" i="3"/>
  <c r="W460" i="3"/>
  <c r="X460" i="3"/>
  <c r="Y460" i="3"/>
  <c r="P461" i="3"/>
  <c r="Q461" i="3"/>
  <c r="R461" i="3"/>
  <c r="S461" i="3"/>
  <c r="T461" i="3"/>
  <c r="U461" i="3"/>
  <c r="V461" i="3"/>
  <c r="W461" i="3"/>
  <c r="X461" i="3"/>
  <c r="Y461" i="3" s="1"/>
  <c r="P462" i="3"/>
  <c r="Q462" i="3" s="1"/>
  <c r="R462" i="3"/>
  <c r="S462" i="3"/>
  <c r="T462" i="3"/>
  <c r="U462" i="3"/>
  <c r="V462" i="3"/>
  <c r="W462" i="3"/>
  <c r="X462" i="3"/>
  <c r="Y462" i="3"/>
  <c r="P463" i="3"/>
  <c r="Q463" i="3"/>
  <c r="R463" i="3"/>
  <c r="S463" i="3"/>
  <c r="T463" i="3"/>
  <c r="U463" i="3"/>
  <c r="V463" i="3"/>
  <c r="W463" i="3"/>
  <c r="X463" i="3"/>
  <c r="Y463" i="3" s="1"/>
  <c r="P464" i="3"/>
  <c r="Q464" i="3"/>
  <c r="R464" i="3"/>
  <c r="S464" i="3"/>
  <c r="T464" i="3"/>
  <c r="U464" i="3"/>
  <c r="V464" i="3"/>
  <c r="W464" i="3"/>
  <c r="X464" i="3"/>
  <c r="Y464" i="3"/>
  <c r="P465" i="3"/>
  <c r="Q465" i="3" s="1"/>
  <c r="R465" i="3"/>
  <c r="S465" i="3"/>
  <c r="T465" i="3"/>
  <c r="U465" i="3"/>
  <c r="V465" i="3"/>
  <c r="W465" i="3"/>
  <c r="X465" i="3"/>
  <c r="Y465" i="3"/>
  <c r="P466" i="3"/>
  <c r="Q466" i="3"/>
  <c r="R466" i="3"/>
  <c r="S466" i="3"/>
  <c r="T466" i="3"/>
  <c r="U466" i="3"/>
  <c r="V466" i="3"/>
  <c r="W466" i="3"/>
  <c r="X466" i="3"/>
  <c r="Y466" i="3" s="1"/>
  <c r="P467" i="3"/>
  <c r="Q467" i="3"/>
  <c r="R467" i="3"/>
  <c r="S467" i="3"/>
  <c r="T467" i="3"/>
  <c r="U467" i="3"/>
  <c r="V467" i="3"/>
  <c r="W467" i="3"/>
  <c r="X467" i="3"/>
  <c r="Y467" i="3"/>
  <c r="P468" i="3"/>
  <c r="Q468" i="3"/>
  <c r="R468" i="3"/>
  <c r="S468" i="3"/>
  <c r="T468" i="3"/>
  <c r="U468" i="3"/>
  <c r="V468" i="3"/>
  <c r="W468" i="3"/>
  <c r="X468" i="3"/>
  <c r="Y468" i="3"/>
  <c r="P469" i="3"/>
  <c r="Q469" i="3"/>
  <c r="R469" i="3"/>
  <c r="S469" i="3"/>
  <c r="T469" i="3"/>
  <c r="U469" i="3"/>
  <c r="V469" i="3"/>
  <c r="W469" i="3"/>
  <c r="X469" i="3"/>
  <c r="Y469" i="3"/>
  <c r="P470" i="3"/>
  <c r="Q470" i="3" s="1"/>
  <c r="R470" i="3"/>
  <c r="S470" i="3"/>
  <c r="T470" i="3"/>
  <c r="U470" i="3"/>
  <c r="V470" i="3"/>
  <c r="W470" i="3"/>
  <c r="X470" i="3"/>
  <c r="Y470" i="3"/>
  <c r="P471" i="3"/>
  <c r="Q471" i="3"/>
  <c r="R471" i="3"/>
  <c r="S471" i="3"/>
  <c r="T471" i="3"/>
  <c r="U471" i="3"/>
  <c r="V471" i="3"/>
  <c r="W471" i="3"/>
  <c r="X471" i="3"/>
  <c r="Y471" i="3" s="1"/>
  <c r="P472" i="3"/>
  <c r="Q472" i="3" s="1"/>
  <c r="R472" i="3"/>
  <c r="S472" i="3"/>
  <c r="T472" i="3"/>
  <c r="U472" i="3"/>
  <c r="V472" i="3"/>
  <c r="W472" i="3"/>
  <c r="X472" i="3"/>
  <c r="Y472" i="3"/>
  <c r="P473" i="3"/>
  <c r="Q473" i="3" s="1"/>
  <c r="R473" i="3"/>
  <c r="S473" i="3"/>
  <c r="T473" i="3"/>
  <c r="U473" i="3"/>
  <c r="V473" i="3"/>
  <c r="W473" i="3"/>
  <c r="X473" i="3"/>
  <c r="Y473" i="3"/>
  <c r="P474" i="3"/>
  <c r="Q474" i="3"/>
  <c r="R474" i="3"/>
  <c r="S474" i="3"/>
  <c r="T474" i="3"/>
  <c r="U474" i="3"/>
  <c r="V474" i="3"/>
  <c r="W474" i="3"/>
  <c r="X474" i="3"/>
  <c r="Y474" i="3"/>
  <c r="P475" i="3"/>
  <c r="Q475" i="3"/>
  <c r="R475" i="3"/>
  <c r="S475" i="3"/>
  <c r="T475" i="3"/>
  <c r="U475" i="3"/>
  <c r="V475" i="3"/>
  <c r="W475" i="3"/>
  <c r="X475" i="3"/>
  <c r="Y475" i="3"/>
  <c r="P476" i="3"/>
  <c r="Q476" i="3"/>
  <c r="R476" i="3"/>
  <c r="S476" i="3"/>
  <c r="T476" i="3"/>
  <c r="U476" i="3"/>
  <c r="V476" i="3"/>
  <c r="W476" i="3"/>
  <c r="X476" i="3"/>
  <c r="Y476" i="3" s="1"/>
  <c r="P477" i="3"/>
  <c r="Q477" i="3"/>
  <c r="R477" i="3"/>
  <c r="S477" i="3"/>
  <c r="T477" i="3"/>
  <c r="U477" i="3"/>
  <c r="V477" i="3"/>
  <c r="W477" i="3"/>
  <c r="X477" i="3"/>
  <c r="Y477" i="3"/>
  <c r="P478" i="3"/>
  <c r="Q478" i="3" s="1"/>
  <c r="R478" i="3"/>
  <c r="S478" i="3"/>
  <c r="T478" i="3"/>
  <c r="U478" i="3"/>
  <c r="V478" i="3"/>
  <c r="W478" i="3"/>
  <c r="X478" i="3"/>
  <c r="Y478" i="3"/>
  <c r="P479" i="3"/>
  <c r="Q479" i="3"/>
  <c r="R479" i="3"/>
  <c r="S479" i="3"/>
  <c r="T479" i="3"/>
  <c r="U479" i="3"/>
  <c r="V479" i="3"/>
  <c r="W479" i="3"/>
  <c r="X479" i="3"/>
  <c r="Y479" i="3"/>
  <c r="P480" i="3"/>
  <c r="Q480" i="3"/>
  <c r="R480" i="3"/>
  <c r="S480" i="3"/>
  <c r="T480" i="3"/>
  <c r="U480" i="3"/>
  <c r="V480" i="3"/>
  <c r="W480" i="3"/>
  <c r="X480" i="3"/>
  <c r="Y480" i="3"/>
  <c r="P481" i="3"/>
  <c r="Q481" i="3" s="1"/>
  <c r="R481" i="3"/>
  <c r="S481" i="3"/>
  <c r="T481" i="3"/>
  <c r="U481" i="3"/>
  <c r="V481" i="3"/>
  <c r="W481" i="3"/>
  <c r="X481" i="3"/>
  <c r="Y481" i="3" s="1"/>
  <c r="P482" i="3"/>
  <c r="Q482" i="3"/>
  <c r="R482" i="3"/>
  <c r="S482" i="3"/>
  <c r="T482" i="3"/>
  <c r="U482" i="3"/>
  <c r="V482" i="3"/>
  <c r="W482" i="3"/>
  <c r="X482" i="3"/>
  <c r="Y482" i="3"/>
  <c r="P483" i="3"/>
  <c r="Q483" i="3"/>
  <c r="R483" i="3"/>
  <c r="S483" i="3"/>
  <c r="T483" i="3"/>
  <c r="U483" i="3"/>
  <c r="V483" i="3"/>
  <c r="W483" i="3"/>
  <c r="X483" i="3"/>
  <c r="Y483" i="3"/>
  <c r="P484" i="3"/>
  <c r="Q484" i="3"/>
  <c r="R484" i="3"/>
  <c r="S484" i="3"/>
  <c r="T484" i="3"/>
  <c r="U484" i="3"/>
  <c r="V484" i="3"/>
  <c r="W484" i="3"/>
  <c r="X484" i="3"/>
  <c r="Y484" i="3"/>
  <c r="P485" i="3"/>
  <c r="Q485" i="3" s="1"/>
  <c r="R485" i="3"/>
  <c r="S485" i="3"/>
  <c r="T485" i="3"/>
  <c r="U485" i="3"/>
  <c r="V485" i="3"/>
  <c r="W485" i="3"/>
  <c r="X485" i="3"/>
  <c r="Y485" i="3"/>
  <c r="P486" i="3"/>
  <c r="Q486" i="3" s="1"/>
  <c r="R486" i="3"/>
  <c r="S486" i="3"/>
  <c r="T486" i="3"/>
  <c r="U486" i="3"/>
  <c r="V486" i="3"/>
  <c r="W486" i="3"/>
  <c r="X486" i="3"/>
  <c r="Y486" i="3" s="1"/>
  <c r="P487" i="3"/>
  <c r="Q487" i="3"/>
  <c r="R487" i="3"/>
  <c r="S487" i="3"/>
  <c r="T487" i="3"/>
  <c r="U487" i="3"/>
  <c r="V487" i="3"/>
  <c r="W487" i="3"/>
  <c r="X487" i="3"/>
  <c r="Y487" i="3"/>
  <c r="P488" i="3"/>
  <c r="Q488" i="3"/>
  <c r="R488" i="3"/>
  <c r="S488" i="3"/>
  <c r="T488" i="3"/>
  <c r="U488" i="3"/>
  <c r="V488" i="3"/>
  <c r="W488" i="3"/>
  <c r="X488" i="3"/>
  <c r="Y488" i="3"/>
  <c r="P489" i="3"/>
  <c r="Q489" i="3" s="1"/>
  <c r="R489" i="3"/>
  <c r="S489" i="3"/>
  <c r="T489" i="3"/>
  <c r="U489" i="3"/>
  <c r="V489" i="3"/>
  <c r="W489" i="3"/>
  <c r="X489" i="3"/>
  <c r="Y489" i="3"/>
  <c r="P490" i="3"/>
  <c r="Q490" i="3"/>
  <c r="R490" i="3"/>
  <c r="S490" i="3"/>
  <c r="T490" i="3"/>
  <c r="U490" i="3"/>
  <c r="V490" i="3"/>
  <c r="W490" i="3"/>
  <c r="X490" i="3"/>
  <c r="Y490" i="3"/>
  <c r="P491" i="3"/>
  <c r="Q491" i="3"/>
  <c r="R491" i="3"/>
  <c r="S491" i="3"/>
  <c r="T491" i="3"/>
  <c r="U491" i="3"/>
  <c r="V491" i="3"/>
  <c r="W491" i="3"/>
  <c r="X491" i="3"/>
  <c r="Y491" i="3"/>
  <c r="P492" i="3"/>
  <c r="Q492" i="3" s="1"/>
  <c r="R492" i="3"/>
  <c r="S492" i="3"/>
  <c r="T492" i="3"/>
  <c r="U492" i="3"/>
  <c r="V492" i="3"/>
  <c r="W492" i="3"/>
  <c r="X492" i="3"/>
  <c r="Y492" i="3"/>
  <c r="P493" i="3"/>
  <c r="Q493" i="3"/>
  <c r="R493" i="3"/>
  <c r="S493" i="3"/>
  <c r="T493" i="3"/>
  <c r="U493" i="3"/>
  <c r="V493" i="3"/>
  <c r="W493" i="3"/>
  <c r="X493" i="3"/>
  <c r="Y493" i="3"/>
  <c r="P494" i="3"/>
  <c r="Q494" i="3" s="1"/>
  <c r="R494" i="3"/>
  <c r="S494" i="3"/>
  <c r="T494" i="3"/>
  <c r="U494" i="3"/>
  <c r="V494" i="3"/>
  <c r="W494" i="3"/>
  <c r="X494" i="3"/>
  <c r="Y494" i="3"/>
  <c r="P495" i="3"/>
  <c r="Q495" i="3" s="1"/>
  <c r="R495" i="3"/>
  <c r="S495" i="3"/>
  <c r="T495" i="3"/>
  <c r="U495" i="3"/>
  <c r="V495" i="3"/>
  <c r="W495" i="3"/>
  <c r="X495" i="3"/>
  <c r="Y495" i="3"/>
  <c r="P496" i="3"/>
  <c r="Q496" i="3"/>
  <c r="R496" i="3"/>
  <c r="S496" i="3"/>
  <c r="T496" i="3"/>
  <c r="U496" i="3"/>
  <c r="V496" i="3"/>
  <c r="W496" i="3"/>
  <c r="X496" i="3"/>
  <c r="Y496" i="3"/>
  <c r="P497" i="3"/>
  <c r="Q497" i="3" s="1"/>
  <c r="R497" i="3"/>
  <c r="S497" i="3"/>
  <c r="T497" i="3"/>
  <c r="U497" i="3"/>
  <c r="V497" i="3"/>
  <c r="W497" i="3"/>
  <c r="X497" i="3"/>
  <c r="Y497" i="3"/>
  <c r="P498" i="3"/>
  <c r="Q498" i="3"/>
  <c r="R498" i="3"/>
  <c r="S498" i="3"/>
  <c r="T498" i="3"/>
  <c r="U498" i="3"/>
  <c r="V498" i="3"/>
  <c r="W498" i="3"/>
  <c r="X498" i="3"/>
  <c r="Y498" i="3"/>
  <c r="P499" i="3"/>
  <c r="Q499" i="3"/>
  <c r="R499" i="3"/>
  <c r="S499" i="3"/>
  <c r="T499" i="3"/>
  <c r="U499" i="3"/>
  <c r="V499" i="3"/>
  <c r="W499" i="3"/>
  <c r="X499" i="3"/>
  <c r="Y499" i="3"/>
  <c r="P500" i="3"/>
  <c r="Q500" i="3"/>
  <c r="R500" i="3"/>
  <c r="S500" i="3"/>
  <c r="T500" i="3"/>
  <c r="U500" i="3"/>
  <c r="V500" i="3"/>
  <c r="W500" i="3"/>
  <c r="X500" i="3"/>
  <c r="Y500" i="3"/>
  <c r="P501" i="3"/>
  <c r="Q501" i="3"/>
  <c r="R501" i="3"/>
  <c r="S501" i="3"/>
  <c r="T501" i="3"/>
  <c r="U501" i="3"/>
  <c r="V501" i="3"/>
  <c r="W501" i="3"/>
  <c r="X501" i="3"/>
  <c r="Y501" i="3"/>
  <c r="P502" i="3"/>
  <c r="Q502" i="3" s="1"/>
  <c r="R502" i="3"/>
  <c r="S502" i="3"/>
  <c r="T502" i="3"/>
  <c r="U502" i="3"/>
  <c r="V502" i="3"/>
  <c r="W502" i="3"/>
  <c r="X502" i="3"/>
  <c r="Y502" i="3"/>
  <c r="P503" i="3"/>
  <c r="Q503" i="3"/>
  <c r="R503" i="3"/>
  <c r="S503" i="3"/>
  <c r="T503" i="3"/>
  <c r="U503" i="3"/>
  <c r="V503" i="3"/>
  <c r="W503" i="3"/>
  <c r="X503" i="3"/>
  <c r="Y503" i="3"/>
  <c r="P504" i="3"/>
  <c r="Q504" i="3"/>
  <c r="R504" i="3"/>
  <c r="S504" i="3"/>
  <c r="T504" i="3"/>
  <c r="U504" i="3"/>
  <c r="V504" i="3"/>
  <c r="W504" i="3"/>
  <c r="X504" i="3"/>
  <c r="Y504" i="3" s="1"/>
  <c r="P505" i="3"/>
  <c r="Q505" i="3" s="1"/>
  <c r="R505" i="3"/>
  <c r="S505" i="3"/>
  <c r="T505" i="3"/>
  <c r="U505" i="3"/>
  <c r="V505" i="3"/>
  <c r="W505" i="3"/>
  <c r="X505" i="3"/>
  <c r="Y505" i="3"/>
  <c r="P506" i="3"/>
  <c r="Q506" i="3"/>
  <c r="R506" i="3"/>
  <c r="S506" i="3"/>
  <c r="T506" i="3"/>
  <c r="U506" i="3"/>
  <c r="V506" i="3"/>
  <c r="W506" i="3"/>
  <c r="X506" i="3"/>
  <c r="Y506" i="3"/>
  <c r="P507" i="3"/>
  <c r="Q507" i="3" s="1"/>
  <c r="R507" i="3"/>
  <c r="S507" i="3"/>
  <c r="T507" i="3"/>
  <c r="U507" i="3"/>
  <c r="V507" i="3"/>
  <c r="W507" i="3"/>
  <c r="X507" i="3"/>
  <c r="Y507" i="3"/>
  <c r="P508" i="3"/>
  <c r="Q508" i="3"/>
  <c r="R508" i="3"/>
  <c r="S508" i="3"/>
  <c r="T508" i="3"/>
  <c r="U508" i="3"/>
  <c r="V508" i="3"/>
  <c r="W508" i="3"/>
  <c r="X508" i="3"/>
  <c r="Y508" i="3"/>
  <c r="P509" i="3"/>
  <c r="Q509" i="3"/>
  <c r="R509" i="3"/>
  <c r="S509" i="3"/>
  <c r="T509" i="3"/>
  <c r="U509" i="3"/>
  <c r="V509" i="3"/>
  <c r="W509" i="3"/>
  <c r="X509" i="3"/>
  <c r="Y509" i="3"/>
  <c r="P510" i="3"/>
  <c r="Q510" i="3" s="1"/>
  <c r="R510" i="3"/>
  <c r="S510" i="3"/>
  <c r="T510" i="3"/>
  <c r="U510" i="3"/>
  <c r="V510" i="3"/>
  <c r="W510" i="3"/>
  <c r="X510" i="3"/>
  <c r="Y510" i="3"/>
  <c r="P511" i="3"/>
  <c r="Q511" i="3"/>
  <c r="R511" i="3"/>
  <c r="S511" i="3"/>
  <c r="T511" i="3"/>
  <c r="U511" i="3"/>
  <c r="V511" i="3"/>
  <c r="W511" i="3"/>
  <c r="X511" i="3"/>
  <c r="Y511" i="3"/>
  <c r="P512" i="3"/>
  <c r="Q512" i="3"/>
  <c r="R512" i="3"/>
  <c r="S512" i="3"/>
  <c r="T512" i="3"/>
  <c r="U512" i="3"/>
  <c r="V512" i="3"/>
  <c r="W512" i="3"/>
  <c r="X512" i="3"/>
  <c r="Y512" i="3"/>
  <c r="P513" i="3"/>
  <c r="Q513" i="3" s="1"/>
  <c r="R513" i="3"/>
  <c r="S513" i="3"/>
  <c r="T513" i="3"/>
  <c r="U513" i="3"/>
  <c r="V513" i="3"/>
  <c r="W513" i="3"/>
  <c r="X513" i="3"/>
  <c r="Y513" i="3"/>
  <c r="P514" i="3"/>
  <c r="Q514" i="3"/>
  <c r="R514" i="3"/>
  <c r="S514" i="3"/>
  <c r="T514" i="3"/>
  <c r="U514" i="3"/>
  <c r="V514" i="3"/>
  <c r="W514" i="3"/>
  <c r="X514" i="3"/>
  <c r="Y514" i="3"/>
  <c r="P515" i="3"/>
  <c r="Q515" i="3"/>
  <c r="R515" i="3"/>
  <c r="S515" i="3"/>
  <c r="T515" i="3"/>
  <c r="U515" i="3"/>
  <c r="V515" i="3"/>
  <c r="W515" i="3"/>
  <c r="X515" i="3"/>
  <c r="Y515" i="3"/>
  <c r="P516" i="3"/>
  <c r="Q516" i="3"/>
  <c r="R516" i="3"/>
  <c r="S516" i="3"/>
  <c r="T516" i="3"/>
  <c r="U516" i="3"/>
  <c r="V516" i="3"/>
  <c r="W516" i="3"/>
  <c r="X516" i="3"/>
  <c r="Y516" i="3" s="1"/>
  <c r="P517" i="3"/>
  <c r="Q517" i="3"/>
  <c r="R517" i="3"/>
  <c r="S517" i="3"/>
  <c r="T517" i="3"/>
  <c r="U517" i="3"/>
  <c r="V517" i="3"/>
  <c r="W517" i="3"/>
  <c r="X517" i="3"/>
  <c r="Y517" i="3"/>
  <c r="P518" i="3"/>
  <c r="Q518" i="3" s="1"/>
  <c r="R518" i="3"/>
  <c r="S518" i="3"/>
  <c r="T518" i="3"/>
  <c r="U518" i="3"/>
  <c r="V518" i="3"/>
  <c r="W518" i="3"/>
  <c r="X518" i="3"/>
  <c r="Y518" i="3"/>
  <c r="P519" i="3"/>
  <c r="Q519" i="3"/>
  <c r="R519" i="3"/>
  <c r="S519" i="3"/>
  <c r="T519" i="3"/>
  <c r="U519" i="3"/>
  <c r="V519" i="3"/>
  <c r="W519" i="3"/>
  <c r="X519" i="3"/>
  <c r="Y519" i="3" s="1"/>
  <c r="P520" i="3"/>
  <c r="Q520" i="3"/>
  <c r="R520" i="3"/>
  <c r="S520" i="3"/>
  <c r="T520" i="3"/>
  <c r="U520" i="3"/>
  <c r="V520" i="3"/>
  <c r="W520" i="3"/>
  <c r="X520" i="3"/>
  <c r="Y520" i="3"/>
  <c r="P521" i="3"/>
  <c r="Q521" i="3" s="1"/>
  <c r="R521" i="3"/>
  <c r="S521" i="3"/>
  <c r="T521" i="3"/>
  <c r="U521" i="3"/>
  <c r="V521" i="3"/>
  <c r="W521" i="3"/>
  <c r="X521" i="3"/>
  <c r="Y521" i="3"/>
  <c r="P522" i="3"/>
  <c r="Q522" i="3"/>
  <c r="R522" i="3"/>
  <c r="S522" i="3"/>
  <c r="T522" i="3"/>
  <c r="U522" i="3"/>
  <c r="V522" i="3"/>
  <c r="W522" i="3"/>
  <c r="X522" i="3"/>
  <c r="Y522" i="3"/>
  <c r="P523" i="3"/>
  <c r="Q523" i="3"/>
  <c r="R523" i="3"/>
  <c r="S523" i="3"/>
  <c r="T523" i="3"/>
  <c r="U523" i="3"/>
  <c r="V523" i="3"/>
  <c r="W523" i="3"/>
  <c r="X523" i="3"/>
  <c r="Y523" i="3"/>
  <c r="P524" i="3"/>
  <c r="Q524" i="3"/>
  <c r="R524" i="3"/>
  <c r="S524" i="3"/>
  <c r="T524" i="3"/>
  <c r="U524" i="3"/>
  <c r="V524" i="3"/>
  <c r="W524" i="3"/>
  <c r="X524" i="3"/>
  <c r="Y524" i="3"/>
  <c r="P525" i="3"/>
  <c r="Q525" i="3"/>
  <c r="R525" i="3"/>
  <c r="S525" i="3"/>
  <c r="T525" i="3"/>
  <c r="U525" i="3"/>
  <c r="V525" i="3"/>
  <c r="W525" i="3"/>
  <c r="X525" i="3"/>
  <c r="Y525" i="3"/>
  <c r="P526" i="3"/>
  <c r="Q526" i="3" s="1"/>
  <c r="R526" i="3"/>
  <c r="S526" i="3"/>
  <c r="T526" i="3"/>
  <c r="U526" i="3"/>
  <c r="V526" i="3"/>
  <c r="W526" i="3"/>
  <c r="X526" i="3"/>
  <c r="Y526" i="3" s="1"/>
  <c r="P527" i="3"/>
  <c r="Q527" i="3"/>
  <c r="R527" i="3"/>
  <c r="S527" i="3"/>
  <c r="T527" i="3"/>
  <c r="U527" i="3"/>
  <c r="V527" i="3"/>
  <c r="W527" i="3"/>
  <c r="X527" i="3"/>
  <c r="Y527" i="3" s="1"/>
  <c r="P528" i="3"/>
  <c r="Q528" i="3"/>
  <c r="R528" i="3"/>
  <c r="S528" i="3"/>
  <c r="T528" i="3"/>
  <c r="U528" i="3"/>
  <c r="V528" i="3"/>
  <c r="W528" i="3"/>
  <c r="X528" i="3"/>
  <c r="Y528" i="3"/>
  <c r="P529" i="3"/>
  <c r="Q529" i="3" s="1"/>
  <c r="R529" i="3"/>
  <c r="S529" i="3"/>
  <c r="T529" i="3"/>
  <c r="U529" i="3"/>
  <c r="V529" i="3"/>
  <c r="W529" i="3"/>
  <c r="X529" i="3"/>
  <c r="Y529" i="3" s="1"/>
  <c r="P530" i="3"/>
  <c r="Q530" i="3"/>
  <c r="R530" i="3"/>
  <c r="S530" i="3"/>
  <c r="T530" i="3"/>
  <c r="U530" i="3"/>
  <c r="V530" i="3"/>
  <c r="W530" i="3"/>
  <c r="X530" i="3"/>
  <c r="Y530" i="3"/>
  <c r="P531" i="3"/>
  <c r="Q531" i="3"/>
  <c r="R531" i="3"/>
  <c r="S531" i="3"/>
  <c r="T531" i="3"/>
  <c r="U531" i="3"/>
  <c r="V531" i="3"/>
  <c r="W531" i="3"/>
  <c r="X531" i="3"/>
  <c r="Y531" i="3"/>
  <c r="P532" i="3"/>
  <c r="Q532" i="3"/>
  <c r="R532" i="3"/>
  <c r="S532" i="3"/>
  <c r="T532" i="3"/>
  <c r="U532" i="3"/>
  <c r="V532" i="3"/>
  <c r="W532" i="3"/>
  <c r="X532" i="3"/>
  <c r="Y532" i="3"/>
  <c r="P533" i="3"/>
  <c r="Q533" i="3" s="1"/>
  <c r="R533" i="3"/>
  <c r="S533" i="3"/>
  <c r="T533" i="3"/>
  <c r="U533" i="3"/>
  <c r="V533" i="3"/>
  <c r="W533" i="3"/>
  <c r="X533" i="3"/>
  <c r="Y533" i="3"/>
  <c r="P534" i="3"/>
  <c r="Q534" i="3" s="1"/>
  <c r="R534" i="3"/>
  <c r="S534" i="3"/>
  <c r="T534" i="3"/>
  <c r="U534" i="3"/>
  <c r="V534" i="3"/>
  <c r="W534" i="3"/>
  <c r="X534" i="3"/>
  <c r="Y534" i="3"/>
  <c r="P535" i="3"/>
  <c r="Q535" i="3"/>
  <c r="R535" i="3"/>
  <c r="S535" i="3"/>
  <c r="T535" i="3"/>
  <c r="U535" i="3"/>
  <c r="V535" i="3"/>
  <c r="W535" i="3"/>
  <c r="X535" i="3"/>
  <c r="Y535" i="3"/>
  <c r="P536" i="3"/>
  <c r="Q536" i="3" s="1"/>
  <c r="R536" i="3"/>
  <c r="S536" i="3"/>
  <c r="T536" i="3"/>
  <c r="U536" i="3"/>
  <c r="V536" i="3"/>
  <c r="W536" i="3"/>
  <c r="X536" i="3"/>
  <c r="Y536" i="3"/>
  <c r="P537" i="3"/>
  <c r="Q537" i="3" s="1"/>
  <c r="R537" i="3"/>
  <c r="S537" i="3"/>
  <c r="T537" i="3"/>
  <c r="U537" i="3"/>
  <c r="V537" i="3"/>
  <c r="W537" i="3"/>
  <c r="X537" i="3"/>
  <c r="Y537" i="3"/>
  <c r="P538" i="3"/>
  <c r="Q538" i="3"/>
  <c r="R538" i="3"/>
  <c r="S538" i="3"/>
  <c r="T538" i="3"/>
  <c r="U538" i="3"/>
  <c r="V538" i="3"/>
  <c r="W538" i="3"/>
  <c r="X538" i="3"/>
  <c r="Y538" i="3"/>
  <c r="P539" i="3"/>
  <c r="Q539" i="3"/>
  <c r="R539" i="3"/>
  <c r="S539" i="3"/>
  <c r="T539" i="3"/>
  <c r="U539" i="3"/>
  <c r="V539" i="3"/>
  <c r="W539" i="3"/>
  <c r="X539" i="3"/>
  <c r="Y539" i="3"/>
  <c r="P540" i="3"/>
  <c r="Q540" i="3"/>
  <c r="R540" i="3"/>
  <c r="S540" i="3"/>
  <c r="T540" i="3"/>
  <c r="U540" i="3"/>
  <c r="V540" i="3"/>
  <c r="W540" i="3"/>
  <c r="X540" i="3"/>
  <c r="Y540" i="3"/>
  <c r="P541" i="3"/>
  <c r="Q541" i="3"/>
  <c r="R541" i="3"/>
  <c r="S541" i="3"/>
  <c r="T541" i="3"/>
  <c r="U541" i="3"/>
  <c r="V541" i="3"/>
  <c r="W541" i="3"/>
  <c r="X541" i="3"/>
  <c r="Y541" i="3"/>
  <c r="P542" i="3"/>
  <c r="Q542" i="3" s="1"/>
  <c r="R542" i="3"/>
  <c r="S542" i="3"/>
  <c r="T542" i="3"/>
  <c r="U542" i="3"/>
  <c r="V542" i="3"/>
  <c r="W542" i="3"/>
  <c r="X542" i="3"/>
  <c r="Y542" i="3"/>
  <c r="P543" i="3"/>
  <c r="Q543" i="3" s="1"/>
  <c r="R543" i="3"/>
  <c r="S543" i="3"/>
  <c r="T543" i="3"/>
  <c r="U543" i="3"/>
  <c r="V543" i="3"/>
  <c r="W543" i="3"/>
  <c r="X543" i="3"/>
  <c r="Y543" i="3"/>
  <c r="P544" i="3"/>
  <c r="Q544" i="3"/>
  <c r="R544" i="3"/>
  <c r="S544" i="3"/>
  <c r="T544" i="3"/>
  <c r="U544" i="3"/>
  <c r="V544" i="3"/>
  <c r="W544" i="3"/>
  <c r="X544" i="3"/>
  <c r="Y544" i="3"/>
  <c r="P545" i="3"/>
  <c r="Q545" i="3" s="1"/>
  <c r="R545" i="3"/>
  <c r="S545" i="3"/>
  <c r="T545" i="3"/>
  <c r="U545" i="3"/>
  <c r="V545" i="3"/>
  <c r="W545" i="3"/>
  <c r="X545" i="3"/>
  <c r="Y545" i="3"/>
  <c r="P546" i="3"/>
  <c r="Q546" i="3"/>
  <c r="R546" i="3"/>
  <c r="S546" i="3"/>
  <c r="T546" i="3"/>
  <c r="U546" i="3"/>
  <c r="V546" i="3"/>
  <c r="W546" i="3"/>
  <c r="X546" i="3"/>
  <c r="Y546" i="3"/>
  <c r="P547" i="3"/>
  <c r="Q547" i="3" s="1"/>
  <c r="R547" i="3"/>
  <c r="S547" i="3"/>
  <c r="T547" i="3"/>
  <c r="U547" i="3"/>
  <c r="V547" i="3"/>
  <c r="W547" i="3"/>
  <c r="X547" i="3"/>
  <c r="Y547" i="3"/>
  <c r="P548" i="3"/>
  <c r="Q548" i="3"/>
  <c r="R548" i="3"/>
  <c r="S548" i="3"/>
  <c r="T548" i="3"/>
  <c r="U548" i="3"/>
  <c r="V548" i="3"/>
  <c r="W548" i="3"/>
  <c r="X548" i="3"/>
  <c r="Y548" i="3"/>
  <c r="P549" i="3"/>
  <c r="Q549" i="3"/>
  <c r="R549" i="3"/>
  <c r="S549" i="3"/>
  <c r="T549" i="3"/>
  <c r="U549" i="3"/>
  <c r="V549" i="3"/>
  <c r="W549" i="3"/>
  <c r="X549" i="3"/>
  <c r="Y549" i="3"/>
  <c r="P550" i="3"/>
  <c r="Q550" i="3" s="1"/>
  <c r="R550" i="3"/>
  <c r="S550" i="3"/>
  <c r="T550" i="3"/>
  <c r="U550" i="3"/>
  <c r="V550" i="3"/>
  <c r="W550" i="3"/>
  <c r="X550" i="3"/>
  <c r="Y550" i="3" s="1"/>
  <c r="P551" i="3"/>
  <c r="Q551" i="3"/>
  <c r="R551" i="3"/>
  <c r="S551" i="3"/>
  <c r="T551" i="3"/>
  <c r="U551" i="3"/>
  <c r="V551" i="3"/>
  <c r="W551" i="3"/>
  <c r="X551" i="3"/>
  <c r="Y551" i="3"/>
  <c r="P552" i="3"/>
  <c r="Q552" i="3" s="1"/>
  <c r="R552" i="3"/>
  <c r="S552" i="3"/>
  <c r="T552" i="3"/>
  <c r="U552" i="3"/>
  <c r="V552" i="3"/>
  <c r="W552" i="3"/>
  <c r="X552" i="3"/>
  <c r="Y552" i="3"/>
  <c r="P553" i="3"/>
  <c r="Q553" i="3" s="1"/>
  <c r="R553" i="3"/>
  <c r="S553" i="3"/>
  <c r="T553" i="3"/>
  <c r="U553" i="3"/>
  <c r="V553" i="3"/>
  <c r="W553" i="3"/>
  <c r="X553" i="3"/>
  <c r="Y553" i="3"/>
  <c r="P554" i="3"/>
  <c r="Q554" i="3"/>
  <c r="R554" i="3"/>
  <c r="S554" i="3"/>
  <c r="T554" i="3"/>
  <c r="U554" i="3"/>
  <c r="V554" i="3"/>
  <c r="W554" i="3"/>
  <c r="X554" i="3"/>
  <c r="Y554" i="3"/>
  <c r="P555" i="3"/>
  <c r="Q555" i="3"/>
  <c r="R555" i="3"/>
  <c r="S555" i="3"/>
  <c r="T555" i="3"/>
  <c r="U555" i="3"/>
  <c r="V555" i="3"/>
  <c r="W555" i="3"/>
  <c r="X555" i="3"/>
  <c r="Y555" i="3"/>
  <c r="P556" i="3"/>
  <c r="Q556" i="3"/>
  <c r="R556" i="3"/>
  <c r="S556" i="3"/>
  <c r="T556" i="3"/>
  <c r="U556" i="3"/>
  <c r="V556" i="3"/>
  <c r="W556" i="3"/>
  <c r="X556" i="3"/>
  <c r="Y556" i="3"/>
  <c r="P557" i="3"/>
  <c r="Q557" i="3"/>
  <c r="R557" i="3"/>
  <c r="S557" i="3"/>
  <c r="T557" i="3"/>
  <c r="U557" i="3"/>
  <c r="V557" i="3"/>
  <c r="W557" i="3"/>
  <c r="X557" i="3"/>
  <c r="Y557" i="3" s="1"/>
  <c r="P558" i="3"/>
  <c r="Q558" i="3" s="1"/>
  <c r="R558" i="3"/>
  <c r="S558" i="3"/>
  <c r="T558" i="3"/>
  <c r="U558" i="3"/>
  <c r="V558" i="3"/>
  <c r="W558" i="3"/>
  <c r="X558" i="3"/>
  <c r="Y558" i="3"/>
  <c r="P559" i="3"/>
  <c r="Q559" i="3" s="1"/>
  <c r="R559" i="3"/>
  <c r="S559" i="3"/>
  <c r="T559" i="3"/>
  <c r="U559" i="3"/>
  <c r="V559" i="3"/>
  <c r="W559" i="3"/>
  <c r="X559" i="3"/>
  <c r="Y559" i="3"/>
  <c r="P560" i="3"/>
  <c r="Q560" i="3"/>
  <c r="R560" i="3"/>
  <c r="S560" i="3"/>
  <c r="T560" i="3"/>
  <c r="U560" i="3"/>
  <c r="V560" i="3"/>
  <c r="W560" i="3"/>
  <c r="X560" i="3"/>
  <c r="Y560" i="3"/>
  <c r="P561" i="3"/>
  <c r="Q561" i="3" s="1"/>
  <c r="R561" i="3"/>
  <c r="S561" i="3"/>
  <c r="T561" i="3"/>
  <c r="U561" i="3"/>
  <c r="V561" i="3"/>
  <c r="W561" i="3"/>
  <c r="X561" i="3"/>
  <c r="Y561" i="3"/>
  <c r="P562" i="3"/>
  <c r="Q562" i="3"/>
  <c r="R562" i="3"/>
  <c r="S562" i="3"/>
  <c r="T562" i="3"/>
  <c r="U562" i="3"/>
  <c r="V562" i="3"/>
  <c r="W562" i="3"/>
  <c r="X562" i="3"/>
  <c r="Y562" i="3"/>
  <c r="P563" i="3"/>
  <c r="Q563" i="3"/>
  <c r="R563" i="3"/>
  <c r="S563" i="3"/>
  <c r="T563" i="3"/>
  <c r="U563" i="3"/>
  <c r="V563" i="3"/>
  <c r="W563" i="3"/>
  <c r="X563" i="3"/>
  <c r="Y563" i="3"/>
  <c r="P564" i="3"/>
  <c r="Q564" i="3"/>
  <c r="R564" i="3"/>
  <c r="S564" i="3"/>
  <c r="T564" i="3"/>
  <c r="U564" i="3"/>
  <c r="V564" i="3"/>
  <c r="W564" i="3"/>
  <c r="X564" i="3"/>
  <c r="Y564" i="3"/>
  <c r="P565" i="3"/>
  <c r="Q565" i="3"/>
  <c r="R565" i="3"/>
  <c r="S565" i="3"/>
  <c r="T565" i="3"/>
  <c r="U565" i="3"/>
  <c r="V565" i="3"/>
  <c r="W565" i="3"/>
  <c r="X565" i="3"/>
  <c r="Y565" i="3"/>
  <c r="P566" i="3"/>
  <c r="Q566" i="3" s="1"/>
  <c r="R566" i="3"/>
  <c r="S566" i="3"/>
  <c r="T566" i="3"/>
  <c r="U566" i="3"/>
  <c r="V566" i="3"/>
  <c r="W566" i="3"/>
  <c r="X566" i="3"/>
  <c r="Y566" i="3"/>
  <c r="P567" i="3"/>
  <c r="Q567" i="3" s="1"/>
  <c r="R567" i="3"/>
  <c r="S567" i="3"/>
  <c r="T567" i="3"/>
  <c r="U567" i="3"/>
  <c r="V567" i="3"/>
  <c r="W567" i="3"/>
  <c r="X567" i="3"/>
  <c r="Y567" i="3" s="1"/>
  <c r="P568" i="3"/>
  <c r="Q568" i="3"/>
  <c r="R568" i="3"/>
  <c r="S568" i="3"/>
  <c r="T568" i="3"/>
  <c r="U568" i="3"/>
  <c r="V568" i="3"/>
  <c r="W568" i="3"/>
  <c r="X568" i="3"/>
  <c r="Y568" i="3" s="1"/>
  <c r="P569" i="3"/>
  <c r="Q569" i="3" s="1"/>
  <c r="R569" i="3"/>
  <c r="S569" i="3"/>
  <c r="T569" i="3"/>
  <c r="U569" i="3"/>
  <c r="V569" i="3"/>
  <c r="W569" i="3"/>
  <c r="X569" i="3"/>
  <c r="Y569" i="3"/>
  <c r="P570" i="3"/>
  <c r="Q570" i="3"/>
  <c r="R570" i="3"/>
  <c r="S570" i="3"/>
  <c r="T570" i="3"/>
  <c r="U570" i="3"/>
  <c r="V570" i="3"/>
  <c r="W570" i="3"/>
  <c r="X570" i="3"/>
  <c r="Y570" i="3"/>
  <c r="P571" i="3"/>
  <c r="Q571" i="3"/>
  <c r="R571" i="3"/>
  <c r="S571" i="3"/>
  <c r="T571" i="3"/>
  <c r="U571" i="3"/>
  <c r="V571" i="3"/>
  <c r="W571" i="3"/>
  <c r="X571" i="3"/>
  <c r="Y571" i="3"/>
  <c r="P572" i="3"/>
  <c r="Q572" i="3"/>
  <c r="R572" i="3"/>
  <c r="S572" i="3"/>
  <c r="T572" i="3"/>
  <c r="U572" i="3"/>
  <c r="V572" i="3"/>
  <c r="W572" i="3"/>
  <c r="X572" i="3"/>
  <c r="Y572" i="3" s="1"/>
  <c r="P573" i="3"/>
  <c r="Q573" i="3"/>
  <c r="R573" i="3"/>
  <c r="S573" i="3"/>
  <c r="T573" i="3"/>
  <c r="U573" i="3"/>
  <c r="V573" i="3"/>
  <c r="W573" i="3"/>
  <c r="X573" i="3"/>
  <c r="Y573" i="3"/>
  <c r="P574" i="3"/>
  <c r="Q574" i="3" s="1"/>
  <c r="R574" i="3"/>
  <c r="S574" i="3"/>
  <c r="T574" i="3"/>
  <c r="U574" i="3"/>
  <c r="V574" i="3"/>
  <c r="W574" i="3"/>
  <c r="X574" i="3"/>
  <c r="Y574" i="3"/>
  <c r="P575" i="3"/>
  <c r="Q575" i="3"/>
  <c r="R575" i="3"/>
  <c r="S575" i="3"/>
  <c r="T575" i="3"/>
  <c r="U575" i="3"/>
  <c r="V575" i="3"/>
  <c r="W575" i="3"/>
  <c r="X575" i="3"/>
  <c r="Y575" i="3"/>
  <c r="P576" i="3"/>
  <c r="Q576" i="3"/>
  <c r="R576" i="3"/>
  <c r="S576" i="3"/>
  <c r="T576" i="3"/>
  <c r="U576" i="3"/>
  <c r="V576" i="3"/>
  <c r="W576" i="3"/>
  <c r="X576" i="3"/>
  <c r="Y576" i="3"/>
  <c r="P577" i="3"/>
  <c r="Q577" i="3" s="1"/>
  <c r="R577" i="3"/>
  <c r="S577" i="3"/>
  <c r="T577" i="3"/>
  <c r="U577" i="3"/>
  <c r="V577" i="3"/>
  <c r="W577" i="3"/>
  <c r="X577" i="3"/>
  <c r="Y577" i="3" s="1"/>
  <c r="P578" i="3"/>
  <c r="Q578" i="3"/>
  <c r="R578" i="3"/>
  <c r="S578" i="3"/>
  <c r="T578" i="3"/>
  <c r="U578" i="3"/>
  <c r="V578" i="3"/>
  <c r="W578" i="3"/>
  <c r="X578" i="3"/>
  <c r="Y578" i="3"/>
  <c r="P579" i="3"/>
  <c r="Q579" i="3"/>
  <c r="R579" i="3"/>
  <c r="S579" i="3"/>
  <c r="T579" i="3"/>
  <c r="U579" i="3"/>
  <c r="V579" i="3"/>
  <c r="W579" i="3"/>
  <c r="X579" i="3"/>
  <c r="Y579" i="3"/>
  <c r="P580" i="3"/>
  <c r="Q580" i="3"/>
  <c r="R580" i="3"/>
  <c r="S580" i="3"/>
  <c r="T580" i="3"/>
  <c r="U580" i="3"/>
  <c r="V580" i="3"/>
  <c r="W580" i="3"/>
  <c r="X580" i="3"/>
  <c r="Y580" i="3"/>
  <c r="P581" i="3"/>
  <c r="Q581" i="3" s="1"/>
  <c r="R581" i="3"/>
  <c r="S581" i="3"/>
  <c r="T581" i="3"/>
  <c r="U581" i="3"/>
  <c r="V581" i="3"/>
  <c r="W581" i="3"/>
  <c r="X581" i="3"/>
  <c r="Y581" i="3" s="1"/>
  <c r="P582" i="3"/>
  <c r="Q582" i="3" s="1"/>
  <c r="R582" i="3"/>
  <c r="S582" i="3"/>
  <c r="T582" i="3"/>
  <c r="U582" i="3"/>
  <c r="V582" i="3"/>
  <c r="W582" i="3"/>
  <c r="X582" i="3"/>
  <c r="Y582" i="3" s="1"/>
  <c r="P583" i="3"/>
  <c r="Q583" i="3"/>
  <c r="R583" i="3"/>
  <c r="S583" i="3"/>
  <c r="T583" i="3"/>
  <c r="U583" i="3"/>
  <c r="V583" i="3"/>
  <c r="W583" i="3"/>
  <c r="X583" i="3"/>
  <c r="Y583" i="3"/>
  <c r="P584" i="3"/>
  <c r="Q584" i="3"/>
  <c r="R584" i="3"/>
  <c r="S584" i="3"/>
  <c r="T584" i="3"/>
  <c r="U584" i="3"/>
  <c r="V584" i="3"/>
  <c r="W584" i="3"/>
  <c r="X584" i="3"/>
  <c r="Y584" i="3"/>
  <c r="P585" i="3"/>
  <c r="Q585" i="3" s="1"/>
  <c r="R585" i="3"/>
  <c r="S585" i="3"/>
  <c r="T585" i="3"/>
  <c r="U585" i="3"/>
  <c r="V585" i="3"/>
  <c r="W585" i="3"/>
  <c r="X585" i="3"/>
  <c r="Y585" i="3" s="1"/>
  <c r="P586" i="3"/>
  <c r="Q586" i="3"/>
  <c r="R586" i="3"/>
  <c r="S586" i="3"/>
  <c r="T586" i="3"/>
  <c r="U586" i="3"/>
  <c r="V586" i="3"/>
  <c r="W586" i="3"/>
  <c r="X586" i="3"/>
  <c r="Y586" i="3" s="1"/>
  <c r="P587" i="3"/>
  <c r="Q587" i="3"/>
  <c r="R587" i="3"/>
  <c r="S587" i="3"/>
  <c r="T587" i="3"/>
  <c r="U587" i="3"/>
  <c r="V587" i="3"/>
  <c r="W587" i="3"/>
  <c r="X587" i="3"/>
  <c r="Y587" i="3" s="1"/>
  <c r="P588" i="3"/>
  <c r="Q588" i="3"/>
  <c r="R588" i="3"/>
  <c r="S588" i="3"/>
  <c r="T588" i="3"/>
  <c r="U588" i="3"/>
  <c r="V588" i="3"/>
  <c r="W588" i="3"/>
  <c r="X588" i="3"/>
  <c r="Y588" i="3"/>
  <c r="P589" i="3"/>
  <c r="Q589" i="3"/>
  <c r="R589" i="3"/>
  <c r="S589" i="3"/>
  <c r="T589" i="3"/>
  <c r="U589" i="3"/>
  <c r="V589" i="3"/>
  <c r="W589" i="3"/>
  <c r="X589" i="3"/>
  <c r="Y589" i="3"/>
  <c r="P590" i="3"/>
  <c r="Q590" i="3" s="1"/>
  <c r="R590" i="3"/>
  <c r="S590" i="3"/>
  <c r="T590" i="3"/>
  <c r="U590" i="3"/>
  <c r="V590" i="3"/>
  <c r="W590" i="3"/>
  <c r="X590" i="3"/>
  <c r="Y590" i="3"/>
  <c r="P591" i="3"/>
  <c r="Q591" i="3"/>
  <c r="R591" i="3"/>
  <c r="S591" i="3"/>
  <c r="T591" i="3"/>
  <c r="U591" i="3"/>
  <c r="V591" i="3"/>
  <c r="W591" i="3"/>
  <c r="X591" i="3"/>
  <c r="Y591" i="3"/>
  <c r="P592" i="3"/>
  <c r="Q592" i="3"/>
  <c r="R592" i="3"/>
  <c r="S592" i="3"/>
  <c r="T592" i="3"/>
  <c r="U592" i="3"/>
  <c r="V592" i="3"/>
  <c r="W592" i="3"/>
  <c r="X592" i="3"/>
  <c r="Y592" i="3"/>
  <c r="P593" i="3"/>
  <c r="Q593" i="3" s="1"/>
  <c r="R593" i="3"/>
  <c r="S593" i="3"/>
  <c r="T593" i="3"/>
  <c r="U593" i="3"/>
  <c r="V593" i="3"/>
  <c r="W593" i="3"/>
  <c r="X593" i="3"/>
  <c r="Y593" i="3"/>
  <c r="P594" i="3"/>
  <c r="Q594" i="3"/>
  <c r="R594" i="3"/>
  <c r="S594" i="3"/>
  <c r="T594" i="3"/>
  <c r="U594" i="3"/>
  <c r="V594" i="3"/>
  <c r="W594" i="3"/>
  <c r="X594" i="3"/>
  <c r="Y594" i="3"/>
  <c r="P595" i="3"/>
  <c r="Q595" i="3" s="1"/>
  <c r="R595" i="3"/>
  <c r="S595" i="3"/>
  <c r="T595" i="3"/>
  <c r="U595" i="3"/>
  <c r="V595" i="3"/>
  <c r="W595" i="3"/>
  <c r="X595" i="3"/>
  <c r="Y595" i="3"/>
  <c r="P596" i="3"/>
  <c r="Q596" i="3"/>
  <c r="R596" i="3"/>
  <c r="S596" i="3"/>
  <c r="T596" i="3"/>
  <c r="U596" i="3"/>
  <c r="V596" i="3"/>
  <c r="W596" i="3"/>
  <c r="X596" i="3"/>
  <c r="Y596" i="3"/>
  <c r="P597" i="3"/>
  <c r="Q597" i="3"/>
  <c r="R597" i="3"/>
  <c r="S597" i="3"/>
  <c r="T597" i="3"/>
  <c r="U597" i="3"/>
  <c r="V597" i="3"/>
  <c r="W597" i="3"/>
  <c r="X597" i="3"/>
  <c r="Y597" i="3"/>
  <c r="P598" i="3"/>
  <c r="Q598" i="3" s="1"/>
  <c r="R598" i="3"/>
  <c r="S598" i="3"/>
  <c r="T598" i="3"/>
  <c r="U598" i="3"/>
  <c r="V598" i="3"/>
  <c r="W598" i="3"/>
  <c r="X598" i="3"/>
  <c r="Y598" i="3"/>
  <c r="P599" i="3"/>
  <c r="Q599" i="3"/>
  <c r="R599" i="3"/>
  <c r="S599" i="3"/>
  <c r="T599" i="3"/>
  <c r="U599" i="3"/>
  <c r="V599" i="3"/>
  <c r="W599" i="3"/>
  <c r="X599" i="3"/>
  <c r="Y599" i="3"/>
  <c r="P600" i="3"/>
  <c r="Q600" i="3"/>
  <c r="R600" i="3"/>
  <c r="S600" i="3"/>
  <c r="T600" i="3"/>
  <c r="U600" i="3"/>
  <c r="V600" i="3"/>
  <c r="W600" i="3"/>
  <c r="X600" i="3"/>
  <c r="Y600" i="3" s="1"/>
  <c r="P601" i="3"/>
  <c r="Q601" i="3" s="1"/>
  <c r="R601" i="3"/>
  <c r="S601" i="3"/>
  <c r="T601" i="3"/>
  <c r="U601" i="3"/>
  <c r="V601" i="3"/>
  <c r="W601" i="3"/>
  <c r="X601" i="3"/>
  <c r="Y601" i="3"/>
  <c r="P602" i="3"/>
  <c r="Q602" i="3"/>
  <c r="R602" i="3"/>
  <c r="S602" i="3"/>
  <c r="T602" i="3"/>
  <c r="U602" i="3"/>
  <c r="V602" i="3"/>
  <c r="W602" i="3"/>
  <c r="X602" i="3"/>
  <c r="Y602" i="3"/>
  <c r="P603" i="3"/>
  <c r="Q603" i="3"/>
  <c r="R603" i="3"/>
  <c r="S603" i="3"/>
  <c r="T603" i="3"/>
  <c r="U603" i="3"/>
  <c r="V603" i="3"/>
  <c r="W603" i="3"/>
  <c r="X603" i="3"/>
  <c r="Y603" i="3"/>
  <c r="P604" i="3"/>
  <c r="Q604" i="3"/>
  <c r="R604" i="3"/>
  <c r="S604" i="3"/>
  <c r="T604" i="3"/>
  <c r="U604" i="3"/>
  <c r="V604" i="3"/>
  <c r="W604" i="3"/>
  <c r="X604" i="3"/>
  <c r="Y604" i="3" s="1"/>
  <c r="P605" i="3"/>
  <c r="Q605" i="3"/>
  <c r="R605" i="3"/>
  <c r="S605" i="3"/>
  <c r="T605" i="3"/>
  <c r="U605" i="3"/>
  <c r="V605" i="3"/>
  <c r="W605" i="3"/>
  <c r="X605" i="3"/>
  <c r="Y605" i="3" s="1"/>
  <c r="P606" i="3"/>
  <c r="Q606" i="3" s="1"/>
  <c r="R606" i="3"/>
  <c r="S606" i="3"/>
  <c r="T606" i="3"/>
  <c r="U606" i="3"/>
  <c r="V606" i="3"/>
  <c r="W606" i="3"/>
  <c r="X606" i="3"/>
  <c r="Y606" i="3"/>
  <c r="P607" i="3"/>
  <c r="Q607" i="3"/>
  <c r="R607" i="3"/>
  <c r="S607" i="3"/>
  <c r="T607" i="3"/>
  <c r="U607" i="3"/>
  <c r="V607" i="3"/>
  <c r="W607" i="3"/>
  <c r="X607" i="3"/>
  <c r="Y607" i="3"/>
  <c r="P608" i="3"/>
  <c r="Q608" i="3"/>
  <c r="R608" i="3"/>
  <c r="S608" i="3"/>
  <c r="T608" i="3"/>
  <c r="U608" i="3"/>
  <c r="V608" i="3"/>
  <c r="W608" i="3"/>
  <c r="X608" i="3"/>
  <c r="Y608" i="3"/>
  <c r="P609" i="3"/>
  <c r="Q609" i="3" s="1"/>
  <c r="R609" i="3"/>
  <c r="S609" i="3"/>
  <c r="T609" i="3"/>
  <c r="U609" i="3"/>
  <c r="V609" i="3"/>
  <c r="W609" i="3"/>
  <c r="X609" i="3"/>
  <c r="Y609" i="3" s="1"/>
  <c r="P610" i="3"/>
  <c r="Q610" i="3"/>
  <c r="R610" i="3"/>
  <c r="S610" i="3"/>
  <c r="T610" i="3"/>
  <c r="U610" i="3"/>
  <c r="V610" i="3"/>
  <c r="W610" i="3"/>
  <c r="X610" i="3"/>
  <c r="Y610" i="3"/>
  <c r="P611" i="3"/>
  <c r="Q611" i="3"/>
  <c r="R611" i="3"/>
  <c r="S611" i="3"/>
  <c r="T611" i="3"/>
  <c r="U611" i="3"/>
  <c r="V611" i="3"/>
  <c r="W611" i="3"/>
  <c r="X611" i="3"/>
  <c r="Y611" i="3"/>
  <c r="P612" i="3"/>
  <c r="Q612" i="3"/>
  <c r="R612" i="3"/>
  <c r="S612" i="3"/>
  <c r="T612" i="3"/>
  <c r="U612" i="3"/>
  <c r="V612" i="3"/>
  <c r="W612" i="3"/>
  <c r="X612" i="3"/>
  <c r="Y612" i="3"/>
  <c r="P613" i="3"/>
  <c r="Q613" i="3" s="1"/>
  <c r="R613" i="3"/>
  <c r="S613" i="3"/>
  <c r="T613" i="3"/>
  <c r="U613" i="3"/>
  <c r="V613" i="3"/>
  <c r="W613" i="3"/>
  <c r="X613" i="3"/>
  <c r="Y613" i="3"/>
  <c r="P614" i="3"/>
  <c r="Q614" i="3" s="1"/>
  <c r="R614" i="3"/>
  <c r="S614" i="3"/>
  <c r="T614" i="3"/>
  <c r="U614" i="3"/>
  <c r="V614" i="3"/>
  <c r="W614" i="3"/>
  <c r="X614" i="3"/>
  <c r="Y614" i="3"/>
  <c r="P615" i="3"/>
  <c r="Q615" i="3"/>
  <c r="R615" i="3"/>
  <c r="S615" i="3"/>
  <c r="T615" i="3"/>
  <c r="U615" i="3"/>
  <c r="V615" i="3"/>
  <c r="W615" i="3"/>
  <c r="X615" i="3"/>
  <c r="Y615" i="3"/>
  <c r="P616" i="3"/>
  <c r="Q616" i="3"/>
  <c r="R616" i="3"/>
  <c r="S616" i="3"/>
  <c r="T616" i="3"/>
  <c r="U616" i="3"/>
  <c r="V616" i="3"/>
  <c r="W616" i="3"/>
  <c r="X616" i="3"/>
  <c r="Y616" i="3"/>
  <c r="P617" i="3"/>
  <c r="Q617" i="3" s="1"/>
  <c r="R617" i="3"/>
  <c r="S617" i="3"/>
  <c r="T617" i="3"/>
  <c r="U617" i="3"/>
  <c r="V617" i="3"/>
  <c r="W617" i="3"/>
  <c r="X617" i="3"/>
  <c r="Y617" i="3" s="1"/>
  <c r="P618" i="3"/>
  <c r="Q618" i="3" s="1"/>
  <c r="R618" i="3"/>
  <c r="S618" i="3"/>
  <c r="T618" i="3"/>
  <c r="U618" i="3"/>
  <c r="V618" i="3"/>
  <c r="W618" i="3"/>
  <c r="X618" i="3"/>
  <c r="Y618" i="3"/>
  <c r="P619" i="3"/>
  <c r="Q619" i="3"/>
  <c r="R619" i="3"/>
  <c r="S619" i="3"/>
  <c r="T619" i="3"/>
  <c r="U619" i="3"/>
  <c r="V619" i="3"/>
  <c r="W619" i="3"/>
  <c r="X619" i="3"/>
  <c r="Y619" i="3"/>
  <c r="P620" i="3"/>
  <c r="Q620" i="3"/>
  <c r="R620" i="3"/>
  <c r="S620" i="3"/>
  <c r="T620" i="3"/>
  <c r="U620" i="3"/>
  <c r="V620" i="3"/>
  <c r="W620" i="3"/>
  <c r="X620" i="3"/>
  <c r="Y620" i="3"/>
  <c r="P621" i="3"/>
  <c r="Q621" i="3" s="1"/>
  <c r="R621" i="3"/>
  <c r="S621" i="3"/>
  <c r="T621" i="3"/>
  <c r="U621" i="3"/>
  <c r="V621" i="3"/>
  <c r="W621" i="3"/>
  <c r="X621" i="3"/>
  <c r="Y621" i="3"/>
  <c r="P622" i="3"/>
  <c r="Q622" i="3" s="1"/>
  <c r="R622" i="3"/>
  <c r="S622" i="3"/>
  <c r="T622" i="3"/>
  <c r="U622" i="3"/>
  <c r="V622" i="3"/>
  <c r="W622" i="3"/>
  <c r="X622" i="3"/>
  <c r="Y622" i="3" s="1"/>
  <c r="P623" i="3"/>
  <c r="Q623" i="3"/>
  <c r="R623" i="3"/>
  <c r="S623" i="3"/>
  <c r="T623" i="3"/>
  <c r="U623" i="3"/>
  <c r="V623" i="3"/>
  <c r="W623" i="3"/>
  <c r="X623" i="3"/>
  <c r="Y623" i="3"/>
  <c r="P624" i="3"/>
  <c r="Q624" i="3"/>
  <c r="R624" i="3"/>
  <c r="S624" i="3"/>
  <c r="T624" i="3"/>
  <c r="U624" i="3"/>
  <c r="V624" i="3"/>
  <c r="W624" i="3"/>
  <c r="X624" i="3"/>
  <c r="Y624" i="3"/>
  <c r="P625" i="3"/>
  <c r="Q625" i="3" s="1"/>
  <c r="R625" i="3"/>
  <c r="S625" i="3"/>
  <c r="T625" i="3"/>
  <c r="U625" i="3"/>
  <c r="V625" i="3"/>
  <c r="W625" i="3"/>
  <c r="X625" i="3"/>
  <c r="Y625" i="3"/>
  <c r="P626" i="3"/>
  <c r="Q626" i="3"/>
  <c r="R626" i="3"/>
  <c r="S626" i="3"/>
  <c r="T626" i="3"/>
  <c r="U626" i="3"/>
  <c r="V626" i="3"/>
  <c r="W626" i="3"/>
  <c r="X626" i="3"/>
  <c r="Y626" i="3"/>
  <c r="P627" i="3"/>
  <c r="Q627" i="3"/>
  <c r="R627" i="3"/>
  <c r="S627" i="3"/>
  <c r="T627" i="3"/>
  <c r="U627" i="3"/>
  <c r="V627" i="3"/>
  <c r="W627" i="3"/>
  <c r="X627" i="3"/>
  <c r="Y627" i="3" s="1"/>
  <c r="P628" i="3"/>
  <c r="Q628" i="3"/>
  <c r="R628" i="3"/>
  <c r="S628" i="3"/>
  <c r="T628" i="3"/>
  <c r="U628" i="3"/>
  <c r="V628" i="3"/>
  <c r="W628" i="3"/>
  <c r="X628" i="3"/>
  <c r="Y628" i="3"/>
  <c r="P629" i="3"/>
  <c r="Q629" i="3"/>
  <c r="R629" i="3"/>
  <c r="S629" i="3"/>
  <c r="T629" i="3"/>
  <c r="U629" i="3"/>
  <c r="V629" i="3"/>
  <c r="W629" i="3"/>
  <c r="X629" i="3"/>
  <c r="Y629" i="3"/>
  <c r="P630" i="3"/>
  <c r="Q630" i="3" s="1"/>
  <c r="R630" i="3"/>
  <c r="S630" i="3"/>
  <c r="T630" i="3"/>
  <c r="U630" i="3"/>
  <c r="V630" i="3"/>
  <c r="W630" i="3"/>
  <c r="X630" i="3"/>
  <c r="Y630" i="3" s="1"/>
  <c r="P631" i="3"/>
  <c r="Q631" i="3"/>
  <c r="R631" i="3"/>
  <c r="S631" i="3"/>
  <c r="T631" i="3"/>
  <c r="U631" i="3"/>
  <c r="V631" i="3"/>
  <c r="W631" i="3"/>
  <c r="X631" i="3"/>
  <c r="Y631" i="3"/>
  <c r="P632" i="3"/>
  <c r="Q632" i="3"/>
  <c r="R632" i="3"/>
  <c r="S632" i="3"/>
  <c r="T632" i="3"/>
  <c r="U632" i="3"/>
  <c r="V632" i="3"/>
  <c r="W632" i="3"/>
  <c r="X632" i="3"/>
  <c r="Y632" i="3" s="1"/>
  <c r="P633" i="3"/>
  <c r="Q633" i="3" s="1"/>
  <c r="R633" i="3"/>
  <c r="S633" i="3"/>
  <c r="T633" i="3"/>
  <c r="U633" i="3"/>
  <c r="V633" i="3"/>
  <c r="W633" i="3"/>
  <c r="X633" i="3"/>
  <c r="Y633" i="3"/>
  <c r="P634" i="3"/>
  <c r="Q634" i="3" s="1"/>
  <c r="R634" i="3"/>
  <c r="S634" i="3"/>
  <c r="T634" i="3"/>
  <c r="U634" i="3"/>
  <c r="V634" i="3"/>
  <c r="W634" i="3"/>
  <c r="X634" i="3"/>
  <c r="Y634" i="3"/>
  <c r="P635" i="3"/>
  <c r="Q635" i="3" s="1"/>
  <c r="R635" i="3"/>
  <c r="S635" i="3"/>
  <c r="T635" i="3"/>
  <c r="U635" i="3"/>
  <c r="V635" i="3"/>
  <c r="W635" i="3"/>
  <c r="X635" i="3"/>
  <c r="Y635" i="3"/>
  <c r="P636" i="3"/>
  <c r="Q636" i="3"/>
  <c r="R636" i="3"/>
  <c r="S636" i="3"/>
  <c r="T636" i="3"/>
  <c r="U636" i="3"/>
  <c r="V636" i="3"/>
  <c r="W636" i="3"/>
  <c r="X636" i="3"/>
  <c r="Y636" i="3"/>
  <c r="P637" i="3"/>
  <c r="Q637" i="3"/>
  <c r="R637" i="3"/>
  <c r="S637" i="3"/>
  <c r="T637" i="3"/>
  <c r="U637" i="3"/>
  <c r="V637" i="3"/>
  <c r="W637" i="3"/>
  <c r="X637" i="3"/>
  <c r="Y637" i="3"/>
  <c r="P638" i="3"/>
  <c r="Q638" i="3" s="1"/>
  <c r="R638" i="3"/>
  <c r="S638" i="3"/>
  <c r="T638" i="3"/>
  <c r="U638" i="3"/>
  <c r="V638" i="3"/>
  <c r="W638" i="3"/>
  <c r="X638" i="3"/>
  <c r="Y638" i="3" s="1"/>
  <c r="P639" i="3"/>
  <c r="Q639" i="3"/>
  <c r="R639" i="3"/>
  <c r="S639" i="3"/>
  <c r="T639" i="3"/>
  <c r="U639" i="3"/>
  <c r="V639" i="3"/>
  <c r="W639" i="3"/>
  <c r="X639" i="3"/>
  <c r="Y639" i="3"/>
  <c r="P640" i="3"/>
  <c r="Q640" i="3"/>
  <c r="R640" i="3"/>
  <c r="S640" i="3"/>
  <c r="T640" i="3"/>
  <c r="U640" i="3"/>
  <c r="V640" i="3"/>
  <c r="W640" i="3"/>
  <c r="X640" i="3"/>
  <c r="Y640" i="3"/>
  <c r="P641" i="3"/>
  <c r="Q641" i="3" s="1"/>
  <c r="R641" i="3"/>
  <c r="S641" i="3"/>
  <c r="T641" i="3"/>
  <c r="U641" i="3"/>
  <c r="V641" i="3"/>
  <c r="W641" i="3"/>
  <c r="X641" i="3"/>
  <c r="Y641" i="3"/>
  <c r="P642" i="3"/>
  <c r="Q642" i="3" s="1"/>
  <c r="R642" i="3"/>
  <c r="S642" i="3"/>
  <c r="T642" i="3"/>
  <c r="U642" i="3"/>
  <c r="V642" i="3"/>
  <c r="W642" i="3"/>
  <c r="X642" i="3"/>
  <c r="Y642" i="3"/>
  <c r="P643" i="3"/>
  <c r="Q643" i="3" s="1"/>
  <c r="R643" i="3"/>
  <c r="S643" i="3"/>
  <c r="T643" i="3"/>
  <c r="U643" i="3"/>
  <c r="V643" i="3"/>
  <c r="W643" i="3"/>
  <c r="X643" i="3"/>
  <c r="Y643" i="3"/>
  <c r="P644" i="3"/>
  <c r="Q644" i="3"/>
  <c r="R644" i="3"/>
  <c r="S644" i="3"/>
  <c r="T644" i="3"/>
  <c r="U644" i="3"/>
  <c r="V644" i="3"/>
  <c r="W644" i="3"/>
  <c r="X644" i="3"/>
  <c r="Y644" i="3" s="1"/>
  <c r="P645" i="3"/>
  <c r="Q645" i="3" s="1"/>
  <c r="R645" i="3"/>
  <c r="S645" i="3"/>
  <c r="T645" i="3"/>
  <c r="U645" i="3"/>
  <c r="V645" i="3"/>
  <c r="W645" i="3"/>
  <c r="X645" i="3"/>
  <c r="Y645" i="3"/>
  <c r="P646" i="3"/>
  <c r="Q646" i="3"/>
  <c r="R646" i="3"/>
  <c r="S646" i="3"/>
  <c r="T646" i="3"/>
  <c r="U646" i="3"/>
  <c r="V646" i="3"/>
  <c r="W646" i="3"/>
  <c r="X646" i="3"/>
  <c r="Y646" i="3" s="1"/>
  <c r="P647" i="3"/>
  <c r="Q647" i="3"/>
  <c r="R647" i="3"/>
  <c r="S647" i="3"/>
  <c r="T647" i="3"/>
  <c r="U647" i="3"/>
  <c r="V647" i="3"/>
  <c r="W647" i="3"/>
  <c r="X647" i="3"/>
  <c r="Y647" i="3" s="1"/>
  <c r="P648" i="3"/>
  <c r="Q648" i="3" s="1"/>
  <c r="R648" i="3"/>
  <c r="S648" i="3"/>
  <c r="T648" i="3"/>
  <c r="U648" i="3"/>
  <c r="V648" i="3"/>
  <c r="W648" i="3"/>
  <c r="X648" i="3"/>
  <c r="Y648" i="3"/>
  <c r="P649" i="3"/>
  <c r="Q649" i="3"/>
  <c r="R649" i="3"/>
  <c r="S649" i="3"/>
  <c r="T649" i="3"/>
  <c r="U649" i="3"/>
  <c r="V649" i="3"/>
  <c r="W649" i="3"/>
  <c r="X649" i="3"/>
  <c r="Y649" i="3"/>
  <c r="P650" i="3"/>
  <c r="Q650" i="3" s="1"/>
  <c r="R650" i="3"/>
  <c r="S650" i="3"/>
  <c r="T650" i="3"/>
  <c r="U650" i="3"/>
  <c r="V650" i="3"/>
  <c r="W650" i="3"/>
  <c r="X650" i="3"/>
  <c r="Y650" i="3"/>
  <c r="P651" i="3"/>
  <c r="Q651" i="3"/>
  <c r="R651" i="3"/>
  <c r="S651" i="3"/>
  <c r="T651" i="3"/>
  <c r="U651" i="3"/>
  <c r="V651" i="3"/>
  <c r="W651" i="3"/>
  <c r="X651" i="3"/>
  <c r="Y651" i="3" s="1"/>
  <c r="P652" i="3"/>
  <c r="Q652" i="3"/>
  <c r="R652" i="3"/>
  <c r="S652" i="3"/>
  <c r="T652" i="3"/>
  <c r="U652" i="3"/>
  <c r="V652" i="3"/>
  <c r="W652" i="3"/>
  <c r="X652" i="3"/>
  <c r="Y652" i="3"/>
  <c r="P653" i="3"/>
  <c r="Q653" i="3" s="1"/>
  <c r="R653" i="3"/>
  <c r="S653" i="3"/>
  <c r="T653" i="3"/>
  <c r="U653" i="3"/>
  <c r="V653" i="3"/>
  <c r="W653" i="3"/>
  <c r="X653" i="3"/>
  <c r="Y653" i="3"/>
  <c r="P654" i="3"/>
  <c r="Q654" i="3"/>
  <c r="R654" i="3"/>
  <c r="S654" i="3"/>
  <c r="T654" i="3"/>
  <c r="U654" i="3"/>
  <c r="V654" i="3"/>
  <c r="W654" i="3"/>
  <c r="X654" i="3"/>
  <c r="Y654" i="3" s="1"/>
  <c r="P655" i="3"/>
  <c r="Q655" i="3" s="1"/>
  <c r="R655" i="3"/>
  <c r="S655" i="3"/>
  <c r="T655" i="3"/>
  <c r="U655" i="3"/>
  <c r="V655" i="3"/>
  <c r="W655" i="3"/>
  <c r="X655" i="3"/>
  <c r="Y655" i="3" s="1"/>
  <c r="P656" i="3"/>
  <c r="Q656" i="3" s="1"/>
  <c r="R656" i="3"/>
  <c r="S656" i="3"/>
  <c r="T656" i="3"/>
  <c r="U656" i="3"/>
  <c r="V656" i="3"/>
  <c r="W656" i="3"/>
  <c r="X656" i="3"/>
  <c r="Y656" i="3" s="1"/>
  <c r="P657" i="3"/>
  <c r="Q657" i="3"/>
  <c r="R657" i="3"/>
  <c r="S657" i="3"/>
  <c r="T657" i="3"/>
  <c r="U657" i="3"/>
  <c r="V657" i="3"/>
  <c r="W657" i="3"/>
  <c r="X657" i="3"/>
  <c r="Y657" i="3"/>
  <c r="P658" i="3"/>
  <c r="Q658" i="3" s="1"/>
  <c r="R658" i="3"/>
  <c r="S658" i="3"/>
  <c r="T658" i="3"/>
  <c r="U658" i="3"/>
  <c r="V658" i="3"/>
  <c r="W658" i="3"/>
  <c r="X658" i="3"/>
  <c r="Y658" i="3"/>
  <c r="P659" i="3"/>
  <c r="Q659" i="3"/>
  <c r="R659" i="3"/>
  <c r="S659" i="3"/>
  <c r="T659" i="3"/>
  <c r="U659" i="3"/>
  <c r="V659" i="3"/>
  <c r="W659" i="3"/>
  <c r="X659" i="3"/>
  <c r="Y659" i="3"/>
  <c r="P660" i="3"/>
  <c r="Q660" i="3"/>
  <c r="R660" i="3"/>
  <c r="S660" i="3"/>
  <c r="T660" i="3"/>
  <c r="U660" i="3"/>
  <c r="V660" i="3"/>
  <c r="W660" i="3"/>
  <c r="X660" i="3"/>
  <c r="Y660" i="3"/>
  <c r="P661" i="3"/>
  <c r="Q661" i="3"/>
  <c r="R661" i="3"/>
  <c r="S661" i="3"/>
  <c r="T661" i="3"/>
  <c r="U661" i="3"/>
  <c r="V661" i="3"/>
  <c r="W661" i="3"/>
  <c r="X661" i="3"/>
  <c r="Y661" i="3"/>
  <c r="P662" i="3"/>
  <c r="Q662" i="3"/>
  <c r="R662" i="3"/>
  <c r="S662" i="3"/>
  <c r="T662" i="3"/>
  <c r="U662" i="3"/>
  <c r="V662" i="3"/>
  <c r="W662" i="3"/>
  <c r="X662" i="3"/>
  <c r="Y662" i="3" s="1"/>
  <c r="P663" i="3"/>
  <c r="Q663" i="3" s="1"/>
  <c r="R663" i="3"/>
  <c r="S663" i="3"/>
  <c r="T663" i="3"/>
  <c r="U663" i="3"/>
  <c r="V663" i="3"/>
  <c r="W663" i="3"/>
  <c r="X663" i="3"/>
  <c r="Y663" i="3"/>
  <c r="P664" i="3"/>
  <c r="Q664" i="3" s="1"/>
  <c r="R664" i="3"/>
  <c r="S664" i="3"/>
  <c r="T664" i="3"/>
  <c r="U664" i="3"/>
  <c r="V664" i="3"/>
  <c r="W664" i="3"/>
  <c r="X664" i="3"/>
  <c r="Y664" i="3"/>
  <c r="P665" i="3"/>
  <c r="Q665" i="3"/>
  <c r="R665" i="3"/>
  <c r="S665" i="3"/>
  <c r="T665" i="3"/>
  <c r="U665" i="3"/>
  <c r="V665" i="3"/>
  <c r="W665" i="3"/>
  <c r="X665" i="3"/>
  <c r="Y665" i="3" s="1"/>
  <c r="P666" i="3"/>
  <c r="Q666" i="3" s="1"/>
  <c r="R666" i="3"/>
  <c r="S666" i="3"/>
  <c r="T666" i="3"/>
  <c r="U666" i="3"/>
  <c r="V666" i="3"/>
  <c r="W666" i="3"/>
  <c r="X666" i="3"/>
  <c r="Y666" i="3"/>
  <c r="P667" i="3"/>
  <c r="Q667" i="3" s="1"/>
  <c r="R667" i="3"/>
  <c r="S667" i="3"/>
  <c r="T667" i="3"/>
  <c r="U667" i="3"/>
  <c r="V667" i="3"/>
  <c r="W667" i="3"/>
  <c r="X667" i="3"/>
  <c r="Y667" i="3"/>
  <c r="P668" i="3"/>
  <c r="Q668" i="3"/>
  <c r="R668" i="3"/>
  <c r="S668" i="3"/>
  <c r="T668" i="3"/>
  <c r="U668" i="3"/>
  <c r="V668" i="3"/>
  <c r="W668" i="3"/>
  <c r="X668" i="3"/>
  <c r="Y668" i="3"/>
  <c r="P669" i="3"/>
  <c r="Q669" i="3"/>
  <c r="R669" i="3"/>
  <c r="S669" i="3"/>
  <c r="T669" i="3"/>
  <c r="U669" i="3"/>
  <c r="V669" i="3"/>
  <c r="W669" i="3"/>
  <c r="X669" i="3"/>
  <c r="Y669" i="3"/>
  <c r="P670" i="3"/>
  <c r="Q670" i="3"/>
  <c r="R670" i="3"/>
  <c r="S670" i="3"/>
  <c r="T670" i="3"/>
  <c r="U670" i="3"/>
  <c r="V670" i="3"/>
  <c r="W670" i="3"/>
  <c r="X670" i="3"/>
  <c r="Y670" i="3" s="1"/>
  <c r="P671" i="3"/>
  <c r="Q671" i="3"/>
  <c r="R671" i="3"/>
  <c r="S671" i="3"/>
  <c r="T671" i="3"/>
  <c r="U671" i="3"/>
  <c r="V671" i="3"/>
  <c r="W671" i="3"/>
  <c r="X671" i="3"/>
  <c r="Y671" i="3"/>
  <c r="P672" i="3"/>
  <c r="Q672" i="3" s="1"/>
  <c r="R672" i="3"/>
  <c r="S672" i="3"/>
  <c r="T672" i="3"/>
  <c r="U672" i="3"/>
  <c r="V672" i="3"/>
  <c r="W672" i="3"/>
  <c r="X672" i="3"/>
  <c r="Y672" i="3"/>
  <c r="P673" i="3"/>
  <c r="Q673" i="3" s="1"/>
  <c r="R673" i="3"/>
  <c r="S673" i="3"/>
  <c r="T673" i="3"/>
  <c r="U673" i="3"/>
  <c r="V673" i="3"/>
  <c r="W673" i="3"/>
  <c r="X673" i="3"/>
  <c r="Y673" i="3" s="1"/>
  <c r="P674" i="3"/>
  <c r="Q674" i="3" s="1"/>
  <c r="R674" i="3"/>
  <c r="S674" i="3"/>
  <c r="T674" i="3"/>
  <c r="U674" i="3"/>
  <c r="V674" i="3"/>
  <c r="W674" i="3"/>
  <c r="X674" i="3"/>
  <c r="Y674" i="3"/>
  <c r="P675" i="3"/>
  <c r="Q675" i="3" s="1"/>
  <c r="R675" i="3"/>
  <c r="S675" i="3"/>
  <c r="T675" i="3"/>
  <c r="U675" i="3"/>
  <c r="V675" i="3"/>
  <c r="W675" i="3"/>
  <c r="X675" i="3"/>
  <c r="Y675" i="3"/>
  <c r="P676" i="3"/>
  <c r="Q676" i="3"/>
  <c r="R676" i="3"/>
  <c r="S676" i="3"/>
  <c r="T676" i="3"/>
  <c r="U676" i="3"/>
  <c r="V676" i="3"/>
  <c r="W676" i="3"/>
  <c r="X676" i="3"/>
  <c r="Y676" i="3"/>
  <c r="P677" i="3"/>
  <c r="Q677" i="3"/>
  <c r="R677" i="3"/>
  <c r="S677" i="3"/>
  <c r="T677" i="3"/>
  <c r="U677" i="3"/>
  <c r="V677" i="3"/>
  <c r="W677" i="3"/>
  <c r="X677" i="3"/>
  <c r="Y677" i="3"/>
  <c r="P678" i="3"/>
  <c r="Q678" i="3" s="1"/>
  <c r="R678" i="3"/>
  <c r="S678" i="3"/>
  <c r="T678" i="3"/>
  <c r="U678" i="3"/>
  <c r="V678" i="3"/>
  <c r="W678" i="3"/>
  <c r="X678" i="3"/>
  <c r="Y678" i="3" s="1"/>
  <c r="P679" i="3"/>
  <c r="Q679" i="3" s="1"/>
  <c r="R679" i="3"/>
  <c r="S679" i="3"/>
  <c r="T679" i="3"/>
  <c r="U679" i="3"/>
  <c r="V679" i="3"/>
  <c r="W679" i="3"/>
  <c r="X679" i="3"/>
  <c r="Y679" i="3"/>
  <c r="P680" i="3"/>
  <c r="Q680" i="3" s="1"/>
  <c r="R680" i="3"/>
  <c r="S680" i="3"/>
  <c r="T680" i="3"/>
  <c r="U680" i="3"/>
  <c r="V680" i="3"/>
  <c r="W680" i="3"/>
  <c r="X680" i="3"/>
  <c r="Y680" i="3" s="1"/>
  <c r="P681" i="3"/>
  <c r="Q681" i="3"/>
  <c r="R681" i="3"/>
  <c r="S681" i="3"/>
  <c r="T681" i="3"/>
  <c r="U681" i="3"/>
  <c r="V681" i="3"/>
  <c r="W681" i="3"/>
  <c r="X681" i="3"/>
  <c r="Y681" i="3"/>
  <c r="P682" i="3"/>
  <c r="Q682" i="3" s="1"/>
  <c r="R682" i="3"/>
  <c r="S682" i="3"/>
  <c r="T682" i="3"/>
  <c r="U682" i="3"/>
  <c r="V682" i="3"/>
  <c r="W682" i="3"/>
  <c r="X682" i="3"/>
  <c r="Y682" i="3"/>
  <c r="P683" i="3"/>
  <c r="Q683" i="3"/>
  <c r="R683" i="3"/>
  <c r="S683" i="3"/>
  <c r="T683" i="3"/>
  <c r="U683" i="3"/>
  <c r="V683" i="3"/>
  <c r="W683" i="3"/>
  <c r="X683" i="3"/>
  <c r="Y683" i="3"/>
  <c r="P684" i="3"/>
  <c r="Q684" i="3"/>
  <c r="R684" i="3"/>
  <c r="S684" i="3"/>
  <c r="T684" i="3"/>
  <c r="U684" i="3"/>
  <c r="V684" i="3"/>
  <c r="W684" i="3"/>
  <c r="X684" i="3"/>
  <c r="Y684" i="3"/>
  <c r="P685" i="3"/>
  <c r="Q685" i="3" s="1"/>
  <c r="R685" i="3"/>
  <c r="S685" i="3"/>
  <c r="T685" i="3"/>
  <c r="U685" i="3"/>
  <c r="V685" i="3"/>
  <c r="W685" i="3"/>
  <c r="X685" i="3"/>
  <c r="Y685" i="3" s="1"/>
  <c r="P686" i="3"/>
  <c r="Q686" i="3"/>
  <c r="R686" i="3"/>
  <c r="S686" i="3"/>
  <c r="T686" i="3"/>
  <c r="U686" i="3"/>
  <c r="V686" i="3"/>
  <c r="W686" i="3"/>
  <c r="X686" i="3"/>
  <c r="Y686" i="3" s="1"/>
  <c r="P687" i="3"/>
  <c r="Q687" i="3" s="1"/>
  <c r="R687" i="3"/>
  <c r="S687" i="3"/>
  <c r="T687" i="3"/>
  <c r="U687" i="3"/>
  <c r="V687" i="3"/>
  <c r="W687" i="3"/>
  <c r="X687" i="3"/>
  <c r="Y687" i="3"/>
  <c r="P688" i="3"/>
  <c r="Q688" i="3"/>
  <c r="R688" i="3"/>
  <c r="S688" i="3"/>
  <c r="T688" i="3"/>
  <c r="U688" i="3"/>
  <c r="V688" i="3"/>
  <c r="W688" i="3"/>
  <c r="X688" i="3"/>
  <c r="Y688" i="3" s="1"/>
  <c r="P689" i="3"/>
  <c r="Q689" i="3"/>
  <c r="R689" i="3"/>
  <c r="S689" i="3"/>
  <c r="T689" i="3"/>
  <c r="U689" i="3"/>
  <c r="V689" i="3"/>
  <c r="W689" i="3"/>
  <c r="X689" i="3"/>
  <c r="Y689" i="3"/>
  <c r="P690" i="3"/>
  <c r="Q690" i="3" s="1"/>
  <c r="R690" i="3"/>
  <c r="S690" i="3"/>
  <c r="T690" i="3"/>
  <c r="U690" i="3"/>
  <c r="V690" i="3"/>
  <c r="W690" i="3"/>
  <c r="X690" i="3"/>
  <c r="Y690" i="3"/>
  <c r="P691" i="3"/>
  <c r="Q691" i="3" s="1"/>
  <c r="R691" i="3"/>
  <c r="S691" i="3"/>
  <c r="T691" i="3"/>
  <c r="U691" i="3"/>
  <c r="V691" i="3"/>
  <c r="W691" i="3"/>
  <c r="X691" i="3"/>
  <c r="Y691" i="3" s="1"/>
  <c r="P692" i="3"/>
  <c r="Q692" i="3"/>
  <c r="R692" i="3"/>
  <c r="S692" i="3"/>
  <c r="T692" i="3"/>
  <c r="U692" i="3"/>
  <c r="V692" i="3"/>
  <c r="W692" i="3"/>
  <c r="X692" i="3"/>
  <c r="Y692" i="3"/>
  <c r="P693" i="3"/>
  <c r="Q693" i="3"/>
  <c r="R693" i="3"/>
  <c r="S693" i="3"/>
  <c r="T693" i="3"/>
  <c r="U693" i="3"/>
  <c r="V693" i="3"/>
  <c r="W693" i="3"/>
  <c r="X693" i="3"/>
  <c r="Y693" i="3"/>
  <c r="P694" i="3"/>
  <c r="Q694" i="3"/>
  <c r="R694" i="3"/>
  <c r="S694" i="3"/>
  <c r="T694" i="3"/>
  <c r="U694" i="3"/>
  <c r="V694" i="3"/>
  <c r="W694" i="3"/>
  <c r="X694" i="3"/>
  <c r="Y694" i="3" s="1"/>
  <c r="P695" i="3"/>
  <c r="Q695" i="3" s="1"/>
  <c r="R695" i="3"/>
  <c r="S695" i="3"/>
  <c r="T695" i="3"/>
  <c r="U695" i="3"/>
  <c r="V695" i="3"/>
  <c r="W695" i="3"/>
  <c r="X695" i="3"/>
  <c r="Y695" i="3"/>
  <c r="P696" i="3"/>
  <c r="Q696" i="3" s="1"/>
  <c r="R696" i="3"/>
  <c r="S696" i="3"/>
  <c r="T696" i="3"/>
  <c r="U696" i="3"/>
  <c r="V696" i="3"/>
  <c r="W696" i="3"/>
  <c r="X696" i="3"/>
  <c r="Y696" i="3" s="1"/>
  <c r="P697" i="3"/>
  <c r="Q697" i="3" s="1"/>
  <c r="R697" i="3"/>
  <c r="S697" i="3"/>
  <c r="T697" i="3"/>
  <c r="U697" i="3"/>
  <c r="V697" i="3"/>
  <c r="W697" i="3"/>
  <c r="X697" i="3"/>
  <c r="Y697" i="3" s="1"/>
  <c r="P698" i="3"/>
  <c r="Q698" i="3" s="1"/>
  <c r="R698" i="3"/>
  <c r="S698" i="3"/>
  <c r="T698" i="3"/>
  <c r="U698" i="3"/>
  <c r="V698" i="3"/>
  <c r="W698" i="3"/>
  <c r="X698" i="3"/>
  <c r="Y698" i="3"/>
  <c r="P699" i="3"/>
  <c r="Q699" i="3"/>
  <c r="R699" i="3"/>
  <c r="S699" i="3"/>
  <c r="T699" i="3"/>
  <c r="U699" i="3"/>
  <c r="V699" i="3"/>
  <c r="W699" i="3"/>
  <c r="X699" i="3"/>
  <c r="Y699" i="3"/>
  <c r="P700" i="3"/>
  <c r="Q700" i="3"/>
  <c r="R700" i="3"/>
  <c r="S700" i="3"/>
  <c r="T700" i="3"/>
  <c r="U700" i="3"/>
  <c r="V700" i="3"/>
  <c r="W700" i="3"/>
  <c r="X700" i="3"/>
  <c r="Y700" i="3" s="1"/>
  <c r="P701" i="3"/>
  <c r="Q701" i="3"/>
  <c r="R701" i="3"/>
  <c r="S701" i="3"/>
  <c r="T701" i="3"/>
  <c r="U701" i="3"/>
  <c r="V701" i="3"/>
  <c r="W701" i="3"/>
  <c r="X701" i="3"/>
  <c r="Y701" i="3"/>
  <c r="P702" i="3"/>
  <c r="Q702" i="3"/>
  <c r="R702" i="3"/>
  <c r="S702" i="3"/>
  <c r="T702" i="3"/>
  <c r="U702" i="3"/>
  <c r="V702" i="3"/>
  <c r="W702" i="3"/>
  <c r="X702" i="3"/>
  <c r="Y702" i="3" s="1"/>
  <c r="P703" i="3"/>
  <c r="Q703" i="3"/>
  <c r="R703" i="3"/>
  <c r="S703" i="3"/>
  <c r="T703" i="3"/>
  <c r="U703" i="3"/>
  <c r="V703" i="3"/>
  <c r="W703" i="3"/>
  <c r="X703" i="3"/>
  <c r="Y703" i="3" s="1"/>
  <c r="P704" i="3"/>
  <c r="Q704" i="3"/>
  <c r="R704" i="3"/>
  <c r="S704" i="3"/>
  <c r="T704" i="3"/>
  <c r="U704" i="3"/>
  <c r="V704" i="3"/>
  <c r="W704" i="3"/>
  <c r="X704" i="3"/>
  <c r="Y704" i="3"/>
  <c r="P705" i="3"/>
  <c r="Q705" i="3" s="1"/>
  <c r="R705" i="3"/>
  <c r="S705" i="3"/>
  <c r="T705" i="3"/>
  <c r="U705" i="3"/>
  <c r="V705" i="3"/>
  <c r="W705" i="3"/>
  <c r="X705" i="3"/>
  <c r="Y705" i="3"/>
  <c r="P706" i="3"/>
  <c r="Q706" i="3" s="1"/>
  <c r="R706" i="3"/>
  <c r="S706" i="3"/>
  <c r="T706" i="3"/>
  <c r="U706" i="3"/>
  <c r="V706" i="3"/>
  <c r="W706" i="3"/>
  <c r="X706" i="3"/>
  <c r="Y706" i="3"/>
  <c r="P707" i="3"/>
  <c r="Q707" i="3"/>
  <c r="R707" i="3"/>
  <c r="S707" i="3"/>
  <c r="T707" i="3"/>
  <c r="U707" i="3"/>
  <c r="V707" i="3"/>
  <c r="W707" i="3"/>
  <c r="X707" i="3"/>
  <c r="Y707" i="3" s="1"/>
  <c r="P708" i="3"/>
  <c r="Q708" i="3"/>
  <c r="R708" i="3"/>
  <c r="S708" i="3"/>
  <c r="T708" i="3"/>
  <c r="U708" i="3"/>
  <c r="V708" i="3"/>
  <c r="W708" i="3"/>
  <c r="X708" i="3"/>
  <c r="Y708" i="3"/>
  <c r="P709" i="3"/>
  <c r="Q709" i="3"/>
  <c r="R709" i="3"/>
  <c r="S709" i="3"/>
  <c r="T709" i="3"/>
  <c r="U709" i="3"/>
  <c r="V709" i="3"/>
  <c r="W709" i="3"/>
  <c r="X709" i="3"/>
  <c r="Y709" i="3"/>
  <c r="P710" i="3"/>
  <c r="Q710" i="3" s="1"/>
  <c r="R710" i="3"/>
  <c r="S710" i="3"/>
  <c r="T710" i="3"/>
  <c r="U710" i="3"/>
  <c r="V710" i="3"/>
  <c r="W710" i="3"/>
  <c r="X710" i="3"/>
  <c r="Y710" i="3" s="1"/>
  <c r="P711" i="3"/>
  <c r="Q711" i="3"/>
  <c r="R711" i="3"/>
  <c r="S711" i="3"/>
  <c r="T711" i="3"/>
  <c r="U711" i="3"/>
  <c r="V711" i="3"/>
  <c r="W711" i="3"/>
  <c r="X711" i="3"/>
  <c r="Y711" i="3" s="1"/>
  <c r="P712" i="3"/>
  <c r="Q712" i="3"/>
  <c r="R712" i="3"/>
  <c r="S712" i="3"/>
  <c r="T712" i="3"/>
  <c r="U712" i="3"/>
  <c r="V712" i="3"/>
  <c r="W712" i="3"/>
  <c r="X712" i="3"/>
  <c r="Y712" i="3" s="1"/>
  <c r="P713" i="3"/>
  <c r="Q713" i="3"/>
  <c r="R713" i="3"/>
  <c r="S713" i="3"/>
  <c r="T713" i="3"/>
  <c r="U713" i="3"/>
  <c r="V713" i="3"/>
  <c r="W713" i="3"/>
  <c r="X713" i="3"/>
  <c r="Y713" i="3"/>
  <c r="P714" i="3"/>
  <c r="Q714" i="3" s="1"/>
  <c r="R714" i="3"/>
  <c r="S714" i="3"/>
  <c r="T714" i="3"/>
  <c r="U714" i="3"/>
  <c r="V714" i="3"/>
  <c r="W714" i="3"/>
  <c r="X714" i="3"/>
  <c r="Y714" i="3"/>
  <c r="P715" i="3"/>
  <c r="Q715" i="3"/>
  <c r="R715" i="3"/>
  <c r="S715" i="3"/>
  <c r="T715" i="3"/>
  <c r="U715" i="3"/>
  <c r="V715" i="3"/>
  <c r="W715" i="3"/>
  <c r="X715" i="3"/>
  <c r="Y715" i="3"/>
  <c r="P716" i="3"/>
  <c r="Q716" i="3"/>
  <c r="R716" i="3"/>
  <c r="S716" i="3"/>
  <c r="T716" i="3"/>
  <c r="U716" i="3"/>
  <c r="V716" i="3"/>
  <c r="W716" i="3"/>
  <c r="X716" i="3"/>
  <c r="Y716" i="3"/>
  <c r="P717" i="3"/>
  <c r="Q717" i="3" s="1"/>
  <c r="R717" i="3"/>
  <c r="S717" i="3"/>
  <c r="T717" i="3"/>
  <c r="U717" i="3"/>
  <c r="V717" i="3"/>
  <c r="W717" i="3"/>
  <c r="X717" i="3"/>
  <c r="Y717" i="3" s="1"/>
  <c r="P718" i="3"/>
  <c r="Q718" i="3"/>
  <c r="R718" i="3"/>
  <c r="S718" i="3"/>
  <c r="T718" i="3"/>
  <c r="U718" i="3"/>
  <c r="V718" i="3"/>
  <c r="W718" i="3"/>
  <c r="X718" i="3"/>
  <c r="Y718" i="3" s="1"/>
  <c r="P719" i="3"/>
  <c r="Q719" i="3"/>
  <c r="R719" i="3"/>
  <c r="S719" i="3"/>
  <c r="T719" i="3"/>
  <c r="U719" i="3"/>
  <c r="V719" i="3"/>
  <c r="W719" i="3"/>
  <c r="X719" i="3"/>
  <c r="Y719" i="3" s="1"/>
  <c r="P720" i="3"/>
  <c r="Q720" i="3" s="1"/>
  <c r="R720" i="3"/>
  <c r="S720" i="3"/>
  <c r="T720" i="3"/>
  <c r="U720" i="3"/>
  <c r="V720" i="3"/>
  <c r="W720" i="3"/>
  <c r="X720" i="3"/>
  <c r="Y720" i="3"/>
  <c r="P721" i="3"/>
  <c r="Q721" i="3"/>
  <c r="R721" i="3"/>
  <c r="S721" i="3"/>
  <c r="T721" i="3"/>
  <c r="U721" i="3"/>
  <c r="V721" i="3"/>
  <c r="W721" i="3"/>
  <c r="X721" i="3"/>
  <c r="Y721" i="3"/>
  <c r="P722" i="3"/>
  <c r="Q722" i="3" s="1"/>
  <c r="R722" i="3"/>
  <c r="S722" i="3"/>
  <c r="T722" i="3"/>
  <c r="U722" i="3"/>
  <c r="V722" i="3"/>
  <c r="W722" i="3"/>
  <c r="X722" i="3"/>
  <c r="Y722" i="3"/>
  <c r="P723" i="3"/>
  <c r="Q723" i="3" s="1"/>
  <c r="R723" i="3"/>
  <c r="S723" i="3"/>
  <c r="T723" i="3"/>
  <c r="U723" i="3"/>
  <c r="V723" i="3"/>
  <c r="W723" i="3"/>
  <c r="X723" i="3"/>
  <c r="Y723" i="3"/>
  <c r="P724" i="3"/>
  <c r="Q724" i="3"/>
  <c r="R724" i="3"/>
  <c r="S724" i="3"/>
  <c r="T724" i="3"/>
  <c r="U724" i="3"/>
  <c r="V724" i="3"/>
  <c r="W724" i="3"/>
  <c r="X724" i="3"/>
  <c r="Y724" i="3"/>
  <c r="P725" i="3"/>
  <c r="Q725" i="3"/>
  <c r="R725" i="3"/>
  <c r="S725" i="3"/>
  <c r="T725" i="3"/>
  <c r="U725" i="3"/>
  <c r="V725" i="3"/>
  <c r="W725" i="3"/>
  <c r="X725" i="3"/>
  <c r="Y725" i="3" s="1"/>
  <c r="P726" i="3"/>
  <c r="Q726" i="3"/>
  <c r="R726" i="3"/>
  <c r="S726" i="3"/>
  <c r="T726" i="3"/>
  <c r="U726" i="3"/>
  <c r="V726" i="3"/>
  <c r="W726" i="3"/>
  <c r="X726" i="3"/>
  <c r="Y726" i="3" s="1"/>
  <c r="P727" i="3"/>
  <c r="Q727" i="3"/>
  <c r="R727" i="3"/>
  <c r="S727" i="3"/>
  <c r="T727" i="3"/>
  <c r="U727" i="3"/>
  <c r="V727" i="3"/>
  <c r="W727" i="3"/>
  <c r="X727" i="3"/>
  <c r="Y727" i="3"/>
  <c r="P728" i="3"/>
  <c r="Q728" i="3" s="1"/>
  <c r="R728" i="3"/>
  <c r="S728" i="3"/>
  <c r="T728" i="3"/>
  <c r="U728" i="3"/>
  <c r="V728" i="3"/>
  <c r="W728" i="3"/>
  <c r="X728" i="3"/>
  <c r="Y728" i="3"/>
  <c r="P729" i="3"/>
  <c r="Q729" i="3"/>
  <c r="R729" i="3"/>
  <c r="S729" i="3"/>
  <c r="T729" i="3"/>
  <c r="U729" i="3"/>
  <c r="V729" i="3"/>
  <c r="W729" i="3"/>
  <c r="X729" i="3"/>
  <c r="Y729" i="3" s="1"/>
  <c r="P730" i="3"/>
  <c r="Q730" i="3" s="1"/>
  <c r="R730" i="3"/>
  <c r="S730" i="3"/>
  <c r="T730" i="3"/>
  <c r="U730" i="3"/>
  <c r="V730" i="3"/>
  <c r="W730" i="3"/>
  <c r="X730" i="3"/>
  <c r="Y730" i="3"/>
  <c r="P731" i="3"/>
  <c r="Q731" i="3" s="1"/>
  <c r="R731" i="3"/>
  <c r="S731" i="3"/>
  <c r="T731" i="3"/>
  <c r="U731" i="3"/>
  <c r="V731" i="3"/>
  <c r="W731" i="3"/>
  <c r="X731" i="3"/>
  <c r="Y731" i="3"/>
  <c r="P732" i="3"/>
  <c r="Q732" i="3"/>
  <c r="R732" i="3"/>
  <c r="S732" i="3"/>
  <c r="T732" i="3"/>
  <c r="U732" i="3"/>
  <c r="V732" i="3"/>
  <c r="W732" i="3"/>
  <c r="X732" i="3"/>
  <c r="Y732" i="3"/>
  <c r="P733" i="3"/>
  <c r="Q733" i="3"/>
  <c r="R733" i="3"/>
  <c r="S733" i="3"/>
  <c r="T733" i="3"/>
  <c r="U733" i="3"/>
  <c r="V733" i="3"/>
  <c r="W733" i="3"/>
  <c r="X733" i="3"/>
  <c r="Y733" i="3"/>
  <c r="P734" i="3"/>
  <c r="Q734" i="3"/>
  <c r="R734" i="3"/>
  <c r="S734" i="3"/>
  <c r="T734" i="3"/>
  <c r="U734" i="3"/>
  <c r="V734" i="3"/>
  <c r="W734" i="3"/>
  <c r="X734" i="3"/>
  <c r="Y734" i="3" s="1"/>
  <c r="P735" i="3"/>
  <c r="Q735" i="3" s="1"/>
  <c r="R735" i="3"/>
  <c r="S735" i="3"/>
  <c r="T735" i="3"/>
  <c r="U735" i="3"/>
  <c r="V735" i="3"/>
  <c r="W735" i="3"/>
  <c r="X735" i="3"/>
  <c r="Y735" i="3"/>
  <c r="P736" i="3"/>
  <c r="Q736" i="3" s="1"/>
  <c r="R736" i="3"/>
  <c r="S736" i="3"/>
  <c r="T736" i="3"/>
  <c r="U736" i="3"/>
  <c r="V736" i="3"/>
  <c r="W736" i="3"/>
  <c r="X736" i="3"/>
  <c r="Y736" i="3"/>
  <c r="P737" i="3"/>
  <c r="Q737" i="3"/>
  <c r="R737" i="3"/>
  <c r="S737" i="3"/>
  <c r="T737" i="3"/>
  <c r="U737" i="3"/>
  <c r="V737" i="3"/>
  <c r="W737" i="3"/>
  <c r="X737" i="3"/>
  <c r="Y737" i="3" s="1"/>
  <c r="P738" i="3"/>
  <c r="Q738" i="3" s="1"/>
  <c r="R738" i="3"/>
  <c r="S738" i="3"/>
  <c r="T738" i="3"/>
  <c r="U738" i="3"/>
  <c r="V738" i="3"/>
  <c r="W738" i="3"/>
  <c r="X738" i="3"/>
  <c r="Y738" i="3"/>
  <c r="P739" i="3"/>
  <c r="Q739" i="3"/>
  <c r="R739" i="3"/>
  <c r="S739" i="3"/>
  <c r="T739" i="3"/>
  <c r="U739" i="3"/>
  <c r="V739" i="3"/>
  <c r="W739" i="3"/>
  <c r="X739" i="3"/>
  <c r="Y739" i="3"/>
  <c r="P740" i="3"/>
  <c r="Q740" i="3" s="1"/>
  <c r="R740" i="3"/>
  <c r="S740" i="3"/>
  <c r="T740" i="3"/>
  <c r="U740" i="3"/>
  <c r="V740" i="3"/>
  <c r="W740" i="3"/>
  <c r="X740" i="3"/>
  <c r="Y740" i="3"/>
  <c r="P741" i="3"/>
  <c r="Q741" i="3"/>
  <c r="R741" i="3"/>
  <c r="S741" i="3"/>
  <c r="T741" i="3"/>
  <c r="U741" i="3"/>
  <c r="V741" i="3"/>
  <c r="W741" i="3"/>
  <c r="X741" i="3"/>
  <c r="Y741" i="3" s="1"/>
  <c r="P742" i="3"/>
  <c r="Q742" i="3"/>
  <c r="R742" i="3"/>
  <c r="S742" i="3"/>
  <c r="T742" i="3"/>
  <c r="U742" i="3"/>
  <c r="V742" i="3"/>
  <c r="W742" i="3"/>
  <c r="X742" i="3"/>
  <c r="Y742" i="3" s="1"/>
  <c r="P743" i="3"/>
  <c r="Q743" i="3" s="1"/>
  <c r="R743" i="3"/>
  <c r="S743" i="3"/>
  <c r="T743" i="3"/>
  <c r="U743" i="3"/>
  <c r="V743" i="3"/>
  <c r="W743" i="3"/>
  <c r="X743" i="3"/>
  <c r="Y743" i="3"/>
  <c r="P744" i="3"/>
  <c r="Q744" i="3"/>
  <c r="R744" i="3"/>
  <c r="S744" i="3"/>
  <c r="T744" i="3"/>
  <c r="U744" i="3"/>
  <c r="V744" i="3"/>
  <c r="W744" i="3"/>
  <c r="X744" i="3"/>
  <c r="Y744" i="3"/>
  <c r="P745" i="3"/>
  <c r="Q745" i="3" s="1"/>
  <c r="R745" i="3"/>
  <c r="S745" i="3"/>
  <c r="T745" i="3"/>
  <c r="U745" i="3"/>
  <c r="V745" i="3"/>
  <c r="W745" i="3"/>
  <c r="X745" i="3"/>
  <c r="Y745" i="3"/>
  <c r="P746" i="3"/>
  <c r="Q746" i="3" s="1"/>
  <c r="R746" i="3"/>
  <c r="S746" i="3"/>
  <c r="T746" i="3"/>
  <c r="U746" i="3"/>
  <c r="V746" i="3"/>
  <c r="W746" i="3"/>
  <c r="X746" i="3"/>
  <c r="Y746" i="3" s="1"/>
  <c r="P747" i="3"/>
  <c r="Q747" i="3"/>
  <c r="R747" i="3"/>
  <c r="S747" i="3"/>
  <c r="T747" i="3"/>
  <c r="U747" i="3"/>
  <c r="V747" i="3"/>
  <c r="W747" i="3"/>
  <c r="X747" i="3"/>
  <c r="Y747" i="3"/>
  <c r="P748" i="3"/>
  <c r="Q748" i="3" s="1"/>
  <c r="R748" i="3"/>
  <c r="S748" i="3"/>
  <c r="T748" i="3"/>
  <c r="U748" i="3"/>
  <c r="V748" i="3"/>
  <c r="W748" i="3"/>
  <c r="X748" i="3"/>
  <c r="Y748" i="3" s="1"/>
  <c r="P749" i="3"/>
  <c r="Q749" i="3"/>
  <c r="R749" i="3"/>
  <c r="S749" i="3"/>
  <c r="T749" i="3"/>
  <c r="U749" i="3"/>
  <c r="V749" i="3"/>
  <c r="W749" i="3"/>
  <c r="X749" i="3"/>
  <c r="Y749" i="3"/>
  <c r="P750" i="3"/>
  <c r="Q750" i="3" s="1"/>
  <c r="R750" i="3"/>
  <c r="S750" i="3"/>
  <c r="T750" i="3"/>
  <c r="U750" i="3"/>
  <c r="V750" i="3"/>
  <c r="W750" i="3"/>
  <c r="X750" i="3"/>
  <c r="Y750" i="3" s="1"/>
  <c r="P751" i="3"/>
  <c r="Q751" i="3" s="1"/>
  <c r="R751" i="3"/>
  <c r="S751" i="3"/>
  <c r="T751" i="3"/>
  <c r="U751" i="3"/>
  <c r="V751" i="3"/>
  <c r="W751" i="3"/>
  <c r="X751" i="3"/>
  <c r="Y751" i="3"/>
  <c r="P752" i="3"/>
  <c r="Q752" i="3" s="1"/>
  <c r="R752" i="3"/>
  <c r="S752" i="3"/>
  <c r="T752" i="3"/>
  <c r="U752" i="3"/>
  <c r="V752" i="3"/>
  <c r="W752" i="3"/>
  <c r="X752" i="3"/>
  <c r="Y752" i="3" s="1"/>
  <c r="P753" i="3"/>
  <c r="Q753" i="3"/>
  <c r="R753" i="3"/>
  <c r="S753" i="3"/>
  <c r="T753" i="3"/>
  <c r="U753" i="3"/>
  <c r="V753" i="3"/>
  <c r="W753" i="3"/>
  <c r="X753" i="3"/>
  <c r="Y753" i="3"/>
  <c r="P754" i="3"/>
  <c r="Q754" i="3" s="1"/>
  <c r="R754" i="3"/>
  <c r="S754" i="3"/>
  <c r="T754" i="3"/>
  <c r="U754" i="3"/>
  <c r="V754" i="3"/>
  <c r="W754" i="3"/>
  <c r="X754" i="3"/>
  <c r="Y754" i="3"/>
  <c r="P755" i="3"/>
  <c r="Q755" i="3" s="1"/>
  <c r="R755" i="3"/>
  <c r="S755" i="3"/>
  <c r="T755" i="3"/>
  <c r="U755" i="3"/>
  <c r="V755" i="3"/>
  <c r="W755" i="3"/>
  <c r="X755" i="3"/>
  <c r="Y755" i="3"/>
  <c r="P756" i="3"/>
  <c r="Q756" i="3"/>
  <c r="R756" i="3"/>
  <c r="S756" i="3"/>
  <c r="T756" i="3"/>
  <c r="U756" i="3"/>
  <c r="V756" i="3"/>
  <c r="W756" i="3"/>
  <c r="X756" i="3"/>
  <c r="Y756" i="3"/>
  <c r="P757" i="3"/>
  <c r="Q757" i="3" s="1"/>
  <c r="R757" i="3"/>
  <c r="S757" i="3"/>
  <c r="T757" i="3"/>
  <c r="U757" i="3"/>
  <c r="V757" i="3"/>
  <c r="W757" i="3"/>
  <c r="X757" i="3"/>
  <c r="Y757" i="3"/>
  <c r="P758" i="3"/>
  <c r="Q758" i="3"/>
  <c r="R758" i="3"/>
  <c r="S758" i="3"/>
  <c r="T758" i="3"/>
  <c r="U758" i="3"/>
  <c r="V758" i="3"/>
  <c r="W758" i="3"/>
  <c r="X758" i="3"/>
  <c r="Y758" i="3" s="1"/>
  <c r="P759" i="3"/>
  <c r="Q759" i="3" s="1"/>
  <c r="R759" i="3"/>
  <c r="S759" i="3"/>
  <c r="T759" i="3"/>
  <c r="U759" i="3"/>
  <c r="V759" i="3"/>
  <c r="W759" i="3"/>
  <c r="X759" i="3"/>
  <c r="Y759" i="3"/>
  <c r="P760" i="3"/>
  <c r="Q760" i="3" s="1"/>
  <c r="R760" i="3"/>
  <c r="S760" i="3"/>
  <c r="T760" i="3"/>
  <c r="U760" i="3"/>
  <c r="V760" i="3"/>
  <c r="W760" i="3"/>
  <c r="X760" i="3"/>
  <c r="Y760" i="3" s="1"/>
  <c r="P761" i="3"/>
  <c r="Q761" i="3" s="1"/>
  <c r="R761" i="3"/>
  <c r="S761" i="3"/>
  <c r="T761" i="3"/>
  <c r="U761" i="3"/>
  <c r="V761" i="3"/>
  <c r="W761" i="3"/>
  <c r="X761" i="3"/>
  <c r="Y761" i="3"/>
  <c r="P762" i="3"/>
  <c r="Q762" i="3" s="1"/>
  <c r="R762" i="3"/>
  <c r="S762" i="3"/>
  <c r="T762" i="3"/>
  <c r="U762" i="3"/>
  <c r="V762" i="3"/>
  <c r="W762" i="3"/>
  <c r="X762" i="3"/>
  <c r="Y762" i="3"/>
  <c r="P763" i="3"/>
  <c r="Q763" i="3" s="1"/>
  <c r="R763" i="3"/>
  <c r="S763" i="3"/>
  <c r="T763" i="3"/>
  <c r="U763" i="3"/>
  <c r="V763" i="3"/>
  <c r="W763" i="3"/>
  <c r="X763" i="3"/>
  <c r="Y763" i="3"/>
  <c r="P764" i="3"/>
  <c r="Q764" i="3"/>
  <c r="R764" i="3"/>
  <c r="S764" i="3"/>
  <c r="T764" i="3"/>
  <c r="U764" i="3"/>
  <c r="V764" i="3"/>
  <c r="W764" i="3"/>
  <c r="X764" i="3"/>
  <c r="Y764" i="3"/>
  <c r="P765" i="3"/>
  <c r="Q765" i="3"/>
  <c r="R765" i="3"/>
  <c r="S765" i="3"/>
  <c r="T765" i="3"/>
  <c r="U765" i="3"/>
  <c r="V765" i="3"/>
  <c r="W765" i="3"/>
  <c r="X765" i="3"/>
  <c r="Y765" i="3"/>
  <c r="P766" i="3"/>
  <c r="Q766" i="3"/>
  <c r="R766" i="3"/>
  <c r="S766" i="3"/>
  <c r="T766" i="3"/>
  <c r="U766" i="3"/>
  <c r="V766" i="3"/>
  <c r="W766" i="3"/>
  <c r="X766" i="3"/>
  <c r="Y766" i="3" s="1"/>
  <c r="P767" i="3"/>
  <c r="Q767" i="3" s="1"/>
  <c r="R767" i="3"/>
  <c r="S767" i="3"/>
  <c r="T767" i="3"/>
  <c r="U767" i="3"/>
  <c r="V767" i="3"/>
  <c r="W767" i="3"/>
  <c r="X767" i="3"/>
  <c r="Y767" i="3"/>
  <c r="P768" i="3"/>
  <c r="Q768" i="3" s="1"/>
  <c r="R768" i="3"/>
  <c r="S768" i="3"/>
  <c r="T768" i="3"/>
  <c r="U768" i="3"/>
  <c r="V768" i="3"/>
  <c r="W768" i="3"/>
  <c r="X768" i="3"/>
  <c r="Y768" i="3"/>
  <c r="P769" i="3"/>
  <c r="Q769" i="3" s="1"/>
  <c r="R769" i="3"/>
  <c r="S769" i="3"/>
  <c r="T769" i="3"/>
  <c r="U769" i="3"/>
  <c r="V769" i="3"/>
  <c r="W769" i="3"/>
  <c r="X769" i="3"/>
  <c r="Y769" i="3"/>
  <c r="P770" i="3"/>
  <c r="Q770" i="3" s="1"/>
  <c r="R770" i="3"/>
  <c r="S770" i="3"/>
  <c r="T770" i="3"/>
  <c r="U770" i="3"/>
  <c r="V770" i="3"/>
  <c r="W770" i="3"/>
  <c r="X770" i="3"/>
  <c r="Y770" i="3"/>
  <c r="P771" i="3"/>
  <c r="Q771" i="3"/>
  <c r="R771" i="3"/>
  <c r="S771" i="3"/>
  <c r="T771" i="3"/>
  <c r="U771" i="3"/>
  <c r="V771" i="3"/>
  <c r="W771" i="3"/>
  <c r="X771" i="3"/>
  <c r="Y771" i="3"/>
  <c r="P772" i="3"/>
  <c r="Q772" i="3" s="1"/>
  <c r="R772" i="3"/>
  <c r="S772" i="3"/>
  <c r="T772" i="3"/>
  <c r="U772" i="3"/>
  <c r="V772" i="3"/>
  <c r="W772" i="3"/>
  <c r="X772" i="3"/>
  <c r="Y772" i="3"/>
  <c r="P773" i="3"/>
  <c r="Q773" i="3"/>
  <c r="R773" i="3"/>
  <c r="S773" i="3"/>
  <c r="T773" i="3"/>
  <c r="U773" i="3"/>
  <c r="V773" i="3"/>
  <c r="W773" i="3"/>
  <c r="X773" i="3"/>
  <c r="Y773" i="3" s="1"/>
  <c r="P774" i="3"/>
  <c r="Q774" i="3" s="1"/>
  <c r="R774" i="3"/>
  <c r="S774" i="3"/>
  <c r="T774" i="3"/>
  <c r="U774" i="3"/>
  <c r="V774" i="3"/>
  <c r="W774" i="3"/>
  <c r="X774" i="3"/>
  <c r="Y774" i="3" s="1"/>
  <c r="P775" i="3"/>
  <c r="Q775" i="3" s="1"/>
  <c r="R775" i="3"/>
  <c r="S775" i="3"/>
  <c r="T775" i="3"/>
  <c r="U775" i="3"/>
  <c r="V775" i="3"/>
  <c r="W775" i="3"/>
  <c r="X775" i="3"/>
  <c r="Y775" i="3" s="1"/>
  <c r="P776" i="3"/>
  <c r="Q776" i="3"/>
  <c r="R776" i="3"/>
  <c r="S776" i="3"/>
  <c r="T776" i="3"/>
  <c r="U776" i="3"/>
  <c r="V776" i="3"/>
  <c r="W776" i="3"/>
  <c r="X776" i="3"/>
  <c r="Y776" i="3"/>
  <c r="P777" i="3"/>
  <c r="Q777" i="3" s="1"/>
  <c r="R777" i="3"/>
  <c r="S777" i="3"/>
  <c r="T777" i="3"/>
  <c r="U777" i="3"/>
  <c r="V777" i="3"/>
  <c r="W777" i="3"/>
  <c r="X777" i="3"/>
  <c r="Y777" i="3" s="1"/>
  <c r="P778" i="3"/>
  <c r="Q778" i="3" s="1"/>
  <c r="R778" i="3"/>
  <c r="S778" i="3"/>
  <c r="T778" i="3"/>
  <c r="U778" i="3"/>
  <c r="V778" i="3"/>
  <c r="W778" i="3"/>
  <c r="X778" i="3"/>
  <c r="Y778" i="3"/>
  <c r="P779" i="3"/>
  <c r="Q779" i="3"/>
  <c r="R779" i="3"/>
  <c r="S779" i="3"/>
  <c r="T779" i="3"/>
  <c r="U779" i="3"/>
  <c r="V779" i="3"/>
  <c r="W779" i="3"/>
  <c r="X779" i="3"/>
  <c r="Y779" i="3"/>
  <c r="P780" i="3"/>
  <c r="Q780" i="3"/>
  <c r="R780" i="3"/>
  <c r="S780" i="3"/>
  <c r="T780" i="3"/>
  <c r="U780" i="3"/>
  <c r="V780" i="3"/>
  <c r="W780" i="3"/>
  <c r="X780" i="3"/>
  <c r="Y780" i="3" s="1"/>
  <c r="P781" i="3"/>
  <c r="Q781" i="3"/>
  <c r="R781" i="3"/>
  <c r="S781" i="3"/>
  <c r="T781" i="3"/>
  <c r="U781" i="3"/>
  <c r="V781" i="3"/>
  <c r="W781" i="3"/>
  <c r="X781" i="3"/>
  <c r="Y781" i="3"/>
  <c r="P782" i="3"/>
  <c r="Q782" i="3" s="1"/>
  <c r="R782" i="3"/>
  <c r="S782" i="3"/>
  <c r="T782" i="3"/>
  <c r="U782" i="3"/>
  <c r="V782" i="3"/>
  <c r="W782" i="3"/>
  <c r="X782" i="3"/>
  <c r="Y782" i="3" s="1"/>
  <c r="P783" i="3"/>
  <c r="Q783" i="3"/>
  <c r="R783" i="3"/>
  <c r="S783" i="3"/>
  <c r="T783" i="3"/>
  <c r="U783" i="3"/>
  <c r="V783" i="3"/>
  <c r="W783" i="3"/>
  <c r="X783" i="3"/>
  <c r="Y783" i="3" s="1"/>
  <c r="P784" i="3"/>
  <c r="Q784" i="3" s="1"/>
  <c r="R784" i="3"/>
  <c r="S784" i="3"/>
  <c r="T784" i="3"/>
  <c r="U784" i="3"/>
  <c r="V784" i="3"/>
  <c r="W784" i="3"/>
  <c r="X784" i="3"/>
  <c r="Y784" i="3"/>
  <c r="P785" i="3"/>
  <c r="Q785" i="3"/>
  <c r="R785" i="3"/>
  <c r="S785" i="3"/>
  <c r="T785" i="3"/>
  <c r="U785" i="3"/>
  <c r="V785" i="3"/>
  <c r="W785" i="3"/>
  <c r="X785" i="3"/>
  <c r="Y785" i="3"/>
  <c r="P786" i="3"/>
  <c r="Q786" i="3" s="1"/>
  <c r="R786" i="3"/>
  <c r="S786" i="3"/>
  <c r="T786" i="3"/>
  <c r="U786" i="3"/>
  <c r="V786" i="3"/>
  <c r="W786" i="3"/>
  <c r="X786" i="3"/>
  <c r="Y786" i="3"/>
  <c r="P787" i="3"/>
  <c r="Q787" i="3"/>
  <c r="R787" i="3"/>
  <c r="S787" i="3"/>
  <c r="T787" i="3"/>
  <c r="U787" i="3"/>
  <c r="V787" i="3"/>
  <c r="W787" i="3"/>
  <c r="X787" i="3"/>
  <c r="Y787" i="3"/>
  <c r="P788" i="3"/>
  <c r="Q788" i="3" s="1"/>
  <c r="R788" i="3"/>
  <c r="S788" i="3"/>
  <c r="T788" i="3"/>
  <c r="U788" i="3"/>
  <c r="V788" i="3"/>
  <c r="W788" i="3"/>
  <c r="X788" i="3"/>
  <c r="Y788" i="3"/>
  <c r="P789" i="3"/>
  <c r="Q789" i="3" s="1"/>
  <c r="R789" i="3"/>
  <c r="S789" i="3"/>
  <c r="T789" i="3"/>
  <c r="U789" i="3"/>
  <c r="V789" i="3"/>
  <c r="W789" i="3"/>
  <c r="X789" i="3"/>
  <c r="Y789" i="3"/>
  <c r="P790" i="3"/>
  <c r="Q790" i="3"/>
  <c r="R790" i="3"/>
  <c r="S790" i="3"/>
  <c r="T790" i="3"/>
  <c r="U790" i="3"/>
  <c r="V790" i="3"/>
  <c r="W790" i="3"/>
  <c r="X790" i="3"/>
  <c r="Y790" i="3" s="1"/>
  <c r="P791" i="3"/>
  <c r="Q791" i="3"/>
  <c r="R791" i="3"/>
  <c r="S791" i="3"/>
  <c r="T791" i="3"/>
  <c r="U791" i="3"/>
  <c r="V791" i="3"/>
  <c r="W791" i="3"/>
  <c r="X791" i="3"/>
  <c r="Y791" i="3"/>
  <c r="P792" i="3"/>
  <c r="Q792" i="3" s="1"/>
  <c r="R792" i="3"/>
  <c r="S792" i="3"/>
  <c r="T792" i="3"/>
  <c r="U792" i="3"/>
  <c r="V792" i="3"/>
  <c r="W792" i="3"/>
  <c r="X792" i="3"/>
  <c r="Y792" i="3"/>
  <c r="P793" i="3"/>
  <c r="Q793" i="3"/>
  <c r="R793" i="3"/>
  <c r="S793" i="3"/>
  <c r="T793" i="3"/>
  <c r="U793" i="3"/>
  <c r="V793" i="3"/>
  <c r="W793" i="3"/>
  <c r="X793" i="3"/>
  <c r="Y793" i="3" s="1"/>
  <c r="P794" i="3"/>
  <c r="Q794" i="3" s="1"/>
  <c r="R794" i="3"/>
  <c r="S794" i="3"/>
  <c r="T794" i="3"/>
  <c r="U794" i="3"/>
  <c r="V794" i="3"/>
  <c r="W794" i="3"/>
  <c r="X794" i="3"/>
  <c r="Y794" i="3"/>
  <c r="P795" i="3"/>
  <c r="Q795" i="3"/>
  <c r="R795" i="3"/>
  <c r="S795" i="3"/>
  <c r="T795" i="3"/>
  <c r="U795" i="3"/>
  <c r="V795" i="3"/>
  <c r="W795" i="3"/>
  <c r="X795" i="3"/>
  <c r="Y795" i="3" s="1"/>
  <c r="P796" i="3"/>
  <c r="Q796" i="3"/>
  <c r="R796" i="3"/>
  <c r="S796" i="3"/>
  <c r="T796" i="3"/>
  <c r="U796" i="3"/>
  <c r="V796" i="3"/>
  <c r="W796" i="3"/>
  <c r="X796" i="3"/>
  <c r="Y796" i="3"/>
  <c r="P797" i="3"/>
  <c r="Q797" i="3"/>
  <c r="R797" i="3"/>
  <c r="S797" i="3"/>
  <c r="T797" i="3"/>
  <c r="U797" i="3"/>
  <c r="V797" i="3"/>
  <c r="W797" i="3"/>
  <c r="X797" i="3"/>
  <c r="Y797" i="3"/>
  <c r="P798" i="3"/>
  <c r="Q798" i="3"/>
  <c r="R798" i="3"/>
  <c r="S798" i="3"/>
  <c r="T798" i="3"/>
  <c r="U798" i="3"/>
  <c r="V798" i="3"/>
  <c r="W798" i="3"/>
  <c r="X798" i="3"/>
  <c r="Y798" i="3" s="1"/>
  <c r="P799" i="3"/>
  <c r="Q799" i="3"/>
  <c r="R799" i="3"/>
  <c r="S799" i="3"/>
  <c r="T799" i="3"/>
  <c r="U799" i="3"/>
  <c r="V799" i="3"/>
  <c r="W799" i="3"/>
  <c r="X799" i="3"/>
  <c r="Y799" i="3" s="1"/>
  <c r="P800" i="3"/>
  <c r="Q800" i="3"/>
  <c r="R800" i="3"/>
  <c r="S800" i="3"/>
  <c r="T800" i="3"/>
  <c r="U800" i="3"/>
  <c r="V800" i="3"/>
  <c r="W800" i="3"/>
  <c r="X800" i="3"/>
  <c r="Y800" i="3" s="1"/>
  <c r="P801" i="3"/>
  <c r="Q801" i="3"/>
  <c r="R801" i="3"/>
  <c r="S801" i="3"/>
  <c r="T801" i="3"/>
  <c r="U801" i="3"/>
  <c r="V801" i="3"/>
  <c r="W801" i="3"/>
  <c r="X801" i="3"/>
  <c r="Y801" i="3" s="1"/>
  <c r="P802" i="3"/>
  <c r="Q802" i="3" s="1"/>
  <c r="R802" i="3"/>
  <c r="S802" i="3"/>
  <c r="T802" i="3"/>
  <c r="U802" i="3"/>
  <c r="V802" i="3"/>
  <c r="W802" i="3"/>
  <c r="X802" i="3"/>
  <c r="Y802" i="3"/>
  <c r="P803" i="3"/>
  <c r="Q803" i="3"/>
  <c r="R803" i="3"/>
  <c r="S803" i="3"/>
  <c r="T803" i="3"/>
  <c r="U803" i="3"/>
  <c r="V803" i="3"/>
  <c r="W803" i="3"/>
  <c r="X803" i="3"/>
  <c r="Y803" i="3"/>
  <c r="P804" i="3"/>
  <c r="Q804" i="3"/>
  <c r="R804" i="3"/>
  <c r="S804" i="3"/>
  <c r="T804" i="3"/>
  <c r="U804" i="3"/>
  <c r="V804" i="3"/>
  <c r="W804" i="3"/>
  <c r="X804" i="3"/>
  <c r="Y804" i="3" s="1"/>
  <c r="P805" i="3"/>
  <c r="Q805" i="3"/>
  <c r="R805" i="3"/>
  <c r="S805" i="3"/>
  <c r="T805" i="3"/>
  <c r="U805" i="3"/>
  <c r="V805" i="3"/>
  <c r="W805" i="3"/>
  <c r="X805" i="3"/>
  <c r="Y805" i="3"/>
  <c r="P806" i="3"/>
  <c r="Q806" i="3"/>
  <c r="R806" i="3"/>
  <c r="S806" i="3"/>
  <c r="T806" i="3"/>
  <c r="U806" i="3"/>
  <c r="V806" i="3"/>
  <c r="W806" i="3"/>
  <c r="X806" i="3"/>
  <c r="Y806" i="3" s="1"/>
  <c r="P807" i="3"/>
  <c r="Q807" i="3" s="1"/>
  <c r="R807" i="3"/>
  <c r="S807" i="3"/>
  <c r="T807" i="3"/>
  <c r="U807" i="3"/>
  <c r="V807" i="3"/>
  <c r="W807" i="3"/>
  <c r="X807" i="3"/>
  <c r="Y807" i="3"/>
  <c r="P808" i="3"/>
  <c r="Q808" i="3"/>
  <c r="R808" i="3"/>
  <c r="S808" i="3"/>
  <c r="T808" i="3"/>
  <c r="U808" i="3"/>
  <c r="V808" i="3"/>
  <c r="W808" i="3"/>
  <c r="X808" i="3"/>
  <c r="Y808" i="3"/>
  <c r="P809" i="3"/>
  <c r="Q809" i="3"/>
  <c r="R809" i="3"/>
  <c r="S809" i="3"/>
  <c r="T809" i="3"/>
  <c r="U809" i="3"/>
  <c r="V809" i="3"/>
  <c r="W809" i="3"/>
  <c r="X809" i="3"/>
  <c r="Y809" i="3" s="1"/>
  <c r="P810" i="3"/>
  <c r="Q810" i="3" s="1"/>
  <c r="R810" i="3"/>
  <c r="S810" i="3"/>
  <c r="T810" i="3"/>
  <c r="U810" i="3"/>
  <c r="V810" i="3"/>
  <c r="W810" i="3"/>
  <c r="X810" i="3"/>
  <c r="Y810" i="3"/>
  <c r="P811" i="3"/>
  <c r="Q811" i="3"/>
  <c r="R811" i="3"/>
  <c r="S811" i="3"/>
  <c r="T811" i="3"/>
  <c r="U811" i="3"/>
  <c r="V811" i="3"/>
  <c r="W811" i="3"/>
  <c r="X811" i="3"/>
  <c r="Y811" i="3"/>
  <c r="P812" i="3"/>
  <c r="Q812" i="3" s="1"/>
  <c r="R812" i="3"/>
  <c r="S812" i="3"/>
  <c r="T812" i="3"/>
  <c r="U812" i="3"/>
  <c r="V812" i="3"/>
  <c r="W812" i="3"/>
  <c r="X812" i="3"/>
  <c r="Y812" i="3" s="1"/>
  <c r="P813" i="3"/>
  <c r="Q813" i="3"/>
  <c r="R813" i="3"/>
  <c r="S813" i="3"/>
  <c r="T813" i="3"/>
  <c r="U813" i="3"/>
  <c r="V813" i="3"/>
  <c r="W813" i="3"/>
  <c r="X813" i="3"/>
  <c r="Y813" i="3"/>
  <c r="P814" i="3"/>
  <c r="Q814" i="3" s="1"/>
  <c r="R814" i="3"/>
  <c r="S814" i="3"/>
  <c r="T814" i="3"/>
  <c r="U814" i="3"/>
  <c r="V814" i="3"/>
  <c r="W814" i="3"/>
  <c r="X814" i="3"/>
  <c r="Y814" i="3" s="1"/>
  <c r="P815" i="3"/>
  <c r="Q815" i="3" s="1"/>
  <c r="R815" i="3"/>
  <c r="S815" i="3"/>
  <c r="T815" i="3"/>
  <c r="U815" i="3"/>
  <c r="V815" i="3"/>
  <c r="W815" i="3"/>
  <c r="X815" i="3"/>
  <c r="Y815" i="3"/>
  <c r="P816" i="3"/>
  <c r="Q816" i="3"/>
  <c r="R816" i="3"/>
  <c r="S816" i="3"/>
  <c r="T816" i="3"/>
  <c r="U816" i="3"/>
  <c r="V816" i="3"/>
  <c r="W816" i="3"/>
  <c r="X816" i="3"/>
  <c r="Y816" i="3" s="1"/>
  <c r="P817" i="3"/>
  <c r="Q817" i="3" s="1"/>
  <c r="R817" i="3"/>
  <c r="S817" i="3"/>
  <c r="T817" i="3"/>
  <c r="U817" i="3"/>
  <c r="V817" i="3"/>
  <c r="W817" i="3"/>
  <c r="X817" i="3"/>
  <c r="Y817" i="3"/>
  <c r="P818" i="3"/>
  <c r="Q818" i="3" s="1"/>
  <c r="R818" i="3"/>
  <c r="S818" i="3"/>
  <c r="T818" i="3"/>
  <c r="U818" i="3"/>
  <c r="V818" i="3"/>
  <c r="W818" i="3"/>
  <c r="X818" i="3"/>
  <c r="Y818" i="3"/>
  <c r="P819" i="3"/>
  <c r="Q819" i="3"/>
  <c r="R819" i="3"/>
  <c r="S819" i="3"/>
  <c r="T819" i="3"/>
  <c r="U819" i="3"/>
  <c r="V819" i="3"/>
  <c r="W819" i="3"/>
  <c r="X819" i="3"/>
  <c r="Y819" i="3" s="1"/>
  <c r="P820" i="3"/>
  <c r="Q820" i="3"/>
  <c r="R820" i="3"/>
  <c r="S820" i="3"/>
  <c r="T820" i="3"/>
  <c r="U820" i="3"/>
  <c r="V820" i="3"/>
  <c r="W820" i="3"/>
  <c r="X820" i="3"/>
  <c r="Y820" i="3"/>
  <c r="P821" i="3"/>
  <c r="Q821" i="3"/>
  <c r="R821" i="3"/>
  <c r="S821" i="3"/>
  <c r="T821" i="3"/>
  <c r="U821" i="3"/>
  <c r="V821" i="3"/>
  <c r="W821" i="3"/>
  <c r="X821" i="3"/>
  <c r="Y821" i="3" s="1"/>
  <c r="P822" i="3"/>
  <c r="Q822" i="3" s="1"/>
  <c r="R822" i="3"/>
  <c r="S822" i="3"/>
  <c r="T822" i="3"/>
  <c r="U822" i="3"/>
  <c r="V822" i="3"/>
  <c r="W822" i="3"/>
  <c r="X822" i="3"/>
  <c r="Y822" i="3" s="1"/>
  <c r="P823" i="3"/>
  <c r="Q823" i="3"/>
  <c r="R823" i="3"/>
  <c r="S823" i="3"/>
  <c r="T823" i="3"/>
  <c r="U823" i="3"/>
  <c r="V823" i="3"/>
  <c r="W823" i="3"/>
  <c r="X823" i="3"/>
  <c r="Y823" i="3" s="1"/>
  <c r="P824" i="3"/>
  <c r="Q824" i="3"/>
  <c r="R824" i="3"/>
  <c r="S824" i="3"/>
  <c r="T824" i="3"/>
  <c r="U824" i="3"/>
  <c r="V824" i="3"/>
  <c r="W824" i="3"/>
  <c r="X824" i="3"/>
  <c r="Y824" i="3" s="1"/>
  <c r="P825" i="3"/>
  <c r="Q825" i="3" s="1"/>
  <c r="R825" i="3"/>
  <c r="S825" i="3"/>
  <c r="T825" i="3"/>
  <c r="U825" i="3"/>
  <c r="V825" i="3"/>
  <c r="W825" i="3"/>
  <c r="X825" i="3"/>
  <c r="Y825" i="3"/>
  <c r="P826" i="3"/>
  <c r="Q826" i="3" s="1"/>
  <c r="R826" i="3"/>
  <c r="S826" i="3"/>
  <c r="T826" i="3"/>
  <c r="U826" i="3"/>
  <c r="V826" i="3"/>
  <c r="W826" i="3"/>
  <c r="X826" i="3"/>
  <c r="Y826" i="3"/>
  <c r="P827" i="3"/>
  <c r="Q827" i="3"/>
  <c r="R827" i="3"/>
  <c r="S827" i="3"/>
  <c r="T827" i="3"/>
  <c r="U827" i="3"/>
  <c r="V827" i="3"/>
  <c r="W827" i="3"/>
  <c r="X827" i="3"/>
  <c r="Y827" i="3"/>
  <c r="P828" i="3"/>
  <c r="Q828" i="3"/>
  <c r="R828" i="3"/>
  <c r="S828" i="3"/>
  <c r="T828" i="3"/>
  <c r="U828" i="3"/>
  <c r="V828" i="3"/>
  <c r="W828" i="3"/>
  <c r="X828" i="3"/>
  <c r="Y828" i="3"/>
  <c r="P829" i="3"/>
  <c r="Q829" i="3"/>
  <c r="R829" i="3"/>
  <c r="S829" i="3"/>
  <c r="T829" i="3"/>
  <c r="U829" i="3"/>
  <c r="V829" i="3"/>
  <c r="W829" i="3"/>
  <c r="X829" i="3"/>
  <c r="Y829" i="3"/>
  <c r="P830" i="3"/>
  <c r="Q830" i="3"/>
  <c r="R830" i="3"/>
  <c r="S830" i="3"/>
  <c r="T830" i="3"/>
  <c r="U830" i="3"/>
  <c r="V830" i="3"/>
  <c r="W830" i="3"/>
  <c r="X830" i="3"/>
  <c r="Y830" i="3" s="1"/>
  <c r="P831" i="3"/>
  <c r="Q831" i="3" s="1"/>
  <c r="R831" i="3"/>
  <c r="S831" i="3"/>
  <c r="T831" i="3"/>
  <c r="U831" i="3"/>
  <c r="V831" i="3"/>
  <c r="W831" i="3"/>
  <c r="X831" i="3"/>
  <c r="Y831" i="3"/>
  <c r="P832" i="3"/>
  <c r="Q832" i="3" s="1"/>
  <c r="R832" i="3"/>
  <c r="S832" i="3"/>
  <c r="T832" i="3"/>
  <c r="U832" i="3"/>
  <c r="V832" i="3"/>
  <c r="W832" i="3"/>
  <c r="X832" i="3"/>
  <c r="Y832" i="3"/>
  <c r="P833" i="3"/>
  <c r="Q833" i="3" s="1"/>
  <c r="R833" i="3"/>
  <c r="S833" i="3"/>
  <c r="T833" i="3"/>
  <c r="U833" i="3"/>
  <c r="V833" i="3"/>
  <c r="W833" i="3"/>
  <c r="X833" i="3"/>
  <c r="Y833" i="3"/>
  <c r="P834" i="3"/>
  <c r="Q834" i="3" s="1"/>
  <c r="R834" i="3"/>
  <c r="S834" i="3"/>
  <c r="T834" i="3"/>
  <c r="U834" i="3"/>
  <c r="V834" i="3"/>
  <c r="W834" i="3"/>
  <c r="X834" i="3"/>
  <c r="Y834" i="3"/>
  <c r="P835" i="3"/>
  <c r="Q835" i="3"/>
  <c r="R835" i="3"/>
  <c r="S835" i="3"/>
  <c r="T835" i="3"/>
  <c r="U835" i="3"/>
  <c r="V835" i="3"/>
  <c r="W835" i="3"/>
  <c r="X835" i="3"/>
  <c r="Y835" i="3" s="1"/>
  <c r="P836" i="3"/>
  <c r="Q836" i="3" s="1"/>
  <c r="R836" i="3"/>
  <c r="S836" i="3"/>
  <c r="T836" i="3"/>
  <c r="U836" i="3"/>
  <c r="V836" i="3"/>
  <c r="W836" i="3"/>
  <c r="X836" i="3"/>
  <c r="Y836" i="3"/>
  <c r="P837" i="3"/>
  <c r="Q837" i="3" s="1"/>
  <c r="R837" i="3"/>
  <c r="S837" i="3"/>
  <c r="T837" i="3"/>
  <c r="U837" i="3"/>
  <c r="V837" i="3"/>
  <c r="W837" i="3"/>
  <c r="X837" i="3"/>
  <c r="Y837" i="3"/>
  <c r="P838" i="3"/>
  <c r="Q838" i="3"/>
  <c r="R838" i="3"/>
  <c r="S838" i="3"/>
  <c r="T838" i="3"/>
  <c r="U838" i="3"/>
  <c r="V838" i="3"/>
  <c r="W838" i="3"/>
  <c r="X838" i="3"/>
  <c r="Y838" i="3" s="1"/>
  <c r="P839" i="3"/>
  <c r="Q839" i="3" s="1"/>
  <c r="R839" i="3"/>
  <c r="S839" i="3"/>
  <c r="T839" i="3"/>
  <c r="U839" i="3"/>
  <c r="V839" i="3"/>
  <c r="W839" i="3"/>
  <c r="X839" i="3"/>
  <c r="Y839" i="3" s="1"/>
  <c r="P840" i="3"/>
  <c r="Q840" i="3"/>
  <c r="R840" i="3"/>
  <c r="S840" i="3"/>
  <c r="T840" i="3"/>
  <c r="U840" i="3"/>
  <c r="V840" i="3"/>
  <c r="W840" i="3"/>
  <c r="X840" i="3"/>
  <c r="Y840" i="3" s="1"/>
  <c r="P841" i="3"/>
  <c r="Q841" i="3" s="1"/>
  <c r="R841" i="3"/>
  <c r="S841" i="3"/>
  <c r="T841" i="3"/>
  <c r="U841" i="3"/>
  <c r="V841" i="3"/>
  <c r="W841" i="3"/>
  <c r="X841" i="3"/>
  <c r="Y841" i="3"/>
  <c r="P842" i="3"/>
  <c r="Q842" i="3" s="1"/>
  <c r="R842" i="3"/>
  <c r="S842" i="3"/>
  <c r="T842" i="3"/>
  <c r="U842" i="3"/>
  <c r="V842" i="3"/>
  <c r="W842" i="3"/>
  <c r="X842" i="3"/>
  <c r="Y842" i="3"/>
  <c r="P843" i="3"/>
  <c r="Q843" i="3"/>
  <c r="R843" i="3"/>
  <c r="S843" i="3"/>
  <c r="T843" i="3"/>
  <c r="U843" i="3"/>
  <c r="V843" i="3"/>
  <c r="W843" i="3"/>
  <c r="X843" i="3"/>
  <c r="Y843" i="3"/>
  <c r="P844" i="3"/>
  <c r="Q844" i="3" s="1"/>
  <c r="R844" i="3"/>
  <c r="S844" i="3"/>
  <c r="T844" i="3"/>
  <c r="U844" i="3"/>
  <c r="V844" i="3"/>
  <c r="W844" i="3"/>
  <c r="X844" i="3"/>
  <c r="Y844" i="3"/>
  <c r="P845" i="3"/>
  <c r="Q845" i="3"/>
  <c r="R845" i="3"/>
  <c r="S845" i="3"/>
  <c r="T845" i="3"/>
  <c r="U845" i="3"/>
  <c r="V845" i="3"/>
  <c r="W845" i="3"/>
  <c r="X845" i="3"/>
  <c r="Y845" i="3"/>
  <c r="P846" i="3"/>
  <c r="Q846" i="3"/>
  <c r="R846" i="3"/>
  <c r="S846" i="3"/>
  <c r="T846" i="3"/>
  <c r="U846" i="3"/>
  <c r="V846" i="3"/>
  <c r="W846" i="3"/>
  <c r="X846" i="3"/>
  <c r="Y846" i="3" s="1"/>
  <c r="P847" i="3"/>
  <c r="Q847" i="3" s="1"/>
  <c r="R847" i="3"/>
  <c r="S847" i="3"/>
  <c r="T847" i="3"/>
  <c r="U847" i="3"/>
  <c r="V847" i="3"/>
  <c r="W847" i="3"/>
  <c r="X847" i="3"/>
  <c r="Y847" i="3" s="1"/>
  <c r="P848" i="3"/>
  <c r="Q848" i="3" s="1"/>
  <c r="R848" i="3"/>
  <c r="S848" i="3"/>
  <c r="T848" i="3"/>
  <c r="U848" i="3"/>
  <c r="V848" i="3"/>
  <c r="W848" i="3"/>
  <c r="X848" i="3"/>
  <c r="Y848" i="3"/>
  <c r="P849" i="3"/>
  <c r="Q849" i="3"/>
  <c r="R849" i="3"/>
  <c r="S849" i="3"/>
  <c r="T849" i="3"/>
  <c r="U849" i="3"/>
  <c r="V849" i="3"/>
  <c r="W849" i="3"/>
  <c r="X849" i="3"/>
  <c r="Y849" i="3" s="1"/>
  <c r="P850" i="3"/>
  <c r="Q850" i="3" s="1"/>
  <c r="R850" i="3"/>
  <c r="S850" i="3"/>
  <c r="T850" i="3"/>
  <c r="U850" i="3"/>
  <c r="V850" i="3"/>
  <c r="W850" i="3"/>
  <c r="X850" i="3"/>
  <c r="Y850" i="3"/>
  <c r="P851" i="3"/>
  <c r="Q851" i="3" s="1"/>
  <c r="R851" i="3"/>
  <c r="S851" i="3"/>
  <c r="T851" i="3"/>
  <c r="U851" i="3"/>
  <c r="V851" i="3"/>
  <c r="W851" i="3"/>
  <c r="X851" i="3"/>
  <c r="Y851" i="3"/>
  <c r="P852" i="3"/>
  <c r="Q852" i="3"/>
  <c r="R852" i="3"/>
  <c r="S852" i="3"/>
  <c r="T852" i="3"/>
  <c r="U852" i="3"/>
  <c r="V852" i="3"/>
  <c r="W852" i="3"/>
  <c r="X852" i="3"/>
  <c r="Y852" i="3"/>
  <c r="P853" i="3"/>
  <c r="Q853" i="3" s="1"/>
  <c r="R853" i="3"/>
  <c r="S853" i="3"/>
  <c r="T853" i="3"/>
  <c r="U853" i="3"/>
  <c r="V853" i="3"/>
  <c r="W853" i="3"/>
  <c r="X853" i="3"/>
  <c r="Y853" i="3"/>
  <c r="P854" i="3"/>
  <c r="Q854" i="3" s="1"/>
  <c r="R854" i="3"/>
  <c r="S854" i="3"/>
  <c r="T854" i="3"/>
  <c r="U854" i="3"/>
  <c r="V854" i="3"/>
  <c r="W854" i="3"/>
  <c r="X854" i="3"/>
  <c r="Y854" i="3" s="1"/>
  <c r="P855" i="3"/>
  <c r="Q855" i="3" s="1"/>
  <c r="R855" i="3"/>
  <c r="S855" i="3"/>
  <c r="T855" i="3"/>
  <c r="U855" i="3"/>
  <c r="V855" i="3"/>
  <c r="W855" i="3"/>
  <c r="X855" i="3"/>
  <c r="Y855" i="3"/>
  <c r="P856" i="3"/>
  <c r="Q856" i="3" s="1"/>
  <c r="R856" i="3"/>
  <c r="S856" i="3"/>
  <c r="T856" i="3"/>
  <c r="U856" i="3"/>
  <c r="V856" i="3"/>
  <c r="W856" i="3"/>
  <c r="X856" i="3"/>
  <c r="Y856" i="3"/>
  <c r="P857" i="3"/>
  <c r="Q857" i="3"/>
  <c r="R857" i="3"/>
  <c r="S857" i="3"/>
  <c r="T857" i="3"/>
  <c r="U857" i="3"/>
  <c r="V857" i="3"/>
  <c r="W857" i="3"/>
  <c r="X857" i="3"/>
  <c r="Y857" i="3" s="1"/>
  <c r="P858" i="3"/>
  <c r="Q858" i="3" s="1"/>
  <c r="R858" i="3"/>
  <c r="S858" i="3"/>
  <c r="T858" i="3"/>
  <c r="U858" i="3"/>
  <c r="V858" i="3"/>
  <c r="W858" i="3"/>
  <c r="X858" i="3"/>
  <c r="Y858" i="3"/>
  <c r="P859" i="3"/>
  <c r="Q859" i="3" s="1"/>
  <c r="R859" i="3"/>
  <c r="S859" i="3"/>
  <c r="T859" i="3"/>
  <c r="U859" i="3"/>
  <c r="V859" i="3"/>
  <c r="W859" i="3"/>
  <c r="X859" i="3"/>
  <c r="Y859" i="3"/>
  <c r="P860" i="3"/>
  <c r="Q860" i="3"/>
  <c r="R860" i="3"/>
  <c r="S860" i="3"/>
  <c r="T860" i="3"/>
  <c r="U860" i="3"/>
  <c r="V860" i="3"/>
  <c r="W860" i="3"/>
  <c r="X860" i="3"/>
  <c r="Y860" i="3"/>
  <c r="P861" i="3"/>
  <c r="Q861" i="3"/>
  <c r="R861" i="3"/>
  <c r="S861" i="3"/>
  <c r="T861" i="3"/>
  <c r="U861" i="3"/>
  <c r="V861" i="3"/>
  <c r="W861" i="3"/>
  <c r="X861" i="3"/>
  <c r="Y861" i="3" s="1"/>
  <c r="P862" i="3"/>
  <c r="Q862" i="3"/>
  <c r="R862" i="3"/>
  <c r="S862" i="3"/>
  <c r="T862" i="3"/>
  <c r="U862" i="3"/>
  <c r="V862" i="3"/>
  <c r="W862" i="3"/>
  <c r="X862" i="3"/>
  <c r="Y862" i="3" s="1"/>
  <c r="P863" i="3"/>
  <c r="Q863" i="3"/>
  <c r="R863" i="3"/>
  <c r="S863" i="3"/>
  <c r="T863" i="3"/>
  <c r="U863" i="3"/>
  <c r="V863" i="3"/>
  <c r="W863" i="3"/>
  <c r="X863" i="3"/>
  <c r="Y863" i="3"/>
  <c r="P864" i="3"/>
  <c r="Q864" i="3"/>
  <c r="R864" i="3"/>
  <c r="S864" i="3"/>
  <c r="T864" i="3"/>
  <c r="U864" i="3"/>
  <c r="V864" i="3"/>
  <c r="W864" i="3"/>
  <c r="X864" i="3"/>
  <c r="Y864" i="3"/>
  <c r="P865" i="3"/>
  <c r="Q865" i="3"/>
  <c r="R865" i="3"/>
  <c r="S865" i="3"/>
  <c r="T865" i="3"/>
  <c r="U865" i="3"/>
  <c r="V865" i="3"/>
  <c r="W865" i="3"/>
  <c r="X865" i="3"/>
  <c r="Y865" i="3" s="1"/>
  <c r="P866" i="3"/>
  <c r="Q866" i="3" s="1"/>
  <c r="R866" i="3"/>
  <c r="S866" i="3"/>
  <c r="T866" i="3"/>
  <c r="U866" i="3"/>
  <c r="V866" i="3"/>
  <c r="W866" i="3"/>
  <c r="X866" i="3"/>
  <c r="Y866" i="3"/>
  <c r="P867" i="3"/>
  <c r="Q867" i="3"/>
  <c r="R867" i="3"/>
  <c r="S867" i="3"/>
  <c r="T867" i="3"/>
  <c r="U867" i="3"/>
  <c r="V867" i="3"/>
  <c r="W867" i="3"/>
  <c r="X867" i="3"/>
  <c r="Y867" i="3"/>
  <c r="P868" i="3"/>
  <c r="Q868" i="3"/>
  <c r="R868" i="3"/>
  <c r="S868" i="3"/>
  <c r="T868" i="3"/>
  <c r="U868" i="3"/>
  <c r="V868" i="3"/>
  <c r="W868" i="3"/>
  <c r="X868" i="3"/>
  <c r="Y868" i="3"/>
  <c r="P869" i="3"/>
  <c r="Q869" i="3"/>
  <c r="R869" i="3"/>
  <c r="S869" i="3"/>
  <c r="T869" i="3"/>
  <c r="U869" i="3"/>
  <c r="V869" i="3"/>
  <c r="W869" i="3"/>
  <c r="X869" i="3"/>
  <c r="Y869" i="3"/>
  <c r="P870" i="3"/>
  <c r="Q870" i="3"/>
  <c r="R870" i="3"/>
  <c r="S870" i="3"/>
  <c r="T870" i="3"/>
  <c r="U870" i="3"/>
  <c r="V870" i="3"/>
  <c r="W870" i="3"/>
  <c r="X870" i="3"/>
  <c r="Y870" i="3"/>
  <c r="P871" i="3"/>
  <c r="Q871" i="3" s="1"/>
  <c r="R871" i="3"/>
  <c r="S871" i="3"/>
  <c r="T871" i="3"/>
  <c r="U871" i="3"/>
  <c r="V871" i="3"/>
  <c r="W871" i="3"/>
  <c r="X871" i="3"/>
  <c r="Y871" i="3" s="1"/>
  <c r="P872" i="3"/>
  <c r="Q872" i="3" s="1"/>
  <c r="R872" i="3"/>
  <c r="S872" i="3"/>
  <c r="T872" i="3"/>
  <c r="U872" i="3"/>
  <c r="V872" i="3"/>
  <c r="W872" i="3"/>
  <c r="X872" i="3"/>
  <c r="Y872" i="3"/>
  <c r="P873" i="3"/>
  <c r="Q873" i="3"/>
  <c r="R873" i="3"/>
  <c r="S873" i="3"/>
  <c r="T873" i="3"/>
  <c r="U873" i="3"/>
  <c r="V873" i="3"/>
  <c r="W873" i="3"/>
  <c r="X873" i="3"/>
  <c r="Y873" i="3"/>
  <c r="P874" i="3"/>
  <c r="Q874" i="3"/>
  <c r="R874" i="3"/>
  <c r="S874" i="3"/>
  <c r="T874" i="3"/>
  <c r="U874" i="3"/>
  <c r="V874" i="3"/>
  <c r="W874" i="3"/>
  <c r="X874" i="3"/>
  <c r="Y874" i="3"/>
  <c r="P875" i="3"/>
  <c r="Q875" i="3"/>
  <c r="R875" i="3"/>
  <c r="S875" i="3"/>
  <c r="T875" i="3"/>
  <c r="U875" i="3"/>
  <c r="V875" i="3"/>
  <c r="W875" i="3"/>
  <c r="X875" i="3"/>
  <c r="Y875" i="3"/>
  <c r="P876" i="3"/>
  <c r="Q876" i="3"/>
  <c r="R876" i="3"/>
  <c r="S876" i="3"/>
  <c r="T876" i="3"/>
  <c r="U876" i="3"/>
  <c r="V876" i="3"/>
  <c r="W876" i="3"/>
  <c r="X876" i="3"/>
  <c r="Y876" i="3"/>
  <c r="P877" i="3"/>
  <c r="Q877" i="3"/>
  <c r="R877" i="3"/>
  <c r="S877" i="3"/>
  <c r="T877" i="3"/>
  <c r="U877" i="3"/>
  <c r="V877" i="3"/>
  <c r="W877" i="3"/>
  <c r="X877" i="3"/>
  <c r="Y877" i="3"/>
  <c r="P878" i="3"/>
  <c r="Q878" i="3"/>
  <c r="R878" i="3"/>
  <c r="S878" i="3"/>
  <c r="T878" i="3"/>
  <c r="U878" i="3"/>
  <c r="V878" i="3"/>
  <c r="W878" i="3"/>
  <c r="X878" i="3"/>
  <c r="Y878" i="3"/>
  <c r="P879" i="3"/>
  <c r="Q879" i="3" s="1"/>
  <c r="R879" i="3"/>
  <c r="S879" i="3"/>
  <c r="T879" i="3"/>
  <c r="U879" i="3"/>
  <c r="V879" i="3"/>
  <c r="W879" i="3"/>
  <c r="X879" i="3"/>
  <c r="Y879" i="3"/>
  <c r="P880" i="3"/>
  <c r="Q880" i="3" s="1"/>
  <c r="R880" i="3"/>
  <c r="S880" i="3"/>
  <c r="T880" i="3"/>
  <c r="U880" i="3"/>
  <c r="V880" i="3"/>
  <c r="W880" i="3"/>
  <c r="X880" i="3"/>
  <c r="Y880" i="3"/>
  <c r="P881" i="3"/>
  <c r="Q881" i="3"/>
  <c r="R881" i="3"/>
  <c r="S881" i="3"/>
  <c r="T881" i="3"/>
  <c r="U881" i="3"/>
  <c r="V881" i="3"/>
  <c r="W881" i="3"/>
  <c r="X881" i="3"/>
  <c r="Y881" i="3"/>
  <c r="P882" i="3"/>
  <c r="Q882" i="3"/>
  <c r="R882" i="3"/>
  <c r="S882" i="3"/>
  <c r="T882" i="3"/>
  <c r="U882" i="3"/>
  <c r="V882" i="3"/>
  <c r="W882" i="3"/>
  <c r="X882" i="3"/>
  <c r="Y882" i="3"/>
  <c r="P883" i="3"/>
  <c r="Q883" i="3"/>
  <c r="R883" i="3"/>
  <c r="S883" i="3"/>
  <c r="T883" i="3"/>
  <c r="U883" i="3"/>
  <c r="V883" i="3"/>
  <c r="W883" i="3"/>
  <c r="X883" i="3"/>
  <c r="Y883" i="3"/>
  <c r="P884" i="3"/>
  <c r="Q884" i="3"/>
  <c r="R884" i="3"/>
  <c r="S884" i="3"/>
  <c r="T884" i="3"/>
  <c r="U884" i="3"/>
  <c r="V884" i="3"/>
  <c r="W884" i="3"/>
  <c r="X884" i="3"/>
  <c r="Y884" i="3"/>
  <c r="P885" i="3"/>
  <c r="Q885" i="3"/>
  <c r="R885" i="3"/>
  <c r="S885" i="3"/>
  <c r="T885" i="3"/>
  <c r="U885" i="3"/>
  <c r="V885" i="3"/>
  <c r="W885" i="3"/>
  <c r="X885" i="3"/>
  <c r="Y885" i="3"/>
  <c r="P886" i="3"/>
  <c r="Q886" i="3"/>
  <c r="R886" i="3"/>
  <c r="S886" i="3"/>
  <c r="T886" i="3"/>
  <c r="U886" i="3"/>
  <c r="V886" i="3"/>
  <c r="W886" i="3"/>
  <c r="X886" i="3"/>
  <c r="Y886" i="3"/>
  <c r="P887" i="3"/>
  <c r="Q887" i="3" s="1"/>
  <c r="R887" i="3"/>
  <c r="S887" i="3"/>
  <c r="T887" i="3"/>
  <c r="U887" i="3"/>
  <c r="V887" i="3"/>
  <c r="W887" i="3"/>
  <c r="X887" i="3"/>
  <c r="Y887" i="3"/>
  <c r="P888" i="3"/>
  <c r="Q888" i="3" s="1"/>
  <c r="R888" i="3"/>
  <c r="S888" i="3"/>
  <c r="T888" i="3"/>
  <c r="U888" i="3"/>
  <c r="V888" i="3"/>
  <c r="W888" i="3"/>
  <c r="X888" i="3"/>
  <c r="Y888" i="3"/>
  <c r="P889" i="3"/>
  <c r="Q889" i="3"/>
  <c r="R889" i="3"/>
  <c r="S889" i="3"/>
  <c r="T889" i="3"/>
  <c r="U889" i="3"/>
  <c r="V889" i="3"/>
  <c r="W889" i="3"/>
  <c r="X889" i="3"/>
  <c r="Y889" i="3"/>
  <c r="P890" i="3"/>
  <c r="Q890" i="3"/>
  <c r="R890" i="3"/>
  <c r="S890" i="3"/>
  <c r="T890" i="3"/>
  <c r="U890" i="3"/>
  <c r="V890" i="3"/>
  <c r="W890" i="3"/>
  <c r="X890" i="3"/>
  <c r="Y890" i="3"/>
  <c r="P891" i="3"/>
  <c r="Q891" i="3"/>
  <c r="R891" i="3"/>
  <c r="S891" i="3"/>
  <c r="T891" i="3"/>
  <c r="U891" i="3"/>
  <c r="V891" i="3"/>
  <c r="W891" i="3"/>
  <c r="X891" i="3"/>
  <c r="Y891" i="3"/>
  <c r="P892" i="3"/>
  <c r="Q892" i="3"/>
  <c r="R892" i="3"/>
  <c r="S892" i="3"/>
  <c r="T892" i="3"/>
  <c r="U892" i="3"/>
  <c r="V892" i="3"/>
  <c r="W892" i="3"/>
  <c r="X892" i="3"/>
  <c r="Y892" i="3"/>
  <c r="P893" i="3"/>
  <c r="Q893" i="3"/>
  <c r="R893" i="3"/>
  <c r="S893" i="3"/>
  <c r="T893" i="3"/>
  <c r="U893" i="3"/>
  <c r="V893" i="3"/>
  <c r="W893" i="3"/>
  <c r="X893" i="3"/>
  <c r="Y893" i="3"/>
  <c r="P894" i="3"/>
  <c r="Q894" i="3"/>
  <c r="R894" i="3"/>
  <c r="S894" i="3"/>
  <c r="T894" i="3"/>
  <c r="U894" i="3"/>
  <c r="V894" i="3"/>
  <c r="W894" i="3"/>
  <c r="X894" i="3"/>
  <c r="Y894" i="3"/>
  <c r="P895" i="3"/>
  <c r="Q895" i="3"/>
  <c r="R895" i="3"/>
  <c r="S895" i="3"/>
  <c r="T895" i="3"/>
  <c r="U895" i="3"/>
  <c r="V895" i="3"/>
  <c r="W895" i="3"/>
  <c r="X895" i="3"/>
  <c r="Y895" i="3"/>
  <c r="P896" i="3"/>
  <c r="Q896" i="3" s="1"/>
  <c r="R896" i="3"/>
  <c r="S896" i="3"/>
  <c r="T896" i="3"/>
  <c r="U896" i="3"/>
  <c r="V896" i="3"/>
  <c r="W896" i="3"/>
  <c r="X896" i="3"/>
  <c r="Y896" i="3"/>
  <c r="P897" i="3"/>
  <c r="Q897" i="3"/>
  <c r="R897" i="3"/>
  <c r="S897" i="3"/>
  <c r="T897" i="3"/>
  <c r="U897" i="3"/>
  <c r="V897" i="3"/>
  <c r="W897" i="3"/>
  <c r="X897" i="3"/>
  <c r="Y897" i="3"/>
  <c r="P898" i="3"/>
  <c r="Q898" i="3" s="1"/>
  <c r="R898" i="3"/>
  <c r="S898" i="3"/>
  <c r="T898" i="3"/>
  <c r="U898" i="3"/>
  <c r="V898" i="3"/>
  <c r="W898" i="3"/>
  <c r="X898" i="3"/>
  <c r="Y898" i="3"/>
  <c r="P899" i="3"/>
  <c r="Q899" i="3"/>
  <c r="R899" i="3"/>
  <c r="S899" i="3"/>
  <c r="T899" i="3"/>
  <c r="U899" i="3"/>
  <c r="V899" i="3"/>
  <c r="W899" i="3"/>
  <c r="X899" i="3"/>
  <c r="Y899" i="3" s="1"/>
  <c r="P900" i="3"/>
  <c r="Q900" i="3"/>
  <c r="R900" i="3"/>
  <c r="S900" i="3"/>
  <c r="T900" i="3"/>
  <c r="U900" i="3"/>
  <c r="V900" i="3"/>
  <c r="W900" i="3"/>
  <c r="X900" i="3"/>
  <c r="Y900" i="3"/>
  <c r="P901" i="3"/>
  <c r="Q901" i="3"/>
  <c r="R901" i="3"/>
  <c r="S901" i="3"/>
  <c r="T901" i="3"/>
  <c r="U901" i="3"/>
  <c r="V901" i="3"/>
  <c r="W901" i="3"/>
  <c r="X901" i="3"/>
  <c r="Y901" i="3"/>
  <c r="P902" i="3"/>
  <c r="Q902" i="3"/>
  <c r="R902" i="3"/>
  <c r="S902" i="3"/>
  <c r="T902" i="3"/>
  <c r="U902" i="3"/>
  <c r="V902" i="3"/>
  <c r="W902" i="3"/>
  <c r="X902" i="3"/>
  <c r="Y902" i="3" s="1"/>
  <c r="P903" i="3"/>
  <c r="Q903" i="3"/>
  <c r="R903" i="3"/>
  <c r="S903" i="3"/>
  <c r="T903" i="3"/>
  <c r="U903" i="3"/>
  <c r="V903" i="3"/>
  <c r="W903" i="3"/>
  <c r="X903" i="3"/>
  <c r="Y903" i="3"/>
  <c r="P904" i="3"/>
  <c r="Q904" i="3" s="1"/>
  <c r="R904" i="3"/>
  <c r="S904" i="3"/>
  <c r="T904" i="3"/>
  <c r="U904" i="3"/>
  <c r="V904" i="3"/>
  <c r="W904" i="3"/>
  <c r="X904" i="3"/>
  <c r="Y904" i="3" s="1"/>
  <c r="P905" i="3"/>
  <c r="Q905" i="3"/>
  <c r="R905" i="3"/>
  <c r="S905" i="3"/>
  <c r="T905" i="3"/>
  <c r="U905" i="3"/>
  <c r="V905" i="3"/>
  <c r="W905" i="3"/>
  <c r="X905" i="3"/>
  <c r="Y905" i="3"/>
  <c r="P906" i="3"/>
  <c r="Q906" i="3"/>
  <c r="R906" i="3"/>
  <c r="S906" i="3"/>
  <c r="T906" i="3"/>
  <c r="U906" i="3"/>
  <c r="V906" i="3"/>
  <c r="W906" i="3"/>
  <c r="X906" i="3"/>
  <c r="Y906" i="3"/>
  <c r="P907" i="3"/>
  <c r="Q907" i="3"/>
  <c r="R907" i="3"/>
  <c r="S907" i="3"/>
  <c r="T907" i="3"/>
  <c r="U907" i="3"/>
  <c r="V907" i="3"/>
  <c r="W907" i="3"/>
  <c r="X907" i="3"/>
  <c r="Y907" i="3"/>
  <c r="P908" i="3"/>
  <c r="Q908" i="3" s="1"/>
  <c r="R908" i="3"/>
  <c r="S908" i="3"/>
  <c r="T908" i="3"/>
  <c r="U908" i="3"/>
  <c r="V908" i="3"/>
  <c r="W908" i="3"/>
  <c r="X908" i="3"/>
  <c r="Y908" i="3"/>
  <c r="P909" i="3"/>
  <c r="Q909" i="3"/>
  <c r="R909" i="3"/>
  <c r="S909" i="3"/>
  <c r="T909" i="3"/>
  <c r="U909" i="3"/>
  <c r="V909" i="3"/>
  <c r="W909" i="3"/>
  <c r="X909" i="3"/>
  <c r="Y909" i="3"/>
  <c r="P910" i="3"/>
  <c r="Q910" i="3"/>
  <c r="R910" i="3"/>
  <c r="S910" i="3"/>
  <c r="T910" i="3"/>
  <c r="U910" i="3"/>
  <c r="V910" i="3"/>
  <c r="W910" i="3"/>
  <c r="X910" i="3"/>
  <c r="Y910" i="3"/>
  <c r="P911" i="3"/>
  <c r="Q911" i="3"/>
  <c r="R911" i="3"/>
  <c r="S911" i="3"/>
  <c r="T911" i="3"/>
  <c r="U911" i="3"/>
  <c r="V911" i="3"/>
  <c r="W911" i="3"/>
  <c r="X911" i="3"/>
  <c r="Y911" i="3"/>
  <c r="P912" i="3"/>
  <c r="Q912" i="3" s="1"/>
  <c r="R912" i="3"/>
  <c r="S912" i="3"/>
  <c r="T912" i="3"/>
  <c r="U912" i="3"/>
  <c r="V912" i="3"/>
  <c r="W912" i="3"/>
  <c r="X912" i="3"/>
  <c r="Y912" i="3"/>
  <c r="P913" i="3"/>
  <c r="Q913" i="3"/>
  <c r="R913" i="3"/>
  <c r="S913" i="3"/>
  <c r="T913" i="3"/>
  <c r="U913" i="3"/>
  <c r="V913" i="3"/>
  <c r="W913" i="3"/>
  <c r="X913" i="3"/>
  <c r="Y913" i="3"/>
  <c r="P914" i="3"/>
  <c r="Q914" i="3"/>
  <c r="R914" i="3"/>
  <c r="S914" i="3"/>
  <c r="T914" i="3"/>
  <c r="U914" i="3"/>
  <c r="V914" i="3"/>
  <c r="W914" i="3"/>
  <c r="X914" i="3"/>
  <c r="Y914" i="3"/>
  <c r="P915" i="3"/>
  <c r="Q915" i="3"/>
  <c r="R915" i="3"/>
  <c r="S915" i="3"/>
  <c r="T915" i="3"/>
  <c r="U915" i="3"/>
  <c r="V915" i="3"/>
  <c r="W915" i="3"/>
  <c r="X915" i="3"/>
  <c r="Y915" i="3" s="1"/>
  <c r="P916" i="3"/>
  <c r="Q916" i="3"/>
  <c r="R916" i="3"/>
  <c r="S916" i="3"/>
  <c r="T916" i="3"/>
  <c r="U916" i="3"/>
  <c r="V916" i="3"/>
  <c r="W916" i="3"/>
  <c r="X916" i="3"/>
  <c r="Y916" i="3"/>
  <c r="P917" i="3"/>
  <c r="Q917" i="3"/>
  <c r="R917" i="3"/>
  <c r="S917" i="3"/>
  <c r="T917" i="3"/>
  <c r="U917" i="3"/>
  <c r="V917" i="3"/>
  <c r="W917" i="3"/>
  <c r="X917" i="3"/>
  <c r="Y917" i="3" s="1"/>
  <c r="P918" i="3"/>
  <c r="Q918" i="3"/>
  <c r="R918" i="3"/>
  <c r="S918" i="3"/>
  <c r="T918" i="3"/>
  <c r="U918" i="3"/>
  <c r="V918" i="3"/>
  <c r="W918" i="3"/>
  <c r="X918" i="3"/>
  <c r="Y918" i="3"/>
  <c r="P919" i="3"/>
  <c r="Q919" i="3" s="1"/>
  <c r="R919" i="3"/>
  <c r="S919" i="3"/>
  <c r="T919" i="3"/>
  <c r="U919" i="3"/>
  <c r="V919" i="3"/>
  <c r="W919" i="3"/>
  <c r="X919" i="3"/>
  <c r="Y919" i="3"/>
  <c r="P920" i="3"/>
  <c r="Q920" i="3" s="1"/>
  <c r="R920" i="3"/>
  <c r="S920" i="3"/>
  <c r="T920" i="3"/>
  <c r="U920" i="3"/>
  <c r="V920" i="3"/>
  <c r="W920" i="3"/>
  <c r="X920" i="3"/>
  <c r="Y920" i="3"/>
  <c r="P921" i="3"/>
  <c r="Q921" i="3"/>
  <c r="R921" i="3"/>
  <c r="S921" i="3"/>
  <c r="T921" i="3"/>
  <c r="U921" i="3"/>
  <c r="V921" i="3"/>
  <c r="W921" i="3"/>
  <c r="X921" i="3"/>
  <c r="Y921" i="3"/>
  <c r="P922" i="3"/>
  <c r="Q922" i="3"/>
  <c r="R922" i="3"/>
  <c r="S922" i="3"/>
  <c r="T922" i="3"/>
  <c r="U922" i="3"/>
  <c r="V922" i="3"/>
  <c r="W922" i="3"/>
  <c r="X922" i="3"/>
  <c r="Y922" i="3" s="1"/>
  <c r="P923" i="3"/>
  <c r="Q923" i="3"/>
  <c r="R923" i="3"/>
  <c r="S923" i="3"/>
  <c r="T923" i="3"/>
  <c r="U923" i="3"/>
  <c r="V923" i="3"/>
  <c r="W923" i="3"/>
  <c r="X923" i="3"/>
  <c r="Y923" i="3"/>
  <c r="P924" i="3"/>
  <c r="Q924" i="3"/>
  <c r="R924" i="3"/>
  <c r="S924" i="3"/>
  <c r="T924" i="3"/>
  <c r="U924" i="3"/>
  <c r="V924" i="3"/>
  <c r="W924" i="3"/>
  <c r="X924" i="3"/>
  <c r="Y924" i="3"/>
  <c r="P925" i="3"/>
  <c r="Q925" i="3"/>
  <c r="R925" i="3"/>
  <c r="S925" i="3"/>
  <c r="T925" i="3"/>
  <c r="U925" i="3"/>
  <c r="V925" i="3"/>
  <c r="W925" i="3"/>
  <c r="X925" i="3"/>
  <c r="Y925" i="3"/>
  <c r="P926" i="3"/>
  <c r="Q926" i="3" s="1"/>
  <c r="R926" i="3"/>
  <c r="S926" i="3"/>
  <c r="T926" i="3"/>
  <c r="U926" i="3"/>
  <c r="V926" i="3"/>
  <c r="W926" i="3"/>
  <c r="X926" i="3"/>
  <c r="Y926" i="3"/>
  <c r="P927" i="3"/>
  <c r="Q927" i="3"/>
  <c r="R927" i="3"/>
  <c r="S927" i="3"/>
  <c r="T927" i="3"/>
  <c r="U927" i="3"/>
  <c r="V927" i="3"/>
  <c r="W927" i="3"/>
  <c r="X927" i="3"/>
  <c r="Y927" i="3"/>
  <c r="P928" i="3"/>
  <c r="Q928" i="3" s="1"/>
  <c r="R928" i="3"/>
  <c r="S928" i="3"/>
  <c r="T928" i="3"/>
  <c r="U928" i="3"/>
  <c r="V928" i="3"/>
  <c r="W928" i="3"/>
  <c r="X928" i="3"/>
  <c r="Y928" i="3"/>
  <c r="P929" i="3"/>
  <c r="Q929" i="3"/>
  <c r="R929" i="3"/>
  <c r="S929" i="3"/>
  <c r="T929" i="3"/>
  <c r="U929" i="3"/>
  <c r="V929" i="3"/>
  <c r="W929" i="3"/>
  <c r="X929" i="3"/>
  <c r="Y929" i="3"/>
  <c r="P930" i="3"/>
  <c r="Q930" i="3"/>
  <c r="R930" i="3"/>
  <c r="S930" i="3"/>
  <c r="T930" i="3"/>
  <c r="U930" i="3"/>
  <c r="V930" i="3"/>
  <c r="W930" i="3"/>
  <c r="X930" i="3"/>
  <c r="Y930" i="3"/>
  <c r="P931" i="3"/>
  <c r="Q931" i="3"/>
  <c r="R931" i="3"/>
  <c r="S931" i="3"/>
  <c r="T931" i="3"/>
  <c r="U931" i="3"/>
  <c r="V931" i="3"/>
  <c r="W931" i="3"/>
  <c r="X931" i="3"/>
  <c r="Y931" i="3"/>
  <c r="P932" i="3"/>
  <c r="Q932" i="3"/>
  <c r="R932" i="3"/>
  <c r="S932" i="3"/>
  <c r="T932" i="3"/>
  <c r="U932" i="3"/>
  <c r="V932" i="3"/>
  <c r="W932" i="3"/>
  <c r="X932" i="3"/>
  <c r="Y932" i="3"/>
  <c r="P933" i="3"/>
  <c r="Q933" i="3"/>
  <c r="R933" i="3"/>
  <c r="S933" i="3"/>
  <c r="T933" i="3"/>
  <c r="U933" i="3"/>
  <c r="V933" i="3"/>
  <c r="W933" i="3"/>
  <c r="X933" i="3"/>
  <c r="Y933" i="3"/>
  <c r="P934" i="3"/>
  <c r="Q934" i="3"/>
  <c r="R934" i="3"/>
  <c r="S934" i="3"/>
  <c r="T934" i="3"/>
  <c r="U934" i="3"/>
  <c r="V934" i="3"/>
  <c r="W934" i="3"/>
  <c r="X934" i="3"/>
  <c r="Y934" i="3"/>
  <c r="P935" i="3"/>
  <c r="Q935" i="3"/>
  <c r="R935" i="3"/>
  <c r="S935" i="3"/>
  <c r="T935" i="3"/>
  <c r="U935" i="3"/>
  <c r="V935" i="3"/>
  <c r="W935" i="3"/>
  <c r="X935" i="3"/>
  <c r="Y935" i="3"/>
  <c r="P936" i="3"/>
  <c r="Q936" i="3" s="1"/>
  <c r="R936" i="3"/>
  <c r="S936" i="3"/>
  <c r="T936" i="3"/>
  <c r="U936" i="3"/>
  <c r="V936" i="3"/>
  <c r="W936" i="3"/>
  <c r="X936" i="3"/>
  <c r="Y936" i="3"/>
  <c r="P937" i="3"/>
  <c r="Q937" i="3"/>
  <c r="R937" i="3"/>
  <c r="S937" i="3"/>
  <c r="T937" i="3"/>
  <c r="U937" i="3"/>
  <c r="V937" i="3"/>
  <c r="W937" i="3"/>
  <c r="X937" i="3"/>
  <c r="Y937" i="3"/>
  <c r="P938" i="3"/>
  <c r="Q938" i="3"/>
  <c r="R938" i="3"/>
  <c r="S938" i="3"/>
  <c r="T938" i="3"/>
  <c r="U938" i="3"/>
  <c r="V938" i="3"/>
  <c r="W938" i="3"/>
  <c r="X938" i="3"/>
  <c r="Y938" i="3"/>
  <c r="P939" i="3"/>
  <c r="Q939" i="3" s="1"/>
  <c r="R939" i="3"/>
  <c r="S939" i="3"/>
  <c r="T939" i="3"/>
  <c r="U939" i="3"/>
  <c r="V939" i="3"/>
  <c r="W939" i="3"/>
  <c r="X939" i="3"/>
  <c r="Y939" i="3"/>
  <c r="P940" i="3"/>
  <c r="Q940" i="3"/>
  <c r="R940" i="3"/>
  <c r="S940" i="3"/>
  <c r="T940" i="3"/>
  <c r="U940" i="3"/>
  <c r="V940" i="3"/>
  <c r="W940" i="3"/>
  <c r="X940" i="3"/>
  <c r="Y940" i="3"/>
  <c r="P941" i="3"/>
  <c r="Q941" i="3"/>
  <c r="R941" i="3"/>
  <c r="S941" i="3"/>
  <c r="T941" i="3"/>
  <c r="U941" i="3"/>
  <c r="V941" i="3"/>
  <c r="W941" i="3"/>
  <c r="X941" i="3"/>
  <c r="Y941" i="3"/>
  <c r="P942" i="3"/>
  <c r="Q942" i="3"/>
  <c r="R942" i="3"/>
  <c r="S942" i="3"/>
  <c r="T942" i="3"/>
  <c r="U942" i="3"/>
  <c r="V942" i="3"/>
  <c r="W942" i="3"/>
  <c r="X942" i="3"/>
  <c r="Y942" i="3"/>
  <c r="P943" i="3"/>
  <c r="Q943" i="3"/>
  <c r="R943" i="3"/>
  <c r="S943" i="3"/>
  <c r="T943" i="3"/>
  <c r="U943" i="3"/>
  <c r="V943" i="3"/>
  <c r="W943" i="3"/>
  <c r="X943" i="3"/>
  <c r="Y943" i="3" s="1"/>
  <c r="P944" i="3"/>
  <c r="Q944" i="3" s="1"/>
  <c r="R944" i="3"/>
  <c r="S944" i="3"/>
  <c r="T944" i="3"/>
  <c r="U944" i="3"/>
  <c r="V944" i="3"/>
  <c r="W944" i="3"/>
  <c r="X944" i="3"/>
  <c r="Y944" i="3"/>
  <c r="P945" i="3"/>
  <c r="Q945" i="3"/>
  <c r="R945" i="3"/>
  <c r="S945" i="3"/>
  <c r="T945" i="3"/>
  <c r="U945" i="3"/>
  <c r="V945" i="3"/>
  <c r="W945" i="3"/>
  <c r="X945" i="3"/>
  <c r="Y945" i="3"/>
  <c r="P946" i="3"/>
  <c r="Q946" i="3"/>
  <c r="R946" i="3"/>
  <c r="S946" i="3"/>
  <c r="T946" i="3"/>
  <c r="U946" i="3"/>
  <c r="V946" i="3"/>
  <c r="W946" i="3"/>
  <c r="X946" i="3"/>
  <c r="Y946" i="3"/>
  <c r="P947" i="3"/>
  <c r="Q947" i="3"/>
  <c r="R947" i="3"/>
  <c r="S947" i="3"/>
  <c r="T947" i="3"/>
  <c r="U947" i="3"/>
  <c r="V947" i="3"/>
  <c r="W947" i="3"/>
  <c r="X947" i="3"/>
  <c r="Y947" i="3"/>
  <c r="P948" i="3"/>
  <c r="Q948" i="3"/>
  <c r="R948" i="3"/>
  <c r="S948" i="3"/>
  <c r="T948" i="3"/>
  <c r="U948" i="3"/>
  <c r="V948" i="3"/>
  <c r="W948" i="3"/>
  <c r="X948" i="3"/>
  <c r="Y948" i="3"/>
  <c r="P949" i="3"/>
  <c r="Q949" i="3"/>
  <c r="R949" i="3"/>
  <c r="S949" i="3"/>
  <c r="T949" i="3"/>
  <c r="U949" i="3"/>
  <c r="V949" i="3"/>
  <c r="W949" i="3"/>
  <c r="X949" i="3"/>
  <c r="Y949" i="3"/>
  <c r="P950" i="3"/>
  <c r="Q950" i="3"/>
  <c r="R950" i="3"/>
  <c r="S950" i="3"/>
  <c r="T950" i="3"/>
  <c r="U950" i="3"/>
  <c r="V950" i="3"/>
  <c r="W950" i="3"/>
  <c r="X950" i="3"/>
  <c r="Y950" i="3"/>
  <c r="P951" i="3"/>
  <c r="Q951" i="3"/>
  <c r="R951" i="3"/>
  <c r="S951" i="3"/>
  <c r="T951" i="3"/>
  <c r="U951" i="3"/>
  <c r="V951" i="3"/>
  <c r="W951" i="3"/>
  <c r="X951" i="3"/>
  <c r="Y951" i="3"/>
  <c r="P952" i="3"/>
  <c r="Q952" i="3" s="1"/>
  <c r="R952" i="3"/>
  <c r="S952" i="3"/>
  <c r="T952" i="3"/>
  <c r="U952" i="3"/>
  <c r="V952" i="3"/>
  <c r="W952" i="3"/>
  <c r="X952" i="3"/>
  <c r="Y952" i="3"/>
  <c r="P953" i="3"/>
  <c r="Q953" i="3"/>
  <c r="R953" i="3"/>
  <c r="S953" i="3"/>
  <c r="T953" i="3"/>
  <c r="U953" i="3"/>
  <c r="V953" i="3"/>
  <c r="W953" i="3"/>
  <c r="X953" i="3"/>
  <c r="Y953" i="3"/>
  <c r="P954" i="3"/>
  <c r="Q954" i="3"/>
  <c r="R954" i="3"/>
  <c r="S954" i="3"/>
  <c r="T954" i="3"/>
  <c r="U954" i="3"/>
  <c r="V954" i="3"/>
  <c r="W954" i="3"/>
  <c r="X954" i="3"/>
  <c r="Y954" i="3"/>
  <c r="P955" i="3"/>
  <c r="Q955" i="3"/>
  <c r="R955" i="3"/>
  <c r="S955" i="3"/>
  <c r="T955" i="3"/>
  <c r="U955" i="3"/>
  <c r="V955" i="3"/>
  <c r="W955" i="3"/>
  <c r="X955" i="3"/>
  <c r="Y955" i="3"/>
  <c r="P956" i="3"/>
  <c r="Q956" i="3"/>
  <c r="R956" i="3"/>
  <c r="S956" i="3"/>
  <c r="T956" i="3"/>
  <c r="U956" i="3"/>
  <c r="V956" i="3"/>
  <c r="W956" i="3"/>
  <c r="X956" i="3"/>
  <c r="Y956" i="3" s="1"/>
  <c r="P957" i="3"/>
  <c r="Q957" i="3"/>
  <c r="R957" i="3"/>
  <c r="S957" i="3"/>
  <c r="T957" i="3"/>
  <c r="U957" i="3"/>
  <c r="V957" i="3"/>
  <c r="W957" i="3"/>
  <c r="X957" i="3"/>
  <c r="Y957" i="3"/>
  <c r="P958" i="3"/>
  <c r="Q958" i="3"/>
  <c r="R958" i="3"/>
  <c r="S958" i="3"/>
  <c r="T958" i="3"/>
  <c r="U958" i="3"/>
  <c r="V958" i="3"/>
  <c r="W958" i="3"/>
  <c r="X958" i="3"/>
  <c r="Y958" i="3"/>
  <c r="P959" i="3"/>
  <c r="Q959" i="3"/>
  <c r="R959" i="3"/>
  <c r="S959" i="3"/>
  <c r="T959" i="3"/>
  <c r="U959" i="3"/>
  <c r="V959" i="3"/>
  <c r="W959" i="3"/>
  <c r="X959" i="3"/>
  <c r="Y959" i="3"/>
  <c r="P960" i="3"/>
  <c r="Q960" i="3" s="1"/>
  <c r="R960" i="3"/>
  <c r="S960" i="3"/>
  <c r="T960" i="3"/>
  <c r="U960" i="3"/>
  <c r="V960" i="3"/>
  <c r="W960" i="3"/>
  <c r="X960" i="3"/>
  <c r="Y960" i="3"/>
  <c r="P961" i="3"/>
  <c r="Q961" i="3"/>
  <c r="R961" i="3"/>
  <c r="S961" i="3"/>
  <c r="T961" i="3"/>
  <c r="U961" i="3"/>
  <c r="V961" i="3"/>
  <c r="W961" i="3"/>
  <c r="X961" i="3"/>
  <c r="Y961" i="3"/>
  <c r="P962" i="3"/>
  <c r="Q962" i="3"/>
  <c r="R962" i="3"/>
  <c r="S962" i="3"/>
  <c r="T962" i="3"/>
  <c r="U962" i="3"/>
  <c r="V962" i="3"/>
  <c r="W962" i="3"/>
  <c r="X962" i="3"/>
  <c r="Y962" i="3"/>
  <c r="P963" i="3"/>
  <c r="Q963" i="3"/>
  <c r="R963" i="3"/>
  <c r="S963" i="3"/>
  <c r="T963" i="3"/>
  <c r="U963" i="3"/>
  <c r="V963" i="3"/>
  <c r="W963" i="3"/>
  <c r="X963" i="3"/>
  <c r="Y963" i="3"/>
  <c r="P964" i="3"/>
  <c r="Q964" i="3"/>
  <c r="R964" i="3"/>
  <c r="S964" i="3"/>
  <c r="T964" i="3"/>
  <c r="U964" i="3"/>
  <c r="V964" i="3"/>
  <c r="W964" i="3"/>
  <c r="X964" i="3"/>
  <c r="Y964" i="3"/>
  <c r="P965" i="3"/>
  <c r="Q965" i="3"/>
  <c r="R965" i="3"/>
  <c r="S965" i="3"/>
  <c r="T965" i="3"/>
  <c r="U965" i="3"/>
  <c r="V965" i="3"/>
  <c r="W965" i="3"/>
  <c r="X965" i="3"/>
  <c r="Y965" i="3"/>
  <c r="P966" i="3"/>
  <c r="Q966" i="3"/>
  <c r="R966" i="3"/>
  <c r="S966" i="3"/>
  <c r="T966" i="3"/>
  <c r="U966" i="3"/>
  <c r="V966" i="3"/>
  <c r="W966" i="3"/>
  <c r="X966" i="3"/>
  <c r="Y966" i="3"/>
  <c r="P967" i="3"/>
  <c r="Q967" i="3"/>
  <c r="R967" i="3"/>
  <c r="S967" i="3"/>
  <c r="T967" i="3"/>
  <c r="U967" i="3"/>
  <c r="V967" i="3"/>
  <c r="W967" i="3"/>
  <c r="X967" i="3"/>
  <c r="Y967" i="3"/>
  <c r="P968" i="3"/>
  <c r="Q968" i="3" s="1"/>
  <c r="R968" i="3"/>
  <c r="S968" i="3"/>
  <c r="T968" i="3"/>
  <c r="U968" i="3"/>
  <c r="V968" i="3"/>
  <c r="W968" i="3"/>
  <c r="X968" i="3"/>
  <c r="Y968" i="3"/>
  <c r="P969" i="3"/>
  <c r="Q969" i="3"/>
  <c r="R969" i="3"/>
  <c r="S969" i="3"/>
  <c r="T969" i="3"/>
  <c r="U969" i="3"/>
  <c r="V969" i="3"/>
  <c r="W969" i="3"/>
  <c r="X969" i="3"/>
  <c r="Y969" i="3" s="1"/>
  <c r="P970" i="3"/>
  <c r="Q970" i="3"/>
  <c r="R970" i="3"/>
  <c r="S970" i="3"/>
  <c r="T970" i="3"/>
  <c r="U970" i="3"/>
  <c r="V970" i="3"/>
  <c r="W970" i="3"/>
  <c r="X970" i="3"/>
  <c r="Y970" i="3"/>
  <c r="P971" i="3"/>
  <c r="Q971" i="3"/>
  <c r="R971" i="3"/>
  <c r="S971" i="3"/>
  <c r="T971" i="3"/>
  <c r="U971" i="3"/>
  <c r="V971" i="3"/>
  <c r="W971" i="3"/>
  <c r="X971" i="3"/>
  <c r="Y971" i="3"/>
  <c r="P972" i="3"/>
  <c r="Q972" i="3"/>
  <c r="R972" i="3"/>
  <c r="S972" i="3"/>
  <c r="T972" i="3"/>
  <c r="U972" i="3"/>
  <c r="V972" i="3"/>
  <c r="W972" i="3"/>
  <c r="X972" i="3"/>
  <c r="Y972" i="3"/>
  <c r="P973" i="3"/>
  <c r="Q973" i="3" s="1"/>
  <c r="R973" i="3"/>
  <c r="S973" i="3"/>
  <c r="T973" i="3"/>
  <c r="U973" i="3"/>
  <c r="V973" i="3"/>
  <c r="W973" i="3"/>
  <c r="X973" i="3"/>
  <c r="Y973" i="3"/>
  <c r="P974" i="3"/>
  <c r="Q974" i="3"/>
  <c r="R974" i="3"/>
  <c r="S974" i="3"/>
  <c r="T974" i="3"/>
  <c r="U974" i="3"/>
  <c r="V974" i="3"/>
  <c r="W974" i="3"/>
  <c r="X974" i="3"/>
  <c r="Y974" i="3"/>
  <c r="P975" i="3"/>
  <c r="Q975" i="3"/>
  <c r="R975" i="3"/>
  <c r="S975" i="3"/>
  <c r="T975" i="3"/>
  <c r="U975" i="3"/>
  <c r="V975" i="3"/>
  <c r="W975" i="3"/>
  <c r="X975" i="3"/>
  <c r="Y975" i="3"/>
  <c r="P976" i="3"/>
  <c r="Q976" i="3" s="1"/>
  <c r="R976" i="3"/>
  <c r="S976" i="3"/>
  <c r="T976" i="3"/>
  <c r="U976" i="3"/>
  <c r="V976" i="3"/>
  <c r="W976" i="3"/>
  <c r="X976" i="3"/>
  <c r="Y976" i="3"/>
  <c r="P977" i="3"/>
  <c r="Q977" i="3"/>
  <c r="R977" i="3"/>
  <c r="S977" i="3"/>
  <c r="T977" i="3"/>
  <c r="U977" i="3"/>
  <c r="V977" i="3"/>
  <c r="W977" i="3"/>
  <c r="X977" i="3"/>
  <c r="Y977" i="3"/>
  <c r="P978" i="3"/>
  <c r="Q978" i="3"/>
  <c r="R978" i="3"/>
  <c r="S978" i="3"/>
  <c r="T978" i="3"/>
  <c r="U978" i="3"/>
  <c r="V978" i="3"/>
  <c r="W978" i="3"/>
  <c r="X978" i="3"/>
  <c r="Y978" i="3"/>
  <c r="P979" i="3"/>
  <c r="Q979" i="3"/>
  <c r="R979" i="3"/>
  <c r="S979" i="3"/>
  <c r="T979" i="3"/>
  <c r="U979" i="3"/>
  <c r="V979" i="3"/>
  <c r="W979" i="3"/>
  <c r="X979" i="3"/>
  <c r="Y979" i="3"/>
  <c r="P980" i="3"/>
  <c r="Q980" i="3"/>
  <c r="R980" i="3"/>
  <c r="S980" i="3"/>
  <c r="T980" i="3"/>
  <c r="U980" i="3"/>
  <c r="V980" i="3"/>
  <c r="W980" i="3"/>
  <c r="X980" i="3"/>
  <c r="Y980" i="3"/>
  <c r="P981" i="3"/>
  <c r="Q981" i="3"/>
  <c r="R981" i="3"/>
  <c r="S981" i="3"/>
  <c r="T981" i="3"/>
  <c r="U981" i="3"/>
  <c r="V981" i="3"/>
  <c r="W981" i="3"/>
  <c r="X981" i="3"/>
  <c r="Y981" i="3"/>
  <c r="P982" i="3"/>
  <c r="Q982" i="3"/>
  <c r="R982" i="3"/>
  <c r="S982" i="3"/>
  <c r="T982" i="3"/>
  <c r="U982" i="3"/>
  <c r="V982" i="3"/>
  <c r="W982" i="3"/>
  <c r="X982" i="3"/>
  <c r="Y982" i="3"/>
  <c r="P983" i="3"/>
  <c r="Q983" i="3"/>
  <c r="R983" i="3"/>
  <c r="S983" i="3"/>
  <c r="T983" i="3"/>
  <c r="U983" i="3"/>
  <c r="V983" i="3"/>
  <c r="W983" i="3"/>
  <c r="X983" i="3"/>
  <c r="Y983" i="3"/>
  <c r="P984" i="3"/>
  <c r="Q984" i="3" s="1"/>
  <c r="R984" i="3"/>
  <c r="S984" i="3"/>
  <c r="T984" i="3"/>
  <c r="U984" i="3"/>
  <c r="V984" i="3"/>
  <c r="W984" i="3"/>
  <c r="X984" i="3"/>
  <c r="Y984" i="3"/>
  <c r="P985" i="3"/>
  <c r="Q985" i="3"/>
  <c r="R985" i="3"/>
  <c r="S985" i="3"/>
  <c r="T985" i="3"/>
  <c r="U985" i="3"/>
  <c r="V985" i="3"/>
  <c r="W985" i="3"/>
  <c r="X985" i="3"/>
  <c r="Y985" i="3"/>
  <c r="P986" i="3"/>
  <c r="Q986" i="3" s="1"/>
  <c r="R986" i="3"/>
  <c r="S986" i="3"/>
  <c r="T986" i="3"/>
  <c r="U986" i="3"/>
  <c r="V986" i="3"/>
  <c r="W986" i="3"/>
  <c r="X986" i="3"/>
  <c r="Y986" i="3"/>
  <c r="P987" i="3"/>
  <c r="Q987" i="3"/>
  <c r="R987" i="3"/>
  <c r="S987" i="3"/>
  <c r="T987" i="3"/>
  <c r="U987" i="3"/>
  <c r="V987" i="3"/>
  <c r="W987" i="3"/>
  <c r="X987" i="3"/>
  <c r="Y987" i="3"/>
  <c r="P988" i="3"/>
  <c r="Q988" i="3"/>
  <c r="R988" i="3"/>
  <c r="S988" i="3"/>
  <c r="T988" i="3"/>
  <c r="U988" i="3"/>
  <c r="V988" i="3"/>
  <c r="W988" i="3"/>
  <c r="X988" i="3"/>
  <c r="Y988" i="3"/>
  <c r="P989" i="3"/>
  <c r="Q989" i="3"/>
  <c r="R989" i="3"/>
  <c r="S989" i="3"/>
  <c r="T989" i="3"/>
  <c r="U989" i="3"/>
  <c r="V989" i="3"/>
  <c r="W989" i="3"/>
  <c r="X989" i="3"/>
  <c r="Y989" i="3"/>
  <c r="P990" i="3"/>
  <c r="Q990" i="3"/>
  <c r="R990" i="3"/>
  <c r="S990" i="3"/>
  <c r="T990" i="3"/>
  <c r="U990" i="3"/>
  <c r="V990" i="3"/>
  <c r="W990" i="3"/>
  <c r="X990" i="3"/>
  <c r="Y990" i="3" s="1"/>
  <c r="P991" i="3"/>
  <c r="Q991" i="3"/>
  <c r="R991" i="3"/>
  <c r="S991" i="3"/>
  <c r="T991" i="3"/>
  <c r="U991" i="3"/>
  <c r="V991" i="3"/>
  <c r="W991" i="3"/>
  <c r="X991" i="3"/>
  <c r="Y991" i="3"/>
  <c r="P992" i="3"/>
  <c r="Q992" i="3" s="1"/>
  <c r="R992" i="3"/>
  <c r="S992" i="3"/>
  <c r="T992" i="3"/>
  <c r="U992" i="3"/>
  <c r="V992" i="3"/>
  <c r="W992" i="3"/>
  <c r="X992" i="3"/>
  <c r="Y992" i="3"/>
  <c r="P993" i="3"/>
  <c r="Q993" i="3"/>
  <c r="R993" i="3"/>
  <c r="S993" i="3"/>
  <c r="T993" i="3"/>
  <c r="U993" i="3"/>
  <c r="V993" i="3"/>
  <c r="W993" i="3"/>
  <c r="X993" i="3"/>
  <c r="Y993" i="3"/>
  <c r="P994" i="3"/>
  <c r="Q994" i="3"/>
  <c r="R994" i="3"/>
  <c r="S994" i="3"/>
  <c r="T994" i="3"/>
  <c r="U994" i="3"/>
  <c r="V994" i="3"/>
  <c r="W994" i="3"/>
  <c r="X994" i="3"/>
  <c r="Y994" i="3"/>
  <c r="P995" i="3"/>
  <c r="Q995" i="3"/>
  <c r="R995" i="3"/>
  <c r="S995" i="3"/>
  <c r="T995" i="3"/>
  <c r="U995" i="3"/>
  <c r="V995" i="3"/>
  <c r="W995" i="3"/>
  <c r="X995" i="3"/>
  <c r="Y995" i="3"/>
  <c r="P996" i="3"/>
  <c r="Q996" i="3"/>
  <c r="R996" i="3"/>
  <c r="S996" i="3"/>
  <c r="T996" i="3"/>
  <c r="U996" i="3"/>
  <c r="V996" i="3"/>
  <c r="W996" i="3"/>
  <c r="X996" i="3"/>
  <c r="Y996" i="3"/>
  <c r="P997" i="3"/>
  <c r="Q997" i="3"/>
  <c r="R997" i="3"/>
  <c r="S997" i="3"/>
  <c r="T997" i="3"/>
  <c r="U997" i="3"/>
  <c r="V997" i="3"/>
  <c r="W997" i="3"/>
  <c r="X997" i="3"/>
  <c r="Y997" i="3"/>
  <c r="P998" i="3"/>
  <c r="Q998" i="3"/>
  <c r="R998" i="3"/>
  <c r="S998" i="3"/>
  <c r="T998" i="3"/>
  <c r="U998" i="3"/>
  <c r="V998" i="3"/>
  <c r="W998" i="3"/>
  <c r="X998" i="3"/>
  <c r="Y998" i="3"/>
  <c r="P999" i="3"/>
  <c r="Q999" i="3"/>
  <c r="R999" i="3"/>
  <c r="S999" i="3"/>
  <c r="T999" i="3"/>
  <c r="U999" i="3"/>
  <c r="V999" i="3"/>
  <c r="W999" i="3"/>
  <c r="X999" i="3"/>
  <c r="Y999" i="3"/>
  <c r="P1000" i="3"/>
  <c r="Q1000" i="3" s="1"/>
  <c r="R1000" i="3"/>
  <c r="S1000" i="3"/>
  <c r="T1000" i="3"/>
  <c r="U1000" i="3"/>
  <c r="V1000" i="3"/>
  <c r="W1000" i="3"/>
  <c r="X1000" i="3"/>
  <c r="Y1000" i="3"/>
  <c r="P1001" i="3"/>
  <c r="Q1001" i="3"/>
  <c r="R1001" i="3"/>
  <c r="S1001" i="3"/>
  <c r="T1001" i="3"/>
  <c r="U1001" i="3"/>
  <c r="V1001" i="3"/>
  <c r="W1001" i="3"/>
  <c r="X1001" i="3"/>
  <c r="Y1001" i="3"/>
  <c r="E11" i="6"/>
  <c r="E10" i="6"/>
  <c r="E9" i="6"/>
  <c r="E8" i="6"/>
  <c r="E7" i="6"/>
  <c r="E6" i="6"/>
  <c r="E5" i="6"/>
  <c r="E4" i="6"/>
  <c r="B11" i="6"/>
  <c r="B9" i="6"/>
  <c r="B7" i="6"/>
  <c r="B6" i="6"/>
  <c r="B5" i="6"/>
  <c r="B4" i="6"/>
  <c r="B8" i="6" s="1"/>
  <c r="B10"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25DB2D-99B9-45B3-8860-6CF02928CA3B}" keepAlive="1" name="Query - flipkart_sales_enriched" description="Connection to the 'flipkart_sales_enriched' query in the workbook." type="5" refreshedVersion="8" background="1" saveData="1">
    <dbPr connection="Provider=Microsoft.Mashup.OleDb.1;Data Source=$Workbook$;Location=flipkart_sales_enriched;Extended Properties=&quot;&quot;" command="SELECT * FROM [flipkart_sales_enriched]"/>
  </connection>
  <connection id="2" xr16:uid="{02D9A19D-CD22-40C8-98D2-11B0D5D7CD33}" keepAlive="1" name="Query - flipkart_sales_enriched (2)" description="Connection to the 'flipkart_sales_enriched (2)' query in the workbook." type="5" refreshedVersion="8" background="1" saveData="1">
    <dbPr connection="Provider=Microsoft.Mashup.OleDb.1;Data Source=$Workbook$;Location=&quot;flipkart_sales_enriched (2)&quot;;Extended Properties=&quot;&quot;" command="SELECT * FROM [flipkart_sales_enriched (2)]"/>
  </connection>
</connections>
</file>

<file path=xl/sharedStrings.xml><?xml version="1.0" encoding="utf-8"?>
<sst xmlns="http://schemas.openxmlformats.org/spreadsheetml/2006/main" count="14200" uniqueCount="1127">
  <si>
    <t>Order ID</t>
  </si>
  <si>
    <t>Product Name</t>
  </si>
  <si>
    <t>Category</t>
  </si>
  <si>
    <t>Price (INR)</t>
  </si>
  <si>
    <t>Quantity Sold</t>
  </si>
  <si>
    <t>Total Sales (INR)</t>
  </si>
  <si>
    <t>Order Date</t>
  </si>
  <si>
    <t>Payment Method</t>
  </si>
  <si>
    <t>Customer Rating</t>
  </si>
  <si>
    <t>Month</t>
  </si>
  <si>
    <t>Year</t>
  </si>
  <si>
    <t>Profit (INR)</t>
  </si>
  <si>
    <t>Discount %</t>
  </si>
  <si>
    <t>Customer Segment</t>
  </si>
  <si>
    <t>Region</t>
  </si>
  <si>
    <t>ORD00001</t>
  </si>
  <si>
    <t>Educational Book</t>
  </si>
  <si>
    <t>Books</t>
  </si>
  <si>
    <t>Debit Card</t>
  </si>
  <si>
    <t>September</t>
  </si>
  <si>
    <t>Online</t>
  </si>
  <si>
    <t>West</t>
  </si>
  <si>
    <t>ORD00002</t>
  </si>
  <si>
    <t>Jeans</t>
  </si>
  <si>
    <t>Clothing</t>
  </si>
  <si>
    <t>UPI</t>
  </si>
  <si>
    <t>December</t>
  </si>
  <si>
    <t>Wholesale</t>
  </si>
  <si>
    <t>North</t>
  </si>
  <si>
    <t>ORD00003</t>
  </si>
  <si>
    <t>Face Cream</t>
  </si>
  <si>
    <t>Beauty</t>
  </si>
  <si>
    <t>May</t>
  </si>
  <si>
    <t>South</t>
  </si>
  <si>
    <t>ORD00004</t>
  </si>
  <si>
    <t>Smartwatch</t>
  </si>
  <si>
    <t>Electronics</t>
  </si>
  <si>
    <t>November</t>
  </si>
  <si>
    <t>ORD00005</t>
  </si>
  <si>
    <t>Cookware Set</t>
  </si>
  <si>
    <t>Home &amp; Kitchen</t>
  </si>
  <si>
    <t>Retail</t>
  </si>
  <si>
    <t>ORD00006</t>
  </si>
  <si>
    <t>Mixer Grinder</t>
  </si>
  <si>
    <t>Wallet</t>
  </si>
  <si>
    <t>October</t>
  </si>
  <si>
    <t>ORD00007</t>
  </si>
  <si>
    <t>Sneakers</t>
  </si>
  <si>
    <t>July</t>
  </si>
  <si>
    <t>ORD00008</t>
  </si>
  <si>
    <t>Table Lamp</t>
  </si>
  <si>
    <t>ORD00009</t>
  </si>
  <si>
    <t>Jacket</t>
  </si>
  <si>
    <t>January</t>
  </si>
  <si>
    <t>ORD00010</t>
  </si>
  <si>
    <t>Tablet</t>
  </si>
  <si>
    <t>March</t>
  </si>
  <si>
    <t>ORD00011</t>
  </si>
  <si>
    <t>Perfume</t>
  </si>
  <si>
    <t>February</t>
  </si>
  <si>
    <t>ORD00012</t>
  </si>
  <si>
    <t>Lipstick</t>
  </si>
  <si>
    <t>April</t>
  </si>
  <si>
    <t>ORD00013</t>
  </si>
  <si>
    <t>COD</t>
  </si>
  <si>
    <t>ORD00014</t>
  </si>
  <si>
    <t>Smartphone</t>
  </si>
  <si>
    <t>June</t>
  </si>
  <si>
    <t>East</t>
  </si>
  <si>
    <t>ORD00015</t>
  </si>
  <si>
    <t>Comic Book</t>
  </si>
  <si>
    <t>Credit Card</t>
  </si>
  <si>
    <t>ORD00016</t>
  </si>
  <si>
    <t>ORD00017</t>
  </si>
  <si>
    <t>Cookbook</t>
  </si>
  <si>
    <t>ORD00018</t>
  </si>
  <si>
    <t>ORD00019</t>
  </si>
  <si>
    <t>ORD00020</t>
  </si>
  <si>
    <t>T-Shirt</t>
  </si>
  <si>
    <t>ORD00021</t>
  </si>
  <si>
    <t>Net Banking</t>
  </si>
  <si>
    <t>ORD00022</t>
  </si>
  <si>
    <t>ORD00023</t>
  </si>
  <si>
    <t>ORD00024</t>
  </si>
  <si>
    <t>Bedsheet</t>
  </si>
  <si>
    <t>ORD00025</t>
  </si>
  <si>
    <t>ORD00026</t>
  </si>
  <si>
    <t>ORD00027</t>
  </si>
  <si>
    <t>August</t>
  </si>
  <si>
    <t>ORD00028</t>
  </si>
  <si>
    <t>ORD00029</t>
  </si>
  <si>
    <t>ORD00030</t>
  </si>
  <si>
    <t>ORD00031</t>
  </si>
  <si>
    <t>ORD00032</t>
  </si>
  <si>
    <t>Hair Dryer</t>
  </si>
  <si>
    <t>ORD00033</t>
  </si>
  <si>
    <t>Laptop</t>
  </si>
  <si>
    <t>ORD00034</t>
  </si>
  <si>
    <t>ORD00035</t>
  </si>
  <si>
    <t>ORD00036</t>
  </si>
  <si>
    <t>Shampoo</t>
  </si>
  <si>
    <t>ORD00037</t>
  </si>
  <si>
    <t>ORD00038</t>
  </si>
  <si>
    <t>ORD00039</t>
  </si>
  <si>
    <t>ORD00040</t>
  </si>
  <si>
    <t>ORD00041</t>
  </si>
  <si>
    <t>ORD00042</t>
  </si>
  <si>
    <t>Headphones</t>
  </si>
  <si>
    <t>ORD00043</t>
  </si>
  <si>
    <t>ORD00044</t>
  </si>
  <si>
    <t>ORD00045</t>
  </si>
  <si>
    <t>ORD00046</t>
  </si>
  <si>
    <t>ORD00047</t>
  </si>
  <si>
    <t>ORD00048</t>
  </si>
  <si>
    <t>ORD00049</t>
  </si>
  <si>
    <t>ORD00050</t>
  </si>
  <si>
    <t>ORD00051</t>
  </si>
  <si>
    <t>ORD00052</t>
  </si>
  <si>
    <t>Fiction Novel</t>
  </si>
  <si>
    <t>ORD00053</t>
  </si>
  <si>
    <t>ORD00054</t>
  </si>
  <si>
    <t>ORD00055</t>
  </si>
  <si>
    <t>ORD00056</t>
  </si>
  <si>
    <t>ORD00057</t>
  </si>
  <si>
    <t>ORD00058</t>
  </si>
  <si>
    <t>Self-Help Book</t>
  </si>
  <si>
    <t>ORD00059</t>
  </si>
  <si>
    <t>ORD00060</t>
  </si>
  <si>
    <t>ORD00061</t>
  </si>
  <si>
    <t>ORD00062</t>
  </si>
  <si>
    <t>ORD00063</t>
  </si>
  <si>
    <t>ORD00064</t>
  </si>
  <si>
    <t>ORD00065</t>
  </si>
  <si>
    <t>ORD00066</t>
  </si>
  <si>
    <t>ORD00067</t>
  </si>
  <si>
    <t>ORD00068</t>
  </si>
  <si>
    <t>ORD00069</t>
  </si>
  <si>
    <t>ORD00070</t>
  </si>
  <si>
    <t>ORD00071</t>
  </si>
  <si>
    <t>ORD00072</t>
  </si>
  <si>
    <t>ORD00073</t>
  </si>
  <si>
    <t>ORD00074</t>
  </si>
  <si>
    <t>ORD00075</t>
  </si>
  <si>
    <t>ORD00076</t>
  </si>
  <si>
    <t>ORD00077</t>
  </si>
  <si>
    <t>Sofa Cover</t>
  </si>
  <si>
    <t>ORD00078</t>
  </si>
  <si>
    <t>ORD00079</t>
  </si>
  <si>
    <t>ORD00080</t>
  </si>
  <si>
    <t>ORD00081</t>
  </si>
  <si>
    <t>ORD00082</t>
  </si>
  <si>
    <t>ORD00083</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</si>
  <si>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</si>
  <si>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</si>
  <si>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</si>
  <si>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</si>
  <si>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</si>
  <si>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</si>
  <si>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</si>
  <si>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</si>
  <si>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</si>
  <si>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</si>
  <si>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</si>
  <si>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</si>
  <si>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</si>
  <si>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</si>
  <si>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</si>
  <si>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</si>
  <si>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</si>
  <si>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</si>
  <si>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</si>
  <si>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</si>
  <si>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</si>
  <si>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</si>
  <si>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ORD00106</t>
  </si>
  <si>
    <t>ORD00107</t>
  </si>
  <si>
    <t>Dress</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</si>
  <si>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</si>
  <si>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</si>
  <si>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</si>
  <si>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</si>
  <si>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</si>
  <si>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</si>
  <si>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</si>
  <si>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</si>
  <si>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</si>
  <si>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</si>
  <si>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</si>
  <si>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</si>
  <si>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</si>
  <si>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</si>
  <si>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</si>
  <si>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</si>
  <si>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</si>
  <si>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</si>
  <si>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</si>
  <si>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</si>
  <si>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</si>
  <si>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</si>
  <si>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</si>
  <si>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</si>
  <si>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</si>
  <si>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</si>
  <si>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</si>
  <si>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</si>
  <si>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</si>
  <si>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</si>
  <si>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</si>
  <si>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</si>
  <si>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</si>
  <si>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</si>
  <si>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</si>
  <si>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</si>
  <si>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</si>
  <si>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</si>
  <si>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</si>
  <si>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</si>
  <si>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</si>
  <si>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</si>
  <si>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</si>
  <si>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</si>
  <si>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</si>
  <si>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</si>
  <si>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</si>
  <si>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</si>
  <si>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</si>
  <si>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</si>
  <si>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</si>
  <si>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</si>
  <si>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</si>
  <si>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</si>
  <si>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</si>
  <si>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</si>
  <si>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</si>
  <si>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</si>
  <si>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</si>
  <si>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</si>
  <si>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</si>
  <si>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</si>
  <si>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</si>
  <si>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</si>
  <si>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</si>
  <si>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</si>
  <si>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</si>
  <si>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</si>
  <si>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</si>
  <si>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</si>
  <si>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</si>
  <si>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</si>
  <si>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</si>
  <si>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</si>
  <si>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</si>
  <si>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</si>
  <si>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</si>
  <si>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</si>
  <si>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</si>
  <si>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</si>
  <si>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</si>
  <si>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</si>
  <si>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</si>
  <si>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</si>
  <si>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</si>
  <si>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</si>
  <si>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</si>
  <si>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</si>
  <si>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</si>
  <si>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</si>
  <si>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</si>
  <si>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</si>
  <si>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</si>
  <si>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</si>
  <si>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</si>
  <si>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</si>
  <si>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</si>
  <si>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</si>
  <si>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</si>
  <si>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</si>
  <si>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</si>
  <si>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</si>
  <si>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</si>
  <si>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</si>
  <si>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</si>
  <si>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</si>
  <si>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</si>
  <si>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</si>
  <si>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</si>
  <si>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</si>
  <si>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</si>
  <si>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</si>
  <si>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</si>
  <si>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</si>
  <si>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</si>
  <si>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</si>
  <si>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</si>
  <si>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</si>
  <si>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</si>
  <si>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</si>
  <si>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</si>
  <si>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</si>
  <si>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</si>
  <si>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</si>
  <si>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</si>
  <si>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</si>
  <si>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</si>
  <si>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</si>
  <si>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</si>
  <si>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</si>
  <si>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</si>
  <si>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</si>
  <si>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</si>
  <si>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</si>
  <si>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</si>
  <si>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</si>
  <si>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</si>
  <si>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</si>
  <si>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</si>
  <si>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</si>
  <si>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</si>
  <si>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</si>
  <si>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</si>
  <si>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</si>
  <si>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</si>
  <si>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</si>
  <si>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</si>
  <si>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</si>
  <si>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</si>
  <si>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</si>
  <si>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</si>
  <si>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</si>
  <si>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</si>
  <si>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</si>
  <si>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</si>
  <si>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</si>
  <si>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</si>
  <si>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</si>
  <si>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</si>
  <si>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</si>
  <si>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</si>
  <si>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</si>
  <si>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</si>
  <si>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</si>
  <si>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</si>
  <si>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</si>
  <si>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</si>
  <si>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</si>
  <si>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</si>
  <si>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</si>
  <si>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</si>
  <si>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</si>
  <si>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</si>
  <si>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</si>
  <si>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</si>
  <si>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</si>
  <si>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</si>
  <si>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</si>
  <si>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</si>
  <si>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</si>
  <si>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</si>
  <si>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</si>
  <si>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</si>
  <si>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</si>
  <si>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</si>
  <si>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</si>
  <si>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</si>
  <si>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</si>
  <si>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</si>
  <si>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</si>
  <si>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</si>
  <si>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</si>
  <si>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</si>
  <si>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</si>
  <si>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</si>
  <si>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</si>
  <si>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</si>
  <si>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</si>
  <si>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</si>
  <si>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</si>
  <si>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</si>
  <si>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</si>
  <si>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</si>
  <si>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</si>
  <si>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</si>
  <si>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</si>
  <si>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</si>
  <si>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</si>
  <si>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</si>
  <si>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</si>
  <si>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</si>
  <si>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</si>
  <si>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</si>
  <si>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</si>
  <si>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</si>
  <si>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</si>
  <si>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</si>
  <si>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</si>
  <si>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</si>
  <si>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</si>
  <si>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</si>
  <si>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</si>
  <si>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</si>
  <si>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</si>
  <si>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</si>
  <si>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</si>
  <si>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</si>
  <si>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</si>
  <si>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</si>
  <si>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</si>
  <si>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</si>
  <si>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</si>
  <si>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</si>
  <si>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</si>
  <si>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</si>
  <si>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</si>
  <si>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</si>
  <si>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</si>
  <si>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</si>
  <si>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</si>
  <si>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</si>
  <si>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</si>
  <si>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</si>
  <si>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</si>
  <si>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</si>
  <si>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</si>
  <si>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</si>
  <si>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</si>
  <si>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</si>
  <si>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</si>
  <si>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</si>
  <si>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</si>
  <si>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</si>
  <si>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</si>
  <si>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</si>
  <si>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</si>
  <si>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</si>
  <si>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</si>
  <si>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</si>
  <si>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</si>
  <si>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</si>
  <si>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</si>
  <si>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</si>
  <si>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</si>
  <si>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</si>
  <si>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</si>
  <si>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</si>
  <si>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</si>
  <si>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</si>
  <si>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</si>
  <si>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</si>
  <si>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</si>
  <si>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</si>
  <si>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</si>
  <si>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</si>
  <si>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</si>
  <si>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</si>
  <si>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</si>
  <si>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</si>
  <si>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</si>
  <si>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</si>
  <si>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</si>
  <si>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</si>
  <si>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</si>
  <si>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</si>
  <si>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</si>
  <si>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</si>
  <si>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</si>
  <si>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</si>
  <si>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</si>
  <si>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</si>
  <si>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</si>
  <si>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</si>
  <si>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</si>
  <si>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</si>
  <si>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</si>
  <si>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</si>
  <si>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</si>
  <si>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</si>
  <si>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</si>
  <si>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</si>
  <si>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</si>
  <si>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</si>
  <si>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</si>
  <si>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</si>
  <si>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</si>
  <si>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</si>
  <si>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</si>
  <si>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</si>
  <si>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</si>
  <si>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</si>
  <si>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</si>
  <si>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</si>
  <si>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</si>
  <si>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</si>
  <si>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</si>
  <si>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</si>
  <si>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</si>
  <si>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</si>
  <si>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</si>
  <si>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</si>
  <si>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</si>
  <si>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</si>
  <si>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</si>
  <si>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</si>
  <si>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</si>
  <si>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</si>
  <si>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</si>
  <si>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</si>
  <si>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</si>
  <si>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</si>
  <si>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</si>
  <si>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</si>
  <si>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</si>
  <si>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</si>
  <si>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</si>
  <si>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</si>
  <si>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</si>
  <si>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</si>
  <si>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</si>
  <si>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</si>
  <si>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</si>
  <si>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</si>
  <si>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</si>
  <si>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</si>
  <si>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</si>
  <si>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</si>
  <si>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</si>
  <si>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</si>
  <si>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</si>
  <si>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</si>
  <si>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</si>
  <si>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</si>
  <si>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</si>
  <si>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</si>
  <si>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</si>
  <si>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</si>
  <si>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</si>
  <si>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</si>
  <si>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</si>
  <si>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</si>
  <si>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</si>
  <si>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</si>
  <si>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</si>
  <si>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</si>
  <si>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</si>
  <si>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</si>
  <si>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</si>
  <si>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</si>
  <si>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</si>
  <si>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</si>
  <si>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</si>
  <si>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</si>
  <si>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</si>
  <si>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</si>
  <si>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</si>
  <si>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</si>
  <si>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</si>
  <si>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</si>
  <si>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</si>
  <si>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</si>
  <si>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</si>
  <si>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</si>
  <si>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</si>
  <si>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</si>
  <si>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</si>
  <si>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</si>
  <si>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</si>
  <si>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</si>
  <si>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</si>
  <si>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</si>
  <si>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</si>
  <si>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</si>
  <si>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ORD00501</t>
  </si>
  <si>
    <t>ORD00502</t>
  </si>
  <si>
    <t>ORD00503</t>
  </si>
  <si>
    <t>ORD00504</t>
  </si>
  <si>
    <t>ORD00505</t>
  </si>
  <si>
    <t>ORD00506</t>
  </si>
  <si>
    <t>ORD00507</t>
  </si>
  <si>
    <t>ORD00508</t>
  </si>
  <si>
    <t>ORD00509</t>
  </si>
  <si>
    <t>ORD00510</t>
  </si>
  <si>
    <t>ORD00511</t>
  </si>
  <si>
    <t>ORD00512</t>
  </si>
  <si>
    <t>ORD00513</t>
  </si>
  <si>
    <t>ORD00514</t>
  </si>
  <si>
    <t>ORD00515</t>
  </si>
  <si>
    <t>ORD00516</t>
  </si>
  <si>
    <t>ORD00517</t>
  </si>
  <si>
    <t>ORD00518</t>
  </si>
  <si>
    <t>ORD00519</t>
  </si>
  <si>
    <t>ORD00520</t>
  </si>
  <si>
    <t>ORD00521</t>
  </si>
  <si>
    <t>ORD00522</t>
  </si>
  <si>
    <t>ORD00523</t>
  </si>
  <si>
    <t>ORD00524</t>
  </si>
  <si>
    <t>ORD00525</t>
  </si>
  <si>
    <t>ORD00526</t>
  </si>
  <si>
    <t>ORD00527</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</si>
  <si>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</si>
  <si>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</si>
  <si>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</si>
  <si>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</si>
  <si>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</si>
  <si>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</si>
  <si>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</si>
  <si>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</si>
  <si>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</si>
  <si>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</si>
  <si>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</si>
  <si>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</si>
  <si>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</si>
  <si>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</si>
  <si>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</si>
  <si>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</si>
  <si>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</si>
  <si>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</si>
  <si>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</si>
  <si>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</si>
  <si>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</si>
  <si>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ORD00549</t>
  </si>
  <si>
    <t>ORD00550</t>
  </si>
  <si>
    <t>ORD00551</t>
  </si>
  <si>
    <t>ORD00552</t>
  </si>
  <si>
    <t>ORD00553</t>
  </si>
  <si>
    <t>ORD00554</t>
  </si>
  <si>
    <t>ORD00555</t>
  </si>
  <si>
    <t>ORD00556</t>
  </si>
  <si>
    <t>ORD00557</t>
  </si>
  <si>
    <t>ORD00558</t>
  </si>
  <si>
    <t>ORD00559</t>
  </si>
  <si>
    <t>ORD00560</t>
  </si>
  <si>
    <t>ORD00561</t>
  </si>
  <si>
    <t>ORD00562</t>
  </si>
  <si>
    <t>ORD00563</t>
  </si>
  <si>
    <t>ORD00564</t>
  </si>
  <si>
    <t>ORD00565</t>
  </si>
  <si>
    <t>ORD00566</t>
  </si>
  <si>
    <t>ORD00567</t>
  </si>
  <si>
    <t>ORD00568</t>
  </si>
  <si>
    <t>ORD00569</t>
  </si>
  <si>
    <t>ORD00570</t>
  </si>
  <si>
    <t>ORD00571</t>
  </si>
  <si>
    <t>ORD00572</t>
  </si>
  <si>
    <t>ORD00573</t>
  </si>
  <si>
    <t>ORD00574</t>
  </si>
  <si>
    <t>ORD00575</t>
  </si>
  <si>
    <t>ORD00576</t>
  </si>
  <si>
    <t>ORD00577</t>
  </si>
  <si>
    <t>ORD00578</t>
  </si>
  <si>
    <t>ORD00579</t>
  </si>
  <si>
    <t>ORD00580</t>
  </si>
  <si>
    <t>ORD00581</t>
  </si>
  <si>
    <t>ORD00582</t>
  </si>
  <si>
    <t>ORD00583</t>
  </si>
  <si>
    <t>ORD00584</t>
  </si>
  <si>
    <t>ORD00585</t>
  </si>
  <si>
    <t>ORD00586</t>
  </si>
  <si>
    <t>ORD00587</t>
  </si>
  <si>
    <t>ORD00588</t>
  </si>
  <si>
    <t>ORD00589</t>
  </si>
  <si>
    <t>ORD00590</t>
  </si>
  <si>
    <t>ORD00591</t>
  </si>
  <si>
    <t>ORD00592</t>
  </si>
  <si>
    <t>ORD00593</t>
  </si>
  <si>
    <t>ORD00594</t>
  </si>
  <si>
    <t>ORD00595</t>
  </si>
  <si>
    <t>ORD00596</t>
  </si>
  <si>
    <t>ORD00597</t>
  </si>
  <si>
    <t>ORD00598</t>
  </si>
  <si>
    <t>ORD00599</t>
  </si>
  <si>
    <t>ORD00600</t>
  </si>
  <si>
    <t>ORD00601</t>
  </si>
  <si>
    <t>ORD00602</t>
  </si>
  <si>
    <t>ORD00603</t>
  </si>
  <si>
    <t>ORD00604</t>
  </si>
  <si>
    <t>ORD00605</t>
  </si>
  <si>
    <t>ORD00606</t>
  </si>
  <si>
    <t>ORD00607</t>
  </si>
  <si>
    <t>ORD00608</t>
  </si>
  <si>
    <t>ORD00609</t>
  </si>
  <si>
    <t>ORD00610</t>
  </si>
  <si>
    <t>ORD00611</t>
  </si>
  <si>
    <t>ORD00612</t>
  </si>
  <si>
    <t>ORD00613</t>
  </si>
  <si>
    <t>ORD00614</t>
  </si>
  <si>
    <t>ORD00615</t>
  </si>
  <si>
    <t>ORD00616</t>
  </si>
  <si>
    <t>ORD00617</t>
  </si>
  <si>
    <t>ORD00618</t>
  </si>
  <si>
    <t>ORD00619</t>
  </si>
  <si>
    <t>ORD00620</t>
  </si>
  <si>
    <t>ORD00621</t>
  </si>
  <si>
    <t>ORD00622</t>
  </si>
  <si>
    <t>ORD00623</t>
  </si>
  <si>
    <t>ORD00624</t>
  </si>
  <si>
    <t>ORD00625</t>
  </si>
  <si>
    <t>ORD00626</t>
  </si>
  <si>
    <t>ORD00627</t>
  </si>
  <si>
    <t>ORD00628</t>
  </si>
  <si>
    <t>ORD00629</t>
  </si>
  <si>
    <t>ORD00630</t>
  </si>
  <si>
    <t>ORD00631</t>
  </si>
  <si>
    <t>ORD00632</t>
  </si>
  <si>
    <t>ORD00633</t>
  </si>
  <si>
    <t>ORD00634</t>
  </si>
  <si>
    <t>ORD00635</t>
  </si>
  <si>
    <t>ORD00636</t>
  </si>
  <si>
    <t>ORD00637</t>
  </si>
  <si>
    <t>ORD00638</t>
  </si>
  <si>
    <t>ORD00639</t>
  </si>
  <si>
    <t>ORD00640</t>
  </si>
  <si>
    <t>ORD00641</t>
  </si>
  <si>
    <t>ORD00642</t>
  </si>
  <si>
    <t>ORD00643</t>
  </si>
  <si>
    <t>ORD00644</t>
  </si>
  <si>
    <t>ORD00645</t>
  </si>
  <si>
    <t>ORD00646</t>
  </si>
  <si>
    <t>ORD00647</t>
  </si>
  <si>
    <t>ORD00648</t>
  </si>
  <si>
    <t>ORD00649</t>
  </si>
  <si>
    <t>ORD00650</t>
  </si>
  <si>
    <t>ORD00651</t>
  </si>
  <si>
    <t>ORD00652</t>
  </si>
  <si>
    <t>ORD00653</t>
  </si>
  <si>
    <t>ORD00654</t>
  </si>
  <si>
    <t>ORD00655</t>
  </si>
  <si>
    <t>ORD00656</t>
  </si>
  <si>
    <t>ORD00657</t>
  </si>
  <si>
    <t>ORD00658</t>
  </si>
  <si>
    <t>ORD00659</t>
  </si>
  <si>
    <t>ORD00660</t>
  </si>
  <si>
    <t>ORD00661</t>
  </si>
  <si>
    <t>ORD00662</t>
  </si>
  <si>
    <t>ORD00663</t>
  </si>
  <si>
    <t>ORD00664</t>
  </si>
  <si>
    <t>ORD00665</t>
  </si>
  <si>
    <t>ORD00666</t>
  </si>
  <si>
    <t>ORD00667</t>
  </si>
  <si>
    <t>ORD00668</t>
  </si>
  <si>
    <t>ORD00669</t>
  </si>
  <si>
    <t>ORD00670</t>
  </si>
  <si>
    <t>ORD00671</t>
  </si>
  <si>
    <t>ORD00672</t>
  </si>
  <si>
    <t>ORD00673</t>
  </si>
  <si>
    <t>ORD00674</t>
  </si>
  <si>
    <t>ORD00675</t>
  </si>
  <si>
    <t>ORD00676</t>
  </si>
  <si>
    <t>ORD00677</t>
  </si>
  <si>
    <t>ORD00678</t>
  </si>
  <si>
    <t>ORD00679</t>
  </si>
  <si>
    <t>ORD00680</t>
  </si>
  <si>
    <t>ORD00681</t>
  </si>
  <si>
    <t>ORD00682</t>
  </si>
  <si>
    <t>ORD00683</t>
  </si>
  <si>
    <t>ORD00684</t>
  </si>
  <si>
    <t>ORD00685</t>
  </si>
  <si>
    <t>ORD00686</t>
  </si>
  <si>
    <t>ORD00687</t>
  </si>
  <si>
    <t>ORD00688</t>
  </si>
  <si>
    <t>ORD00689</t>
  </si>
  <si>
    <t>ORD00690</t>
  </si>
  <si>
    <t>ORD00691</t>
  </si>
  <si>
    <t>ORD00692</t>
  </si>
  <si>
    <t>ORD00693</t>
  </si>
  <si>
    <t>ORD00694</t>
  </si>
  <si>
    <t>ORD00695</t>
  </si>
  <si>
    <t>ORD00696</t>
  </si>
  <si>
    <t>ORD00697</t>
  </si>
  <si>
    <t>ORD00698</t>
  </si>
  <si>
    <t>ORD00699</t>
  </si>
  <si>
    <t>ORD00700</t>
  </si>
  <si>
    <t>ORD00701</t>
  </si>
  <si>
    <t>ORD00702</t>
  </si>
  <si>
    <t>ORD00703</t>
  </si>
  <si>
    <t>ORD00704</t>
  </si>
  <si>
    <t>ORD00705</t>
  </si>
  <si>
    <t>ORD00706</t>
  </si>
  <si>
    <t>ORD00707</t>
  </si>
  <si>
    <t>ORD00708</t>
  </si>
  <si>
    <t>ORD00709</t>
  </si>
  <si>
    <t>ORD00710</t>
  </si>
  <si>
    <t>ORD00711</t>
  </si>
  <si>
    <t>ORD00712</t>
  </si>
  <si>
    <t>ORD00713</t>
  </si>
  <si>
    <t>ORD00714</t>
  </si>
  <si>
    <t>ORD00715</t>
  </si>
  <si>
    <t>ORD00716</t>
  </si>
  <si>
    <t>ORD00717</t>
  </si>
  <si>
    <t>ORD00718</t>
  </si>
  <si>
    <t>ORD00719</t>
  </si>
  <si>
    <t>ORD00720</t>
  </si>
  <si>
    <t>ORD00721</t>
  </si>
  <si>
    <t>ORD00722</t>
  </si>
  <si>
    <t>ORD00723</t>
  </si>
  <si>
    <t>ORD00724</t>
  </si>
  <si>
    <t>ORD00725</t>
  </si>
  <si>
    <t>ORD00726</t>
  </si>
  <si>
    <t>ORD00727</t>
  </si>
  <si>
    <t>ORD00728</t>
  </si>
  <si>
    <t>ORD00729</t>
  </si>
  <si>
    <t>ORD00730</t>
  </si>
  <si>
    <t>ORD00731</t>
  </si>
  <si>
    <t>ORD00732</t>
  </si>
  <si>
    <t>ORD00733</t>
  </si>
  <si>
    <t>ORD00734</t>
  </si>
  <si>
    <t>ORD00735</t>
  </si>
  <si>
    <t>ORD00736</t>
  </si>
  <si>
    <t>ORD00737</t>
  </si>
  <si>
    <t>ORD00738</t>
  </si>
  <si>
    <t>ORD00739</t>
  </si>
  <si>
    <t>ORD00740</t>
  </si>
  <si>
    <t>ORD00741</t>
  </si>
  <si>
    <t>ORD00742</t>
  </si>
  <si>
    <t>ORD00743</t>
  </si>
  <si>
    <t>ORD00744</t>
  </si>
  <si>
    <t>ORD00745</t>
  </si>
  <si>
    <t>ORD00746</t>
  </si>
  <si>
    <t>ORD00747</t>
  </si>
  <si>
    <t>ORD00748</t>
  </si>
  <si>
    <t>ORD00749</t>
  </si>
  <si>
    <t>ORD00750</t>
  </si>
  <si>
    <t>ORD00751</t>
  </si>
  <si>
    <t>ORD00752</t>
  </si>
  <si>
    <t>ORD00753</t>
  </si>
  <si>
    <t>ORD00754</t>
  </si>
  <si>
    <t>ORD00755</t>
  </si>
  <si>
    <t>ORD00756</t>
  </si>
  <si>
    <t>ORD00757</t>
  </si>
  <si>
    <t>ORD00758</t>
  </si>
  <si>
    <t>ORD00759</t>
  </si>
  <si>
    <t>ORD00760</t>
  </si>
  <si>
    <t>ORD00761</t>
  </si>
  <si>
    <t>ORD00762</t>
  </si>
  <si>
    <t>ORD00763</t>
  </si>
  <si>
    <t>ORD00764</t>
  </si>
  <si>
    <t>ORD00765</t>
  </si>
  <si>
    <t>ORD00766</t>
  </si>
  <si>
    <t>ORD00767</t>
  </si>
  <si>
    <t>ORD00768</t>
  </si>
  <si>
    <t>ORD00769</t>
  </si>
  <si>
    <t>ORD00770</t>
  </si>
  <si>
    <t>ORD00771</t>
  </si>
  <si>
    <t>ORD00772</t>
  </si>
  <si>
    <t>ORD00773</t>
  </si>
  <si>
    <t>ORD00774</t>
  </si>
  <si>
    <t>ORD00775</t>
  </si>
  <si>
    <t>ORD00776</t>
  </si>
  <si>
    <t>ORD00777</t>
  </si>
  <si>
    <t>ORD00778</t>
  </si>
  <si>
    <t>ORD00779</t>
  </si>
  <si>
    <t>ORD00780</t>
  </si>
  <si>
    <t>ORD00781</t>
  </si>
  <si>
    <t>ORD00782</t>
  </si>
  <si>
    <t>ORD00783</t>
  </si>
  <si>
    <t>ORD00784</t>
  </si>
  <si>
    <t>ORD00785</t>
  </si>
  <si>
    <t>ORD00786</t>
  </si>
  <si>
    <t>ORD00787</t>
  </si>
  <si>
    <t>ORD00788</t>
  </si>
  <si>
    <t>ORD00789</t>
  </si>
  <si>
    <t>ORD00790</t>
  </si>
  <si>
    <t>ORD00791</t>
  </si>
  <si>
    <t>ORD00792</t>
  </si>
  <si>
    <t>ORD00793</t>
  </si>
  <si>
    <t>ORD00794</t>
  </si>
  <si>
    <t>ORD00795</t>
  </si>
  <si>
    <t>ORD00796</t>
  </si>
  <si>
    <t>ORD00797</t>
  </si>
  <si>
    <t>ORD00798</t>
  </si>
  <si>
    <t>ORD00799</t>
  </si>
  <si>
    <t>ORD00800</t>
  </si>
  <si>
    <t>ORD00801</t>
  </si>
  <si>
    <t>ORD00802</t>
  </si>
  <si>
    <t>ORD00803</t>
  </si>
  <si>
    <t>ORD00804</t>
  </si>
  <si>
    <t>ORD00805</t>
  </si>
  <si>
    <t>ORD00806</t>
  </si>
  <si>
    <t>ORD00807</t>
  </si>
  <si>
    <t>ORD00808</t>
  </si>
  <si>
    <t>ORD00809</t>
  </si>
  <si>
    <t>ORD00810</t>
  </si>
  <si>
    <t>ORD00811</t>
  </si>
  <si>
    <t>ORD00812</t>
  </si>
  <si>
    <t>ORD00813</t>
  </si>
  <si>
    <t>ORD00814</t>
  </si>
  <si>
    <t>ORD00815</t>
  </si>
  <si>
    <t>ORD00816</t>
  </si>
  <si>
    <t>ORD00817</t>
  </si>
  <si>
    <t>ORD00818</t>
  </si>
  <si>
    <t>ORD00819</t>
  </si>
  <si>
    <t>ORD00820</t>
  </si>
  <si>
    <t>ORD00821</t>
  </si>
  <si>
    <t>ORD00822</t>
  </si>
  <si>
    <t>ORD00823</t>
  </si>
  <si>
    <t>ORD00824</t>
  </si>
  <si>
    <t>ORD00825</t>
  </si>
  <si>
    <t>ORD00826</t>
  </si>
  <si>
    <t>ORD00827</t>
  </si>
  <si>
    <t>ORD00828</t>
  </si>
  <si>
    <t>ORD00829</t>
  </si>
  <si>
    <t>ORD00830</t>
  </si>
  <si>
    <t>ORD00831</t>
  </si>
  <si>
    <t>ORD00832</t>
  </si>
  <si>
    <t>ORD00833</t>
  </si>
  <si>
    <t>ORD00834</t>
  </si>
  <si>
    <t>ORD00835</t>
  </si>
  <si>
    <t>ORD00836</t>
  </si>
  <si>
    <t>ORD00837</t>
  </si>
  <si>
    <t>ORD00838</t>
  </si>
  <si>
    <t>ORD00839</t>
  </si>
  <si>
    <t>ORD00840</t>
  </si>
  <si>
    <t>ORD00841</t>
  </si>
  <si>
    <t>ORD00842</t>
  </si>
  <si>
    <t>ORD00843</t>
  </si>
  <si>
    <t>ORD00844</t>
  </si>
  <si>
    <t>ORD00845</t>
  </si>
  <si>
    <t>ORD00846</t>
  </si>
  <si>
    <t>ORD00847</t>
  </si>
  <si>
    <t>ORD00848</t>
  </si>
  <si>
    <t>ORD00849</t>
  </si>
  <si>
    <t>ORD00850</t>
  </si>
  <si>
    <t>ORD00851</t>
  </si>
  <si>
    <t>ORD00852</t>
  </si>
  <si>
    <t>ORD00853</t>
  </si>
  <si>
    <t>ORD00854</t>
  </si>
  <si>
    <t>ORD00855</t>
  </si>
  <si>
    <t>ORD00856</t>
  </si>
  <si>
    <t>ORD00857</t>
  </si>
  <si>
    <t>ORD00858</t>
  </si>
  <si>
    <t>ORD00859</t>
  </si>
  <si>
    <t>ORD00860</t>
  </si>
  <si>
    <t>ORD00861</t>
  </si>
  <si>
    <t>ORD00862</t>
  </si>
  <si>
    <t>ORD00863</t>
  </si>
  <si>
    <t>ORD00864</t>
  </si>
  <si>
    <t>ORD00865</t>
  </si>
  <si>
    <t>ORD00866</t>
  </si>
  <si>
    <t>ORD00867</t>
  </si>
  <si>
    <t>ORD00868</t>
  </si>
  <si>
    <t>ORD00869</t>
  </si>
  <si>
    <t>ORD00870</t>
  </si>
  <si>
    <t>ORD00871</t>
  </si>
  <si>
    <t>ORD00872</t>
  </si>
  <si>
    <t>ORD00873</t>
  </si>
  <si>
    <t>ORD00874</t>
  </si>
  <si>
    <t>ORD00875</t>
  </si>
  <si>
    <t>ORD00876</t>
  </si>
  <si>
    <t>ORD00877</t>
  </si>
  <si>
    <t>ORD00878</t>
  </si>
  <si>
    <t>ORD00879</t>
  </si>
  <si>
    <t>ORD00880</t>
  </si>
  <si>
    <t>ORD00881</t>
  </si>
  <si>
    <t>ORD00882</t>
  </si>
  <si>
    <t>ORD00883</t>
  </si>
  <si>
    <t>ORD00884</t>
  </si>
  <si>
    <t>ORD00885</t>
  </si>
  <si>
    <t>ORD00886</t>
  </si>
  <si>
    <t>ORD00887</t>
  </si>
  <si>
    <t>ORD00888</t>
  </si>
  <si>
    <t>ORD00889</t>
  </si>
  <si>
    <t>ORD00890</t>
  </si>
  <si>
    <t>ORD00891</t>
  </si>
  <si>
    <t>ORD00892</t>
  </si>
  <si>
    <t>ORD00893</t>
  </si>
  <si>
    <t>ORD00894</t>
  </si>
  <si>
    <t>ORD00895</t>
  </si>
  <si>
    <t>ORD00896</t>
  </si>
  <si>
    <t>ORD00897</t>
  </si>
  <si>
    <t>ORD00898</t>
  </si>
  <si>
    <t>ORD00899</t>
  </si>
  <si>
    <t>ORD00900</t>
  </si>
  <si>
    <t>ORD00901</t>
  </si>
  <si>
    <t>ORD00902</t>
  </si>
  <si>
    <t>ORD00903</t>
  </si>
  <si>
    <t>ORD00904</t>
  </si>
  <si>
    <t>ORD00905</t>
  </si>
  <si>
    <t>ORD00906</t>
  </si>
  <si>
    <t>ORD00907</t>
  </si>
  <si>
    <t>ORD00908</t>
  </si>
  <si>
    <t>ORD00909</t>
  </si>
  <si>
    <t>ORD00910</t>
  </si>
  <si>
    <t>ORD00911</t>
  </si>
  <si>
    <t>ORD00912</t>
  </si>
  <si>
    <t>ORD00913</t>
  </si>
  <si>
    <t>ORD00914</t>
  </si>
  <si>
    <t>ORD00915</t>
  </si>
  <si>
    <t>ORD00916</t>
  </si>
  <si>
    <t>ORD00917</t>
  </si>
  <si>
    <t>ORD00918</t>
  </si>
  <si>
    <t>ORD00919</t>
  </si>
  <si>
    <t>ORD00920</t>
  </si>
  <si>
    <t>ORD00921</t>
  </si>
  <si>
    <t>ORD00922</t>
  </si>
  <si>
    <t>ORD00923</t>
  </si>
  <si>
    <t>ORD00924</t>
  </si>
  <si>
    <t>ORD00925</t>
  </si>
  <si>
    <t>ORD00926</t>
  </si>
  <si>
    <t>ORD00927</t>
  </si>
  <si>
    <t>ORD00928</t>
  </si>
  <si>
    <t>ORD00929</t>
  </si>
  <si>
    <t>ORD00930</t>
  </si>
  <si>
    <t>ORD00931</t>
  </si>
  <si>
    <t>ORD00932</t>
  </si>
  <si>
    <t>ORD00933</t>
  </si>
  <si>
    <t>ORD00934</t>
  </si>
  <si>
    <t>ORD00935</t>
  </si>
  <si>
    <t>ORD00936</t>
  </si>
  <si>
    <t>ORD00937</t>
  </si>
  <si>
    <t>ORD00938</t>
  </si>
  <si>
    <t>ORD00939</t>
  </si>
  <si>
    <t>ORD00940</t>
  </si>
  <si>
    <t>ORD00941</t>
  </si>
  <si>
    <t>ORD00942</t>
  </si>
  <si>
    <t>ORD00943</t>
  </si>
  <si>
    <t>ORD00944</t>
  </si>
  <si>
    <t>ORD00945</t>
  </si>
  <si>
    <t>ORD00946</t>
  </si>
  <si>
    <t>ORD00947</t>
  </si>
  <si>
    <t>ORD00948</t>
  </si>
  <si>
    <t>ORD00949</t>
  </si>
  <si>
    <t>ORD00950</t>
  </si>
  <si>
    <t>ORD00951</t>
  </si>
  <si>
    <t>ORD00952</t>
  </si>
  <si>
    <t>ORD00953</t>
  </si>
  <si>
    <t>ORD00954</t>
  </si>
  <si>
    <t>ORD00955</t>
  </si>
  <si>
    <t>ORD00956</t>
  </si>
  <si>
    <t>ORD00957</t>
  </si>
  <si>
    <t>ORD00958</t>
  </si>
  <si>
    <t>ORD00959</t>
  </si>
  <si>
    <t>ORD00960</t>
  </si>
  <si>
    <t>ORD00961</t>
  </si>
  <si>
    <t>ORD00962</t>
  </si>
  <si>
    <t>ORD00963</t>
  </si>
  <si>
    <t>ORD00964</t>
  </si>
  <si>
    <t>ORD00965</t>
  </si>
  <si>
    <t>ORD00966</t>
  </si>
  <si>
    <t>ORD00967</t>
  </si>
  <si>
    <t>ORD00968</t>
  </si>
  <si>
    <t>ORD00969</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</si>
  <si>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</si>
  <si>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</si>
  <si>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</si>
  <si>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</si>
  <si>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</si>
  <si>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</si>
  <si>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</si>
  <si>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</si>
  <si>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</si>
  <si>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</si>
  <si>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</si>
  <si>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</si>
  <si>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</si>
  <si>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</si>
  <si>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</si>
  <si>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</si>
  <si>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ORD00986</t>
  </si>
  <si>
    <t>ORD00987</t>
  </si>
  <si>
    <t>ORD00988</t>
  </si>
  <si>
    <t>ORD00989</t>
  </si>
  <si>
    <t>ORD00990</t>
  </si>
  <si>
    <t>ORD00991</t>
  </si>
  <si>
    <t>ORD00992</t>
  </si>
  <si>
    <t>ORD00993</t>
  </si>
  <si>
    <t>ORD00994</t>
  </si>
  <si>
    <t>ORD00995</t>
  </si>
  <si>
    <t>ORD00996</t>
  </si>
  <si>
    <t>ORD00997</t>
  </si>
  <si>
    <t>ORD00998</t>
  </si>
  <si>
    <t>ORD00999</t>
  </si>
  <si>
    <t>ORD01000</t>
  </si>
  <si>
    <t>Total Records</t>
  </si>
  <si>
    <t>Unique Orders</t>
  </si>
  <si>
    <t>Missing Values</t>
  </si>
  <si>
    <t>Total Sales</t>
  </si>
  <si>
    <t>Minimum Order Date</t>
  </si>
  <si>
    <t>Maximum Order Date</t>
  </si>
  <si>
    <t>Calculated Sales</t>
  </si>
  <si>
    <t>Sales Difference</t>
  </si>
  <si>
    <t>Metric</t>
  </si>
  <si>
    <t>Result</t>
  </si>
  <si>
    <t>Status</t>
  </si>
  <si>
    <t>✅</t>
  </si>
  <si>
    <t>Duplicate Orders</t>
  </si>
  <si>
    <t>Date Validity</t>
  </si>
  <si>
    <t>Valid</t>
  </si>
  <si>
    <t>Rating Range</t>
  </si>
  <si>
    <t>Quantity Range</t>
  </si>
  <si>
    <t>Profit Margin %</t>
  </si>
  <si>
    <t>Revenue per Unit</t>
  </si>
  <si>
    <t>Month Number</t>
  </si>
  <si>
    <t>Quarter</t>
  </si>
  <si>
    <t>Year-Month</t>
  </si>
  <si>
    <t>Discount Amount</t>
  </si>
  <si>
    <t>Net Sales After Discount</t>
  </si>
  <si>
    <t>Profit per Unit</t>
  </si>
  <si>
    <t>Flipkart E-Commerce Sales Analytics</t>
  </si>
  <si>
    <t>KPI</t>
  </si>
  <si>
    <t>Value</t>
  </si>
  <si>
    <t>Total Profit</t>
  </si>
  <si>
    <t>Total Orders</t>
  </si>
  <si>
    <t>Total Quantity Sold</t>
  </si>
  <si>
    <t>Average Order Value</t>
  </si>
  <si>
    <t>Average Customer Rating</t>
  </si>
  <si>
    <t>Average Discount %</t>
  </si>
  <si>
    <t>Overall Business Performance</t>
  </si>
  <si>
    <t>Minimum Rating</t>
  </si>
  <si>
    <t>Maximum Rating</t>
  </si>
  <si>
    <t>Minimum Discount</t>
  </si>
  <si>
    <t>Maximum Discount</t>
  </si>
  <si>
    <t>Minimum Profit</t>
  </si>
  <si>
    <t>Maximum Profit</t>
  </si>
  <si>
    <t>Sum of Total Sales (INR)</t>
  </si>
  <si>
    <t>Row Labels</t>
  </si>
  <si>
    <t>Grand Total</t>
  </si>
  <si>
    <t>Sum of Profit (INR)</t>
  </si>
  <si>
    <t>Sum of Quantity Sold</t>
  </si>
  <si>
    <t>Count of Order ID</t>
  </si>
  <si>
    <t>Column Labels</t>
  </si>
  <si>
    <t>Flipkart E-Commerce Sales Analytics Dashboard</t>
  </si>
  <si>
    <t>TOTAL SALES</t>
  </si>
  <si>
    <t>TOTAL PROFIT</t>
  </si>
  <si>
    <t>TOTAL ORDERS</t>
  </si>
  <si>
    <t>TOTAL QUANTITY</t>
  </si>
  <si>
    <t>AVERAGE ORDER VALUE</t>
  </si>
  <si>
    <t>PROFIT MARGIN</t>
  </si>
  <si>
    <t>Month Start</t>
  </si>
  <si>
    <t xml:space="preserve">Overall Business Performance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</si>
</sst>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mmm/yyyy"/>
    <numFmt numFmtId="166" formatCode="&quot;₹&quot;\ #,##0.00"/>
  </numFmts>
  <fonts count="11" x14ac:knownFonts="1">
    <font>
      <sz val="11"/>
      <color theme="1"/>
      <name val="Calibri"/>
      <family val="2"/>
      <scheme val="minor"/>
    </font>
    <font>
      <b/>
      <sz val="11"/>
      <color theme="1"/>
      <name val="Calibri"/>
      <family val="2"/>
      <scheme val="minor"/>
    </font>
    <font>
      <sz val="11"/>
      <color theme="1"/>
      <name val="Calibri"/>
      <family val="2"/>
      <scheme val="minor"/>
    </font>
    <font>
      <b/>
      <sz val="16"/>
      <color theme="1"/>
      <name val="Calibri"/>
      <family val="2"/>
      <scheme val="minor"/>
    </font>
    <font>
      <b/>
      <u/>
      <sz val="16"/>
      <color theme="1"/>
      <name val="Calibri"/>
      <family val="2"/>
      <scheme val="minor"/>
    </font>
    <font>
      <b/>
      <sz val="20"/>
      <color rgb="FF1F74BA"/>
      <name val="Calibri"/>
      <family val="2"/>
      <scheme val="minor"/>
    </font>
    <font>
      <sz val="20"/>
      <color rgb="FF1F74BA"/>
      <name val="Calibri"/>
      <family val="2"/>
      <scheme val="minor"/>
    </font>
    <font>
      <sz val="20"/>
      <color theme="1"/>
      <name val="Calibri"/>
      <family val="2"/>
      <scheme val="minor"/>
    </font>
    <font>
      <b/>
      <sz val="11"/>
      <color theme="0"/>
      <name val="Calibri"/>
      <family val="2"/>
      <scheme val="minor"/>
    </font>
    <font>
      <sz val="11"/>
      <color theme="0"/>
      <name val="Calibri"/>
      <family val="2"/>
      <scheme val="minor"/>
    </font>
    <font>
      <b/>
      <sz val="16"/>
      <color theme="0"/>
      <name val="Calibri"/>
      <family val="2"/>
      <scheme val="minor"/>
    </font>
  </fonts>
  <fills count="5">
    <fill>
      <patternFill patternType="none"/>
    </fill>
    <fill>
      <patternFill patternType="gray125"/>
    </fill>
    <fill>
      <patternFill patternType="solid">
        <fgColor theme="0"/>
        <bgColor indexed="64"/>
      </patternFill>
    </fill>
    <fill>
      <patternFill patternType="solid">
        <fgColor rgb="FFF8D706"/>
        <bgColor indexed="64"/>
      </patternFill>
    </fill>
    <fill>
      <patternFill patternType="solid">
        <fgColor rgb="FF1F74BA"/>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40">
    <xf numFmtId="0" fontId="0" fillId="0" borderId="0" xfId="0"/>
    <xf numFmtId="14" fontId="0" fillId="0" borderId="0" xfId="0" applyNumberFormat="1"/>
    <xf numFmtId="0" fontId="0" fillId="0" borderId="0" xfId="0" applyAlignment="1">
      <alignment horizontal="center" vertical="center" wrapText="1"/>
    </xf>
    <xf numFmtId="0" fontId="1" fillId="0" borderId="0" xfId="0" applyFont="1" applyAlignment="1">
      <alignment horizontal="center" vertical="center" wrapText="1"/>
    </xf>
    <xf numFmtId="49" fontId="0" fillId="0" borderId="0" xfId="0" applyNumberFormat="1"/>
    <xf numFmtId="2" fontId="0" fillId="0" borderId="0" xfId="0" applyNumberFormat="1"/>
    <xf numFmtId="1" fontId="0" fillId="0" borderId="0" xfId="0" applyNumberFormat="1"/>
    <xf numFmtId="0" fontId="0" fillId="0" borderId="0" xfId="0" applyAlignment="1">
      <alignment horizontal="center"/>
    </xf>
    <xf numFmtId="0" fontId="0" fillId="0" borderId="0" xfId="0" applyAlignment="1">
      <alignment horizontal="center" vertical="center"/>
    </xf>
    <xf numFmtId="10" fontId="0" fillId="0" borderId="0" xfId="1" applyNumberFormat="1" applyFont="1"/>
    <xf numFmtId="0" fontId="1" fillId="0" borderId="1" xfId="0" applyFont="1" applyBorder="1" applyAlignment="1">
      <alignment horizontal="center"/>
    </xf>
    <xf numFmtId="0" fontId="0" fillId="0" borderId="1" xfId="0" applyBorder="1" applyAlignment="1">
      <alignment horizontal="center"/>
    </xf>
    <xf numFmtId="0" fontId="4" fillId="0" borderId="1" xfId="0" applyFont="1" applyBorder="1" applyAlignment="1">
      <alignment horizontal="center" vertical="center"/>
    </xf>
    <xf numFmtId="2" fontId="0" fillId="0" borderId="1" xfId="0" applyNumberFormat="1" applyBorder="1" applyAlignment="1">
      <alignment horizontal="center"/>
    </xf>
    <xf numFmtId="1" fontId="0" fillId="0" borderId="1" xfId="0" applyNumberFormat="1" applyBorder="1" applyAlignment="1">
      <alignment horizontal="center"/>
    </xf>
    <xf numFmtId="164" fontId="0" fillId="0" borderId="1" xfId="0" applyNumberFormat="1" applyBorder="1" applyAlignment="1">
      <alignment horizontal="center"/>
    </xf>
    <xf numFmtId="10" fontId="0" fillId="0" borderId="1" xfId="1" applyNumberFormat="1" applyFont="1" applyBorder="1" applyAlignment="1">
      <alignment horizontal="center"/>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0" xfId="0" pivotButton="1"/>
    <xf numFmtId="0" fontId="0" fillId="0" borderId="0" xfId="0" applyAlignment="1">
      <alignment horizontal="left"/>
    </xf>
    <xf numFmtId="165" fontId="0" fillId="0" borderId="0" xfId="0" applyNumberFormat="1"/>
    <xf numFmtId="165" fontId="0" fillId="0" borderId="0" xfId="0" applyNumberFormat="1" applyAlignment="1">
      <alignment horizontal="left"/>
    </xf>
    <xf numFmtId="0" fontId="0" fillId="2" borderId="0" xfId="0" applyFill="1"/>
    <xf numFmtId="0" fontId="0" fillId="3" borderId="0" xfId="0" applyFill="1"/>
    <xf numFmtId="0" fontId="5" fillId="3" borderId="0" xfId="0" applyFont="1" applyFill="1" applyAlignment="1">
      <alignment horizontal="center" vertical="center"/>
    </xf>
    <xf numFmtId="0" fontId="0" fillId="3" borderId="0" xfId="0" applyFill="1" applyAlignment="1">
      <alignment horizontal="center" vertical="center"/>
    </xf>
    <xf numFmtId="0" fontId="6" fillId="3" borderId="0" xfId="0" applyFont="1" applyFill="1" applyAlignment="1">
      <alignment horizontal="center"/>
    </xf>
    <xf numFmtId="0" fontId="7" fillId="3" borderId="0" xfId="0" applyFont="1" applyFill="1" applyAlignment="1">
      <alignment horizontal="center"/>
    </xf>
    <xf numFmtId="0" fontId="8" fillId="4" borderId="1" xfId="0" applyFont="1" applyFill="1" applyBorder="1" applyAlignment="1">
      <alignment horizontal="center"/>
    </xf>
    <xf numFmtId="0" fontId="9" fillId="4" borderId="1" xfId="0" applyFont="1" applyFill="1" applyBorder="1" applyAlignment="1">
      <alignment horizontal="center"/>
    </xf>
    <xf numFmtId="1" fontId="10" fillId="4" borderId="1" xfId="0" applyNumberFormat="1" applyFont="1" applyFill="1" applyBorder="1" applyAlignment="1">
      <alignment horizontal="center" vertical="center"/>
    </xf>
    <xf numFmtId="0" fontId="10" fillId="4" borderId="1" xfId="0" applyFont="1" applyFill="1" applyBorder="1" applyAlignment="1">
      <alignment horizontal="center" vertical="center"/>
    </xf>
    <xf numFmtId="2" fontId="10" fillId="4" borderId="1" xfId="0" applyNumberFormat="1" applyFont="1" applyFill="1" applyBorder="1" applyAlignment="1">
      <alignment horizontal="center" vertical="center"/>
    </xf>
    <xf numFmtId="10" fontId="10" fillId="4" borderId="1" xfId="0" applyNumberFormat="1" applyFont="1" applyFill="1" applyBorder="1" applyAlignment="1">
      <alignment horizontal="center" vertical="center"/>
    </xf>
    <xf numFmtId="2" fontId="8" fillId="4" borderId="1" xfId="0" applyNumberFormat="1" applyFont="1" applyFill="1" applyBorder="1" applyAlignment="1">
      <alignment horizontal="center" vertical="center"/>
    </xf>
    <xf numFmtId="0" fontId="8" fillId="4" borderId="1" xfId="0" applyFont="1" applyFill="1" applyBorder="1" applyAlignment="1">
      <alignment horizontal="center" vertical="center"/>
    </xf>
    <xf numFmtId="166" fontId="10" fillId="4" borderId="1" xfId="0" applyNumberFormat="1" applyFont="1" applyFill="1" applyBorder="1" applyAlignment="1">
      <alignment horizontal="center" vertical="center"/>
    </xf>
    <xf numFmtId="0" fontId="3" fillId="0" borderId="1" xfId="0" applyFont="1" applyBorder="1" applyAlignment="1">
      <alignment horizontal="center"/>
    </xf>
    <xf numFmtId="0" fontId="0" fillId="0" borderId="0" xfId="0" applyNumberFormat="1"/>
  </cellXfs>
  <cellStyles count="2">
    <cellStyle name="Normal" xfId="0" builtinId="0"/>
    <cellStyle name="Percent" xfId="1" builtinId="5"/>
  </cellStyles>
  <dxfs count="31">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65" formatCode="mmm/yyyy"/>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2" formatCode="0.00"/>
    </dxf>
    <dxf>
      <numFmt numFmtId="1" formatCode="0"/>
    </dxf>
    <dxf>
      <numFmt numFmtId="2" formatCode="0.00"/>
    </dxf>
    <dxf>
      <numFmt numFmtId="30" formatCode="@"/>
    </dxf>
    <dxf>
      <numFmt numFmtId="30" formatCode="@"/>
    </dxf>
    <dxf>
      <numFmt numFmtId="30" formatCode="@"/>
    </dxf>
  </dxfs>
  <tableStyles count="0" defaultTableStyle="TableStyleMedium2" defaultPivotStyle="PivotStyleLight16"/>
  <colors>
    <mruColors>
      <color rgb="FFF8D706"/>
      <color rgb="FF1F74BA"/>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Sales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5"/>
              <c:pt idx="0">
                <c:v>Beauty</c:v>
              </c:pt>
              <c:pt idx="1">
                <c:v>Books</c:v>
              </c:pt>
              <c:pt idx="2">
                <c:v>Clothing</c:v>
              </c:pt>
              <c:pt idx="3">
                <c:v>Electronics</c:v>
              </c:pt>
              <c:pt idx="4">
                <c:v>Home &amp; Kitchen</c:v>
              </c:pt>
            </c:strLit>
          </c:cat>
          <c:val>
            <c:numLit>
              <c:formatCode>General</c:formatCode>
              <c:ptCount val="5"/>
              <c:pt idx="0">
                <c:v>14680584.049999993</c:v>
              </c:pt>
              <c:pt idx="1">
                <c:v>14785759.65</c:v>
              </c:pt>
              <c:pt idx="2">
                <c:v>15114386.860000003</c:v>
              </c:pt>
              <c:pt idx="3">
                <c:v>17307173.069999997</c:v>
              </c:pt>
              <c:pt idx="4">
                <c:v>13325209.109999994</c:v>
              </c:pt>
            </c:numLit>
          </c:val>
          <c:extLst>
            <c:ext xmlns:c16="http://schemas.microsoft.com/office/drawing/2014/chart" uri="{C3380CC4-5D6E-409C-BE32-E72D297353CC}">
              <c16:uniqueId val="{00000000-364F-49BF-B33E-E601DD033E9C}"/>
            </c:ext>
          </c:extLst>
        </c:ser>
        <c:dLbls>
          <c:showLegendKey val="0"/>
          <c:showVal val="0"/>
          <c:showCatName val="0"/>
          <c:showSerName val="0"/>
          <c:showPercent val="0"/>
          <c:showBubbleSize val="0"/>
        </c:dLbls>
        <c:gapWidth val="219"/>
        <c:axId val="1661711744"/>
        <c:axId val="1683157040"/>
      </c:barChart>
      <c:catAx>
        <c:axId val="1661711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Category</a:t>
                </a:r>
              </a:p>
            </c:rich>
          </c:tx>
          <c:layout>
            <c:manualLayout>
              <c:xMode val="edge"/>
              <c:yMode val="edge"/>
              <c:x val="0.535510126569536"/>
              <c:y val="0.7626039566007233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157040"/>
        <c:crosses val="autoZero"/>
        <c:auto val="1"/>
        <c:lblAlgn val="ctr"/>
        <c:lblOffset val="100"/>
        <c:noMultiLvlLbl val="0"/>
      </c:catAx>
      <c:valAx>
        <c:axId val="16831570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 (INR)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71174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Sales by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4"/>
              <c:pt idx="0">
                <c:v>North</c:v>
              </c:pt>
              <c:pt idx="1">
                <c:v>South</c:v>
              </c:pt>
              <c:pt idx="2">
                <c:v>West</c:v>
              </c:pt>
              <c:pt idx="3">
                <c:v>East</c:v>
              </c:pt>
            </c:strLit>
          </c:cat>
          <c:val>
            <c:numLit>
              <c:formatCode>General</c:formatCode>
              <c:ptCount val="4"/>
              <c:pt idx="0">
                <c:v>20289991.86999999</c:v>
              </c:pt>
              <c:pt idx="1">
                <c:v>19862508.710000016</c:v>
              </c:pt>
              <c:pt idx="2">
                <c:v>18392767.899999999</c:v>
              </c:pt>
              <c:pt idx="3">
                <c:v>16667844.25999999</c:v>
              </c:pt>
            </c:numLit>
          </c:val>
          <c:extLst>
            <c:ext xmlns:c16="http://schemas.microsoft.com/office/drawing/2014/chart" uri="{C3380CC4-5D6E-409C-BE32-E72D297353CC}">
              <c16:uniqueId val="{00000000-E0AC-407A-B796-33D111F8995E}"/>
            </c:ext>
          </c:extLst>
        </c:ser>
        <c:dLbls>
          <c:showLegendKey val="0"/>
          <c:showVal val="0"/>
          <c:showCatName val="0"/>
          <c:showSerName val="0"/>
          <c:showPercent val="0"/>
          <c:showBubbleSize val="0"/>
        </c:dLbls>
        <c:gapWidth val="182"/>
        <c:axId val="1800363296"/>
        <c:axId val="1683131600"/>
      </c:barChart>
      <c:catAx>
        <c:axId val="1800363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131600"/>
        <c:crosses val="autoZero"/>
        <c:auto val="1"/>
        <c:lblAlgn val="ctr"/>
        <c:lblOffset val="100"/>
        <c:noMultiLvlLbl val="0"/>
      </c:catAx>
      <c:valAx>
        <c:axId val="16831316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363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Sales by Customer Segment</a:t>
            </a:r>
            <a:endParaRPr lang="en-IN"/>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F77-40D0-AB26-227CF204F76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F77-40D0-AB26-227CF204F76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F77-40D0-AB26-227CF204F76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Lit>
              <c:ptCount val="3"/>
              <c:pt idx="0">
                <c:v>Wholesale</c:v>
              </c:pt>
              <c:pt idx="1">
                <c:v>Online</c:v>
              </c:pt>
              <c:pt idx="2">
                <c:v>Retail</c:v>
              </c:pt>
            </c:strLit>
          </c:cat>
          <c:val>
            <c:numLit>
              <c:formatCode>General</c:formatCode>
              <c:ptCount val="3"/>
              <c:pt idx="0">
                <c:v>25732035.670000002</c:v>
              </c:pt>
              <c:pt idx="1">
                <c:v>25169884.129999977</c:v>
              </c:pt>
              <c:pt idx="2">
                <c:v>24311192.940000031</c:v>
              </c:pt>
            </c:numLit>
          </c:val>
          <c:extLst>
            <c:ext xmlns:c16="http://schemas.microsoft.com/office/drawing/2014/chart" uri="{C3380CC4-5D6E-409C-BE32-E72D297353CC}">
              <c16:uniqueId val="{00000006-4F77-40D0-AB26-227CF204F76E}"/>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r>
              <a:rPr lang="en-IN" b="1"/>
              <a:t>Sales by Payment Method</a:t>
            </a:r>
          </a:p>
          <a:p>
            <a:pPr marL="0" marR="0" lvl="0" indent="0" algn="ctr" defTabSz="914400" rtl="0" eaLnBrk="1" fontAlgn="auto" latinLnBrk="0" hangingPunct="1">
              <a:lnSpc>
                <a:spcPct val="100000"/>
              </a:lnSpc>
              <a:spcBef>
                <a:spcPts val="0"/>
              </a:spcBef>
              <a:spcAft>
                <a:spcPts val="0"/>
              </a:spcAft>
              <a:buClrTx/>
              <a:buSzTx/>
              <a:buFontTx/>
              <a:buNone/>
              <a:tabLst/>
              <a:defRPr b="1">
                <a:solidFill>
                  <a:sysClr val="windowText" lastClr="000000">
                    <a:lumMod val="65000"/>
                    <a:lumOff val="35000"/>
                  </a:sysClr>
                </a:solidFill>
              </a:defRPr>
            </a:pPr>
            <a:endParaRPr lang="en-US" b="1"/>
          </a:p>
        </c:rich>
      </c:tx>
      <c:layout>
        <c:manualLayout>
          <c:xMode val="edge"/>
          <c:yMode val="edge"/>
          <c:x val="2.698031814728071E-4"/>
          <c:y val="4.9228125046518485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Wallet</c:v>
              </c:pt>
              <c:pt idx="1">
                <c:v>Net Banking</c:v>
              </c:pt>
              <c:pt idx="2">
                <c:v>UPI</c:v>
              </c:pt>
              <c:pt idx="3">
                <c:v>COD</c:v>
              </c:pt>
              <c:pt idx="4">
                <c:v>Debit Card</c:v>
              </c:pt>
              <c:pt idx="5">
                <c:v>Credit Card</c:v>
              </c:pt>
            </c:strLit>
          </c:cat>
          <c:val>
            <c:numLit>
              <c:formatCode>General</c:formatCode>
              <c:ptCount val="6"/>
              <c:pt idx="0">
                <c:v>13446764.160000008</c:v>
              </c:pt>
              <c:pt idx="1">
                <c:v>13219947.519999994</c:v>
              </c:pt>
              <c:pt idx="2">
                <c:v>12790919.480000006</c:v>
              </c:pt>
              <c:pt idx="3">
                <c:v>12457136.549999999</c:v>
              </c:pt>
              <c:pt idx="4">
                <c:v>12142559.039999995</c:v>
              </c:pt>
              <c:pt idx="5">
                <c:v>11155785.989999996</c:v>
              </c:pt>
            </c:numLit>
          </c:val>
          <c:extLst>
            <c:ext xmlns:c16="http://schemas.microsoft.com/office/drawing/2014/chart" uri="{C3380CC4-5D6E-409C-BE32-E72D297353CC}">
              <c16:uniqueId val="{00000000-D1DF-4533-883F-176169EB158F}"/>
            </c:ext>
          </c:extLst>
        </c:ser>
        <c:dLbls>
          <c:dLblPos val="outEnd"/>
          <c:showLegendKey val="0"/>
          <c:showVal val="1"/>
          <c:showCatName val="0"/>
          <c:showSerName val="0"/>
          <c:showPercent val="0"/>
          <c:showBubbleSize val="0"/>
        </c:dLbls>
        <c:gapWidth val="219"/>
        <c:overlap val="-27"/>
        <c:axId val="1661722416"/>
        <c:axId val="1683133040"/>
      </c:barChart>
      <c:catAx>
        <c:axId val="166172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133040"/>
        <c:crosses val="autoZero"/>
        <c:auto val="1"/>
        <c:lblAlgn val="ctr"/>
        <c:lblOffset val="100"/>
        <c:noMultiLvlLbl val="0"/>
      </c:catAx>
      <c:valAx>
        <c:axId val="1683133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722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Top 10 Products by Sales</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10"/>
              <c:pt idx="0">
                <c:v>Educational Book</c:v>
              </c:pt>
              <c:pt idx="1">
                <c:v>Laptop</c:v>
              </c:pt>
              <c:pt idx="2">
                <c:v>Table Lamp</c:v>
              </c:pt>
              <c:pt idx="3">
                <c:v>Headphones</c:v>
              </c:pt>
              <c:pt idx="4">
                <c:v>Jeans</c:v>
              </c:pt>
              <c:pt idx="5">
                <c:v>Smartwatch</c:v>
              </c:pt>
              <c:pt idx="6">
                <c:v>Face Cream</c:v>
              </c:pt>
              <c:pt idx="7">
                <c:v>Perfume</c:v>
              </c:pt>
              <c:pt idx="8">
                <c:v>Fiction Novel</c:v>
              </c:pt>
              <c:pt idx="9">
                <c:v>Jacket</c:v>
              </c:pt>
            </c:strLit>
          </c:cat>
          <c:val>
            <c:numLit>
              <c:formatCode>General</c:formatCode>
              <c:ptCount val="10"/>
              <c:pt idx="0">
                <c:v>4522055.3499999996</c:v>
              </c:pt>
              <c:pt idx="1">
                <c:v>4132783.7199999997</c:v>
              </c:pt>
              <c:pt idx="2">
                <c:v>3986691.68</c:v>
              </c:pt>
              <c:pt idx="3">
                <c:v>3722765.2699999991</c:v>
              </c:pt>
              <c:pt idx="4">
                <c:v>3685259.6</c:v>
              </c:pt>
              <c:pt idx="5">
                <c:v>3680177.8000000007</c:v>
              </c:pt>
              <c:pt idx="6">
                <c:v>3646816.9700000016</c:v>
              </c:pt>
              <c:pt idx="7">
                <c:v>3266905.7499999991</c:v>
              </c:pt>
              <c:pt idx="8">
                <c:v>3172999.9099999988</c:v>
              </c:pt>
              <c:pt idx="9">
                <c:v>3161049.05</c:v>
              </c:pt>
            </c:numLit>
          </c:val>
          <c:extLst>
            <c:ext xmlns:c16="http://schemas.microsoft.com/office/drawing/2014/chart" uri="{C3380CC4-5D6E-409C-BE32-E72D297353CC}">
              <c16:uniqueId val="{00000000-D013-480C-8892-02B842A67F52}"/>
            </c:ext>
          </c:extLst>
        </c:ser>
        <c:dLbls>
          <c:showLegendKey val="0"/>
          <c:showVal val="0"/>
          <c:showCatName val="0"/>
          <c:showSerName val="0"/>
          <c:showPercent val="0"/>
          <c:showBubbleSize val="0"/>
        </c:dLbls>
        <c:gapWidth val="182"/>
        <c:axId val="1753190064"/>
        <c:axId val="1683219440"/>
      </c:barChart>
      <c:catAx>
        <c:axId val="1753190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219440"/>
        <c:crosses val="autoZero"/>
        <c:auto val="1"/>
        <c:lblAlgn val="ctr"/>
        <c:lblOffset val="100"/>
        <c:noMultiLvlLbl val="0"/>
      </c:catAx>
      <c:valAx>
        <c:axId val="16832194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190064"/>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Monthly Sales &amp; Profit Trend</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Sum of Total Sales (INR)</c:v>
          </c:tx>
          <c:spPr>
            <a:ln w="28575" cap="rnd">
              <a:solidFill>
                <a:schemeClr val="accent1"/>
              </a:solidFill>
              <a:round/>
            </a:ln>
            <a:effectLst/>
          </c:spPr>
          <c:marker>
            <c:symbol val="none"/>
          </c:marker>
          <c:cat>
            <c:strLit>
              <c:ptCount val="13"/>
              <c:pt idx="0">
                <c:v>Feb-2024</c:v>
              </c:pt>
              <c:pt idx="1">
                <c:v>Mar-2024</c:v>
              </c:pt>
              <c:pt idx="2">
                <c:v>Apr-2024</c:v>
              </c:pt>
              <c:pt idx="3">
                <c:v>May-2024</c:v>
              </c:pt>
              <c:pt idx="4">
                <c:v>Jun-2024</c:v>
              </c:pt>
              <c:pt idx="5">
                <c:v>Jul-2024</c:v>
              </c:pt>
              <c:pt idx="6">
                <c:v>Aug-2024</c:v>
              </c:pt>
              <c:pt idx="7">
                <c:v>Sep-2024</c:v>
              </c:pt>
              <c:pt idx="8">
                <c:v>Oct-2024</c:v>
              </c:pt>
              <c:pt idx="9">
                <c:v>Nov-2024</c:v>
              </c:pt>
              <c:pt idx="10">
                <c:v>Dec-2024</c:v>
              </c:pt>
              <c:pt idx="11">
                <c:v>Jan-2025</c:v>
              </c:pt>
              <c:pt idx="12">
                <c:v>Feb-2025</c:v>
              </c:pt>
            </c:strLit>
          </c:cat>
          <c:val>
            <c:numLit>
              <c:formatCode>General</c:formatCode>
              <c:ptCount val="13"/>
              <c:pt idx="0">
                <c:v>3910477.01</c:v>
              </c:pt>
              <c:pt idx="1">
                <c:v>6508879.0399999991</c:v>
              </c:pt>
              <c:pt idx="2">
                <c:v>7334962.9200000009</c:v>
              </c:pt>
              <c:pt idx="3">
                <c:v>6706004.9699999979</c:v>
              </c:pt>
              <c:pt idx="4">
                <c:v>4992364.7500000009</c:v>
              </c:pt>
              <c:pt idx="5">
                <c:v>7637324.9500000011</c:v>
              </c:pt>
              <c:pt idx="6">
                <c:v>5418893.9799999995</c:v>
              </c:pt>
              <c:pt idx="7">
                <c:v>6264222.3099999996</c:v>
              </c:pt>
              <c:pt idx="8">
                <c:v>5702923.370000001</c:v>
              </c:pt>
              <c:pt idx="9">
                <c:v>5578535.0799999991</c:v>
              </c:pt>
              <c:pt idx="10">
                <c:v>6491639.9899999993</c:v>
              </c:pt>
              <c:pt idx="11">
                <c:v>7160788.1699999999</c:v>
              </c:pt>
              <c:pt idx="12">
                <c:v>1506096.2000000004</c:v>
              </c:pt>
            </c:numLit>
          </c:val>
          <c:smooth val="0"/>
          <c:extLst>
            <c:ext xmlns:c16="http://schemas.microsoft.com/office/drawing/2014/chart" uri="{C3380CC4-5D6E-409C-BE32-E72D297353CC}">
              <c16:uniqueId val="{00000000-ABF7-41EA-9171-5604988D4B69}"/>
            </c:ext>
          </c:extLst>
        </c:ser>
        <c:ser>
          <c:idx val="1"/>
          <c:order val="1"/>
          <c:tx>
            <c:v>Sum of Profit (INR)</c:v>
          </c:tx>
          <c:spPr>
            <a:ln w="28575" cap="rnd">
              <a:solidFill>
                <a:schemeClr val="accent2"/>
              </a:solidFill>
              <a:round/>
            </a:ln>
            <a:effectLst/>
          </c:spPr>
          <c:marker>
            <c:symbol val="none"/>
          </c:marker>
          <c:cat>
            <c:strLit>
              <c:ptCount val="13"/>
              <c:pt idx="0">
                <c:v>Feb-2024</c:v>
              </c:pt>
              <c:pt idx="1">
                <c:v>Mar-2024</c:v>
              </c:pt>
              <c:pt idx="2">
                <c:v>Apr-2024</c:v>
              </c:pt>
              <c:pt idx="3">
                <c:v>May-2024</c:v>
              </c:pt>
              <c:pt idx="4">
                <c:v>Jun-2024</c:v>
              </c:pt>
              <c:pt idx="5">
                <c:v>Jul-2024</c:v>
              </c:pt>
              <c:pt idx="6">
                <c:v>Aug-2024</c:v>
              </c:pt>
              <c:pt idx="7">
                <c:v>Sep-2024</c:v>
              </c:pt>
              <c:pt idx="8">
                <c:v>Oct-2024</c:v>
              </c:pt>
              <c:pt idx="9">
                <c:v>Nov-2024</c:v>
              </c:pt>
              <c:pt idx="10">
                <c:v>Dec-2024</c:v>
              </c:pt>
              <c:pt idx="11">
                <c:v>Jan-2025</c:v>
              </c:pt>
              <c:pt idx="12">
                <c:v>Feb-2025</c:v>
              </c:pt>
            </c:strLit>
          </c:cat>
          <c:val>
            <c:numLit>
              <c:formatCode>General</c:formatCode>
              <c:ptCount val="13"/>
              <c:pt idx="0">
                <c:v>782095.40200000012</c:v>
              </c:pt>
              <c:pt idx="1">
                <c:v>1301775.8079999997</c:v>
              </c:pt>
              <c:pt idx="2">
                <c:v>1466992.5839999996</c:v>
              </c:pt>
              <c:pt idx="3">
                <c:v>1341200.9940000006</c:v>
              </c:pt>
              <c:pt idx="4">
                <c:v>998472.95</c:v>
              </c:pt>
              <c:pt idx="5">
                <c:v>1527464.9899999998</c:v>
              </c:pt>
              <c:pt idx="6">
                <c:v>1083778.7960000001</c:v>
              </c:pt>
              <c:pt idx="7">
                <c:v>1252844.4620000001</c:v>
              </c:pt>
              <c:pt idx="8">
                <c:v>1140584.6740000001</c:v>
              </c:pt>
              <c:pt idx="9">
                <c:v>1115707.0160000001</c:v>
              </c:pt>
              <c:pt idx="10">
                <c:v>1298327.9979999997</c:v>
              </c:pt>
              <c:pt idx="11">
                <c:v>1432157.6340000003</c:v>
              </c:pt>
              <c:pt idx="12">
                <c:v>301219.24000000005</c:v>
              </c:pt>
            </c:numLit>
          </c:val>
          <c:smooth val="0"/>
          <c:extLst>
            <c:ext xmlns:c16="http://schemas.microsoft.com/office/drawing/2014/chart" uri="{C3380CC4-5D6E-409C-BE32-E72D297353CC}">
              <c16:uniqueId val="{00000001-ABF7-41EA-9171-5604988D4B69}"/>
            </c:ext>
          </c:extLst>
        </c:ser>
        <c:dLbls>
          <c:showLegendKey val="0"/>
          <c:showVal val="0"/>
          <c:showCatName val="0"/>
          <c:showSerName val="0"/>
          <c:showPercent val="0"/>
          <c:showBubbleSize val="0"/>
        </c:dLbls>
        <c:smooth val="0"/>
        <c:axId val="1800388816"/>
        <c:axId val="1683162800"/>
      </c:lineChart>
      <c:catAx>
        <c:axId val="180038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162800"/>
        <c:crosses val="autoZero"/>
        <c:auto val="1"/>
        <c:lblAlgn val="ctr"/>
        <c:lblOffset val="100"/>
        <c:noMultiLvlLbl val="0"/>
      </c:catAx>
      <c:valAx>
        <c:axId val="1683162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388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18</xdr:col>
      <xdr:colOff>220980</xdr:colOff>
      <xdr:row>38</xdr:row>
      <xdr:rowOff>40640</xdr:rowOff>
    </xdr:from>
    <xdr:to>
      <xdr:col>22</xdr:col>
      <xdr:colOff>292100</xdr:colOff>
      <xdr:row>44</xdr:row>
      <xdr:rowOff>14922</xdr:rowOff>
    </xdr:to>
    <mc:AlternateContent xmlns:mc="http://schemas.openxmlformats.org/markup-compatibility/2006" xmlns:a14="http://schemas.microsoft.com/office/drawing/2010/main">
      <mc:Choice Requires="a14">
        <xdr:graphicFrame macro="">
          <xdr:nvGraphicFramePr>
            <xdr:cNvPr id="2" name="Year 1">
              <a:extLst>
                <a:ext uri="{FF2B5EF4-FFF2-40B4-BE49-F238E27FC236}">
                  <a16:creationId xmlns:a16="http://schemas.microsoft.com/office/drawing/2014/main" id="{DB063AFB-E126-434C-BB9C-931FEC47FFA7}"/>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1193780" y="7101840"/>
              <a:ext cx="1821657" cy="10410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187960</xdr:colOff>
      <xdr:row>14</xdr:row>
      <xdr:rowOff>22860</xdr:rowOff>
    </xdr:from>
    <xdr:to>
      <xdr:col>22</xdr:col>
      <xdr:colOff>342900</xdr:colOff>
      <xdr:row>23</xdr:row>
      <xdr:rowOff>84613</xdr:rowOff>
    </xdr:to>
    <mc:AlternateContent xmlns:mc="http://schemas.openxmlformats.org/markup-compatibility/2006" xmlns:a14="http://schemas.microsoft.com/office/drawing/2010/main">
      <mc:Choice Requires="a14">
        <xdr:graphicFrame macro="">
          <xdr:nvGraphicFramePr>
            <xdr:cNvPr id="3" name="Category 1">
              <a:extLst>
                <a:ext uri="{FF2B5EF4-FFF2-40B4-BE49-F238E27FC236}">
                  <a16:creationId xmlns:a16="http://schemas.microsoft.com/office/drawing/2014/main" id="{EB962355-1678-434E-BDED-EEC8B1BC7DB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160760" y="2816860"/>
              <a:ext cx="1828800" cy="16619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205740</xdr:colOff>
      <xdr:row>23</xdr:row>
      <xdr:rowOff>129540</xdr:rowOff>
    </xdr:from>
    <xdr:to>
      <xdr:col>22</xdr:col>
      <xdr:colOff>317500</xdr:colOff>
      <xdr:row>31</xdr:row>
      <xdr:rowOff>71438</xdr:rowOff>
    </xdr:to>
    <mc:AlternateContent xmlns:mc="http://schemas.openxmlformats.org/markup-compatibility/2006" xmlns:a14="http://schemas.microsoft.com/office/drawing/2010/main">
      <mc:Choice Requires="a14">
        <xdr:graphicFrame macro="">
          <xdr:nvGraphicFramePr>
            <xdr:cNvPr id="4" name="Region 1">
              <a:extLst>
                <a:ext uri="{FF2B5EF4-FFF2-40B4-BE49-F238E27FC236}">
                  <a16:creationId xmlns:a16="http://schemas.microsoft.com/office/drawing/2014/main" id="{5BE64B89-2997-49F1-BDDB-4A2C93A41EC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178540" y="4523740"/>
              <a:ext cx="1828800" cy="13642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193040</xdr:colOff>
      <xdr:row>31</xdr:row>
      <xdr:rowOff>132080</xdr:rowOff>
    </xdr:from>
    <xdr:to>
      <xdr:col>22</xdr:col>
      <xdr:colOff>317500</xdr:colOff>
      <xdr:row>37</xdr:row>
      <xdr:rowOff>176455</xdr:rowOff>
    </xdr:to>
    <mc:AlternateContent xmlns:mc="http://schemas.openxmlformats.org/markup-compatibility/2006" xmlns:a14="http://schemas.microsoft.com/office/drawing/2010/main">
      <mc:Choice Requires="a14">
        <xdr:graphicFrame macro="">
          <xdr:nvGraphicFramePr>
            <xdr:cNvPr id="5" name="Customer Segment 1">
              <a:extLst>
                <a:ext uri="{FF2B5EF4-FFF2-40B4-BE49-F238E27FC236}">
                  <a16:creationId xmlns:a16="http://schemas.microsoft.com/office/drawing/2014/main" id="{B76497F9-2CC5-4901-9771-2579061300F3}"/>
                </a:ext>
              </a:extLst>
            </xdr:cNvPr>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mlns="">
        <xdr:sp macro="" textlink="">
          <xdr:nvSpPr>
            <xdr:cNvPr id="0" name=""/>
            <xdr:cNvSpPr>
              <a:spLocks noTextEdit="1"/>
            </xdr:cNvSpPr>
          </xdr:nvSpPr>
          <xdr:spPr>
            <a:xfrm>
              <a:off x="11165840" y="5948680"/>
              <a:ext cx="1828800" cy="1111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6</xdr:row>
      <xdr:rowOff>86360</xdr:rowOff>
    </xdr:from>
    <xdr:to>
      <xdr:col>6</xdr:col>
      <xdr:colOff>3642</xdr:colOff>
      <xdr:row>19</xdr:row>
      <xdr:rowOff>159155</xdr:rowOff>
    </xdr:to>
    <xdr:graphicFrame macro="">
      <xdr:nvGraphicFramePr>
        <xdr:cNvPr id="7" name="Sales by Category">
          <a:extLst>
            <a:ext uri="{FF2B5EF4-FFF2-40B4-BE49-F238E27FC236}">
              <a16:creationId xmlns:a16="http://schemas.microsoft.com/office/drawing/2014/main" id="{8FF622B2-7173-424A-8980-B14F8519F7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87086</xdr:colOff>
      <xdr:row>6</xdr:row>
      <xdr:rowOff>85271</xdr:rowOff>
    </xdr:from>
    <xdr:to>
      <xdr:col>12</xdr:col>
      <xdr:colOff>14412</xdr:colOff>
      <xdr:row>20</xdr:row>
      <xdr:rowOff>2866</xdr:rowOff>
    </xdr:to>
    <xdr:graphicFrame macro="">
      <xdr:nvGraphicFramePr>
        <xdr:cNvPr id="8" name="Chart 7">
          <a:extLst>
            <a:ext uri="{FF2B5EF4-FFF2-40B4-BE49-F238E27FC236}">
              <a16:creationId xmlns:a16="http://schemas.microsoft.com/office/drawing/2014/main" id="{5F86013A-1B68-41CF-85E0-92E0A2AC66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198036</xdr:colOff>
      <xdr:row>6</xdr:row>
      <xdr:rowOff>81642</xdr:rowOff>
    </xdr:from>
    <xdr:to>
      <xdr:col>18</xdr:col>
      <xdr:colOff>69222</xdr:colOff>
      <xdr:row>19</xdr:row>
      <xdr:rowOff>145143</xdr:rowOff>
    </xdr:to>
    <xdr:graphicFrame macro="">
      <xdr:nvGraphicFramePr>
        <xdr:cNvPr id="9" name="Chart 6">
          <a:extLst>
            <a:ext uri="{FF2B5EF4-FFF2-40B4-BE49-F238E27FC236}">
              <a16:creationId xmlns:a16="http://schemas.microsoft.com/office/drawing/2014/main" id="{67227D0F-9565-4A47-B4CD-12002BB95D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12700</xdr:colOff>
      <xdr:row>20</xdr:row>
      <xdr:rowOff>48986</xdr:rowOff>
    </xdr:from>
    <xdr:to>
      <xdr:col>5</xdr:col>
      <xdr:colOff>602342</xdr:colOff>
      <xdr:row>33</xdr:row>
      <xdr:rowOff>172357</xdr:rowOff>
    </xdr:to>
    <xdr:graphicFrame macro="">
      <xdr:nvGraphicFramePr>
        <xdr:cNvPr id="12" name="Chart 7">
          <a:extLst>
            <a:ext uri="{FF2B5EF4-FFF2-40B4-BE49-F238E27FC236}">
              <a16:creationId xmlns:a16="http://schemas.microsoft.com/office/drawing/2014/main" id="{A8304556-7470-478D-B184-F4231345E5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101600</xdr:colOff>
      <xdr:row>20</xdr:row>
      <xdr:rowOff>43541</xdr:rowOff>
    </xdr:from>
    <xdr:to>
      <xdr:col>18</xdr:col>
      <xdr:colOff>113381</xdr:colOff>
      <xdr:row>34</xdr:row>
      <xdr:rowOff>0</xdr:rowOff>
    </xdr:to>
    <xdr:graphicFrame macro="">
      <xdr:nvGraphicFramePr>
        <xdr:cNvPr id="13" name="Chart 12">
          <a:extLst>
            <a:ext uri="{FF2B5EF4-FFF2-40B4-BE49-F238E27FC236}">
              <a16:creationId xmlns:a16="http://schemas.microsoft.com/office/drawing/2014/main" id="{A00AE610-584E-437B-80B5-22D928CD81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34</xdr:row>
      <xdr:rowOff>25401</xdr:rowOff>
    </xdr:from>
    <xdr:to>
      <xdr:col>18</xdr:col>
      <xdr:colOff>101600</xdr:colOff>
      <xdr:row>44</xdr:row>
      <xdr:rowOff>1</xdr:rowOff>
    </xdr:to>
    <xdr:graphicFrame macro="">
      <xdr:nvGraphicFramePr>
        <xdr:cNvPr id="14" name="Chart 13">
          <a:extLst>
            <a:ext uri="{FF2B5EF4-FFF2-40B4-BE49-F238E27FC236}">
              <a16:creationId xmlns:a16="http://schemas.microsoft.com/office/drawing/2014/main" id="{CA6DA4F6-00B5-4BD5-9DAA-538A367E8F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66</xdr:col>
      <xdr:colOff>444501</xdr:colOff>
      <xdr:row>43</xdr:row>
      <xdr:rowOff>127000</xdr:rowOff>
    </xdr:from>
    <xdr:to>
      <xdr:col>66</xdr:col>
      <xdr:colOff>588797</xdr:colOff>
      <xdr:row>44</xdr:row>
      <xdr:rowOff>33407</xdr:rowOff>
    </xdr:to>
    <xdr:sp macro="" textlink="">
      <xdr:nvSpPr>
        <xdr:cNvPr id="10" name="Rectangle: Rounded Corners 9">
          <a:extLst>
            <a:ext uri="{FF2B5EF4-FFF2-40B4-BE49-F238E27FC236}">
              <a16:creationId xmlns:a16="http://schemas.microsoft.com/office/drawing/2014/main" id="{F6924863-46DC-CDBC-B6BA-468EB89ABED8}"/>
            </a:ext>
          </a:extLst>
        </xdr:cNvPr>
        <xdr:cNvSpPr/>
      </xdr:nvSpPr>
      <xdr:spPr>
        <a:xfrm flipH="1" flipV="1">
          <a:off x="40678101" y="8077200"/>
          <a:ext cx="144296" cy="84207"/>
        </a:xfrm>
        <a:prstGeom prst="roundRect">
          <a:avLst/>
        </a:prstGeom>
        <a:noFill/>
        <a:ln>
          <a:solidFill>
            <a:srgbClr val="F8D70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5400" i="1" u="sng">
              <a:solidFill>
                <a:srgbClr val="F8D706"/>
              </a:solidFill>
            </a:rPr>
            <a:t>Flipkart</a:t>
          </a:r>
        </a:p>
      </xdr:txBody>
    </xdr:sp>
    <xdr:clientData/>
  </xdr:twoCellAnchor>
  <xdr:oneCellAnchor>
    <xdr:from>
      <xdr:col>27</xdr:col>
      <xdr:colOff>224118</xdr:colOff>
      <xdr:row>9</xdr:row>
      <xdr:rowOff>134470</xdr:rowOff>
    </xdr:from>
    <xdr:ext cx="184731" cy="264560"/>
    <xdr:sp macro="" textlink="">
      <xdr:nvSpPr>
        <xdr:cNvPr id="16" name="TextBox 15">
          <a:extLst>
            <a:ext uri="{FF2B5EF4-FFF2-40B4-BE49-F238E27FC236}">
              <a16:creationId xmlns:a16="http://schemas.microsoft.com/office/drawing/2014/main" id="{34522838-D84A-421A-D43A-3709B4D98408}"/>
            </a:ext>
          </a:extLst>
        </xdr:cNvPr>
        <xdr:cNvSpPr txBox="1"/>
      </xdr:nvSpPr>
      <xdr:spPr>
        <a:xfrm>
          <a:off x="16764000" y="204694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520700</xdr:colOff>
      <xdr:row>0</xdr:row>
      <xdr:rowOff>0</xdr:rowOff>
    </xdr:from>
    <xdr:to>
      <xdr:col>2</xdr:col>
      <xdr:colOff>254746</xdr:colOff>
      <xdr:row>2</xdr:row>
      <xdr:rowOff>101600</xdr:rowOff>
    </xdr:to>
    <xdr:sp macro="" textlink="">
      <xdr:nvSpPr>
        <xdr:cNvPr id="17" name="Oval 16">
          <a:extLst>
            <a:ext uri="{FF2B5EF4-FFF2-40B4-BE49-F238E27FC236}">
              <a16:creationId xmlns:a16="http://schemas.microsoft.com/office/drawing/2014/main" id="{0DA7AC24-361A-233B-E75C-F0CA103F3E83}"/>
            </a:ext>
          </a:extLst>
        </xdr:cNvPr>
        <xdr:cNvSpPr/>
      </xdr:nvSpPr>
      <xdr:spPr>
        <a:xfrm>
          <a:off x="520700" y="0"/>
          <a:ext cx="953246" cy="762000"/>
        </a:xfrm>
        <a:prstGeom prst="ellipse">
          <a:avLst/>
        </a:prstGeom>
        <a:solidFill>
          <a:srgbClr val="F8D706"/>
        </a:solidFill>
        <a:ln>
          <a:solidFill>
            <a:srgbClr val="F8D70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6600" b="1" i="1" u="sng">
              <a:solidFill>
                <a:srgbClr val="1F74BA"/>
              </a:solidFill>
              <a:latin typeface="+mn-lt"/>
            </a:rPr>
            <a:t>f</a:t>
          </a:r>
        </a:p>
      </xdr:txBody>
    </xdr:sp>
    <xdr:clientData/>
  </xdr:twoCellAnchor>
  <xdr:twoCellAnchor>
    <xdr:from>
      <xdr:col>2</xdr:col>
      <xdr:colOff>419100</xdr:colOff>
      <xdr:row>0</xdr:row>
      <xdr:rowOff>50800</xdr:rowOff>
    </xdr:from>
    <xdr:to>
      <xdr:col>6</xdr:col>
      <xdr:colOff>348762</xdr:colOff>
      <xdr:row>2</xdr:row>
      <xdr:rowOff>23906</xdr:rowOff>
    </xdr:to>
    <xdr:sp macro="" textlink="">
      <xdr:nvSpPr>
        <xdr:cNvPr id="18" name="Rectangle: Rounded Corners 17">
          <a:extLst>
            <a:ext uri="{FF2B5EF4-FFF2-40B4-BE49-F238E27FC236}">
              <a16:creationId xmlns:a16="http://schemas.microsoft.com/office/drawing/2014/main" id="{9AE211ED-400D-400F-9368-414A871B3152}"/>
            </a:ext>
          </a:extLst>
        </xdr:cNvPr>
        <xdr:cNvSpPr/>
      </xdr:nvSpPr>
      <xdr:spPr>
        <a:xfrm>
          <a:off x="1638300" y="50800"/>
          <a:ext cx="2368062" cy="633506"/>
        </a:xfrm>
        <a:prstGeom prst="roundRect">
          <a:avLst/>
        </a:prstGeom>
        <a:solidFill>
          <a:srgbClr val="F8D706"/>
        </a:solidFill>
        <a:ln>
          <a:solidFill>
            <a:srgbClr val="F8D70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5400" i="1" u="sng">
              <a:solidFill>
                <a:srgbClr val="1F74BA"/>
              </a:solidFill>
            </a:rPr>
            <a:t>Flipkart</a:t>
          </a:r>
        </a:p>
      </xdr:txBody>
    </xdr:sp>
    <xdr:clientData/>
  </xdr:twoCellAnchor>
  <xdr:twoCellAnchor editAs="oneCell">
    <xdr:from>
      <xdr:col>18</xdr:col>
      <xdr:colOff>212970</xdr:colOff>
      <xdr:row>3</xdr:row>
      <xdr:rowOff>42986</xdr:rowOff>
    </xdr:from>
    <xdr:to>
      <xdr:col>22</xdr:col>
      <xdr:colOff>353646</xdr:colOff>
      <xdr:row>13</xdr:row>
      <xdr:rowOff>111370</xdr:rowOff>
    </xdr:to>
    <mc:AlternateContent xmlns:mc="http://schemas.openxmlformats.org/markup-compatibility/2006">
      <mc:Choice xmlns:a14="http://schemas.microsoft.com/office/drawing/2010/main" Requires="a14">
        <xdr:graphicFrame macro="">
          <xdr:nvGraphicFramePr>
            <xdr:cNvPr id="11" name="Payment Method">
              <a:extLst>
                <a:ext uri="{FF2B5EF4-FFF2-40B4-BE49-F238E27FC236}">
                  <a16:creationId xmlns:a16="http://schemas.microsoft.com/office/drawing/2014/main" id="{E834A401-74DB-4AD9-8A95-FED319C184D2}"/>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11115432" y="892909"/>
              <a:ext cx="2563445" cy="19245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ish Verma" refreshedDate="46235.669004166666" createdVersion="8" refreshedVersion="8" minRefreshableVersion="3" recordCount="1000" xr:uid="{9256A8C7-BEF5-4EE4-9D20-2F733AF8B254}">
  <cacheSource type="worksheet">
    <worksheetSource name="FlipkartSales"/>
  </cacheSource>
  <cacheFields count="29">
    <cacheField name="Order ID" numFmtId="49">
      <sharedItems/>
    </cacheField>
    <cacheField name="Product Name" numFmtId="49">
      <sharedItems count="25">
        <s v="Educational Book"/>
        <s v="Jeans"/>
        <s v="Face Cream"/>
        <s v="Smartwatch"/>
        <s v="Cookware Set"/>
        <s v="Mixer Grinder"/>
        <s v="Sneakers"/>
        <s v="Table Lamp"/>
        <s v="Jacket"/>
        <s v="Tablet"/>
        <s v="Perfume"/>
        <s v="Lipstick"/>
        <s v="Smartphone"/>
        <s v="Comic Book"/>
        <s v="Cookbook"/>
        <s v="T-Shirt"/>
        <s v="Bedsheet"/>
        <s v="Hair Dryer"/>
        <s v="Laptop"/>
        <s v="Shampoo"/>
        <s v="Headphones"/>
        <s v="Fiction Novel"/>
        <s v="Self-Help Book"/>
        <s v="Sofa Cover"/>
        <s v="Dress"/>
      </sharedItems>
    </cacheField>
    <cacheField name="Category" numFmtId="49">
      <sharedItems count="5">
        <s v="Books"/>
        <s v="Clothing"/>
        <s v="Beauty"/>
        <s v="Electronics"/>
        <s v="Home &amp; Kitchen"/>
      </sharedItems>
    </cacheField>
    <cacheField name="Price (INR)" numFmtId="2">
      <sharedItems containsSemiMixedTypes="0" containsString="0" containsNumber="1" minValue="139.85" maxValue="49911.75"/>
    </cacheField>
    <cacheField name="Quantity Sold" numFmtId="1">
      <sharedItems containsSemiMixedTypes="0" containsString="0" containsNumber="1" containsInteger="1" minValue="1" maxValue="5"/>
    </cacheField>
    <cacheField name="Total Sales (INR)" numFmtId="2">
      <sharedItems containsSemiMixedTypes="0" containsString="0" containsNumber="1" minValue="419.55" maxValue="243903.9"/>
    </cacheField>
    <cacheField name="Order Date" numFmtId="14">
      <sharedItems containsSemiMixedTypes="0" containsNonDate="0" containsDate="1" containsString="0" minDate="2024-02-12T00:00:00" maxDate="2025-02-10T00:00:00"/>
    </cacheField>
    <cacheField name="Payment Method" numFmtId="0">
      <sharedItems count="6">
        <s v="Debit Card"/>
        <s v="UPI"/>
        <s v="Wallet"/>
        <s v="COD"/>
        <s v="Credit Card"/>
        <s v="Net Banking"/>
      </sharedItems>
    </cacheField>
    <cacheField name="Customer Rating" numFmtId="0">
      <sharedItems containsSemiMixedTypes="0" containsString="0" containsNumber="1" minValue="1" maxValue="5" count="41">
        <n v="3.5"/>
        <n v="3.9"/>
        <n v="4.4000000000000004"/>
        <n v="3.2"/>
        <n v="3.1"/>
        <n v="1.7"/>
        <n v="2"/>
        <n v="2.4"/>
        <n v="2.6"/>
        <n v="4"/>
        <n v="2.2999999999999998"/>
        <n v="1.3"/>
        <n v="1.2"/>
        <n v="3.7"/>
        <n v="1.6"/>
        <n v="2.5"/>
        <n v="4.5"/>
        <n v="4.3"/>
        <n v="2.8"/>
        <n v="1.1000000000000001"/>
        <n v="3.4"/>
        <n v="2.2000000000000002"/>
        <n v="3.6"/>
        <n v="1.4"/>
        <n v="4.2"/>
        <n v="4.7"/>
        <n v="3.3"/>
        <n v="4.0999999999999996"/>
        <n v="3.8"/>
        <n v="2.7"/>
        <n v="1.9"/>
        <n v="1.8"/>
        <n v="3"/>
        <n v="4.5999999999999996"/>
        <n v="1"/>
        <n v="4.9000000000000004"/>
        <n v="2.9"/>
        <n v="2.1"/>
        <n v="4.8"/>
        <n v="1.5"/>
        <n v="5"/>
      </sharedItems>
    </cacheField>
    <cacheField name="Month" numFmtId="0">
      <sharedItems/>
    </cacheField>
    <cacheField name="Year" numFmtId="0">
      <sharedItems containsSemiMixedTypes="0" containsString="0" containsNumber="1" containsInteger="1" minValue="2024" maxValue="2025" count="2">
        <n v="2024"/>
        <n v="2025"/>
      </sharedItems>
    </cacheField>
    <cacheField name="Profit (INR)" numFmtId="0">
      <sharedItems containsSemiMixedTypes="0" containsString="0" containsNumber="1" minValue="83.910000000000011" maxValue="48780.78"/>
    </cacheField>
    <cacheField name="Discount %" numFmtId="0">
      <sharedItems containsSemiMixedTypes="0" containsString="0" containsNumber="1" containsInteger="1" minValue="5" maxValue="30"/>
    </cacheField>
    <cacheField name="Customer Segment" numFmtId="0">
      <sharedItems count="3">
        <s v="Online"/>
        <s v="Wholesale"/>
        <s v="Retail"/>
      </sharedItems>
    </cacheField>
    <cacheField name="Region" numFmtId="0">
      <sharedItems count="4">
        <s v="West"/>
        <s v="North"/>
        <s v="South"/>
        <s v="East"/>
      </sharedItems>
    </cacheField>
    <cacheField name="Calculated Sales" numFmtId="0">
      <sharedItems containsSemiMixedTypes="0" containsString="0" containsNumber="1" minValue="419.54999999999995" maxValue="243903.9"/>
    </cacheField>
    <cacheField name="Sales Difference" numFmtId="0">
      <sharedItems containsSemiMixedTypes="0" containsString="0" containsNumber="1" containsInteger="1" minValue="0" maxValue="0"/>
    </cacheField>
    <cacheField name="Profit Margin %" numFmtId="10">
      <sharedItems containsSemiMixedTypes="0" containsString="0" containsNumber="1" minValue="0.19999999999999998" maxValue="0.20000000000000007"/>
    </cacheField>
    <cacheField name="Revenue per Unit" numFmtId="0">
      <sharedItems containsSemiMixedTypes="0" containsString="0" containsNumber="1" minValue="139.85" maxValue="49911.75"/>
    </cacheField>
    <cacheField name="Profit per Unit" numFmtId="0">
      <sharedItems containsSemiMixedTypes="0" containsString="0" containsNumber="1" minValue="27.970000000000002" maxValue="9982.35"/>
    </cacheField>
    <cacheField name="Month Number" numFmtId="0">
      <sharedItems containsSemiMixedTypes="0" containsString="0" containsNumber="1" containsInteger="1" minValue="1" maxValue="12"/>
    </cacheField>
    <cacheField name="Quarter" numFmtId="0">
      <sharedItems/>
    </cacheField>
    <cacheField name="Year-Month" numFmtId="0">
      <sharedItems/>
    </cacheField>
    <cacheField name="Discount Amount" numFmtId="0">
      <sharedItems containsSemiMixedTypes="0" containsString="0" containsNumber="1" minValue="41.954999999999998" maxValue="71303.684999999998"/>
    </cacheField>
    <cacheField name="Net Sales After Discount" numFmtId="2">
      <sharedItems containsSemiMixedTypes="0" containsString="0" containsNumber="1" minValue="364.47219999999999" maxValue="218877.57750000001"/>
    </cacheField>
    <cacheField name="Month Start" numFmtId="165">
      <sharedItems containsSemiMixedTypes="0" containsNonDate="0" containsDate="1" containsString="0" minDate="2024-02-01T00:00:00" maxDate="2025-02-02T00:00:00" count="13">
        <d v="2024-09-01T00:00:00"/>
        <d v="2024-12-01T00:00:00"/>
        <d v="2024-05-01T00:00:00"/>
        <d v="2024-11-01T00:00:00"/>
        <d v="2024-10-01T00:00:00"/>
        <d v="2024-07-01T00:00:00"/>
        <d v="2025-01-01T00:00:00"/>
        <d v="2024-03-01T00:00:00"/>
        <d v="2025-02-01T00:00:00"/>
        <d v="2024-04-01T00:00:00"/>
        <d v="2024-02-01T00:00:00"/>
        <d v="2024-06-01T00:00:00"/>
        <d v="2024-08-01T00:00:00"/>
      </sharedItems>
      <fieldGroup par="28"/>
    </cacheField>
    <cacheField name="Months (Month Start)" numFmtId="0" databaseField="0">
      <fieldGroup base="25">
        <rangePr groupBy="months" startDate="2024-02-01T00:00:00" endDate="2025-02-02T00:00:00"/>
        <groupItems count="14">
          <s v="&lt;01-02-2024"/>
          <s v="Jan"/>
          <s v="Feb"/>
          <s v="Mar"/>
          <s v="Apr"/>
          <s v="May"/>
          <s v="Jun"/>
          <s v="Jul"/>
          <s v="Aug"/>
          <s v="Sep"/>
          <s v="Oct"/>
          <s v="Nov"/>
          <s v="Dec"/>
          <s v="&gt;02-02-2025"/>
        </groupItems>
      </fieldGroup>
    </cacheField>
    <cacheField name="Quarters (Month Start)" numFmtId="0" databaseField="0">
      <fieldGroup base="25">
        <rangePr groupBy="quarters" startDate="2024-02-01T00:00:00" endDate="2025-02-02T00:00:00"/>
        <groupItems count="6">
          <s v="&lt;01-02-2024"/>
          <s v="Qtr1"/>
          <s v="Qtr2"/>
          <s v="Qtr3"/>
          <s v="Qtr4"/>
          <s v="&gt;02-02-2025"/>
        </groupItems>
      </fieldGroup>
    </cacheField>
    <cacheField name="Years (Month Start)" numFmtId="0" databaseField="0">
      <fieldGroup base="25">
        <rangePr groupBy="years" startDate="2024-02-01T00:00:00" endDate="2025-02-02T00:00:00"/>
        <groupItems count="4">
          <s v="&lt;01-02-2024"/>
          <s v="2024"/>
          <s v="2025"/>
          <s v="&gt;02-02-2025"/>
        </groupItems>
      </fieldGroup>
    </cacheField>
  </cacheFields>
  <extLst>
    <ext xmlns:x14="http://schemas.microsoft.com/office/spreadsheetml/2009/9/main" uri="{725AE2AE-9491-48be-B2B4-4EB974FC3084}">
      <x14:pivotCacheDefinition pivotCacheId="5403340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0001"/>
    <x v="0"/>
    <x v="0"/>
    <n v="49069.56"/>
    <n v="2"/>
    <n v="98139.12"/>
    <d v="2024-09-12T00:00:00"/>
    <x v="0"/>
    <x v="0"/>
    <s v="September"/>
    <x v="0"/>
    <n v="19627.824000000001"/>
    <n v="11"/>
    <x v="0"/>
    <x v="0"/>
    <n v="98139.12"/>
    <n v="0"/>
    <n v="0.2"/>
    <n v="49069.56"/>
    <n v="9813.9120000000003"/>
    <n v="9"/>
    <s v="Q3"/>
    <s v="Sep-2024"/>
    <n v="10795.303199999998"/>
    <n v="87343.816800000001"/>
    <x v="0"/>
  </r>
  <r>
    <s v="ORD00002"/>
    <x v="1"/>
    <x v="1"/>
    <n v="12755.85"/>
    <n v="4"/>
    <n v="51023.4"/>
    <d v="2024-12-18T00:00:00"/>
    <x v="1"/>
    <x v="1"/>
    <s v="December"/>
    <x v="0"/>
    <n v="10204.68"/>
    <n v="24"/>
    <x v="1"/>
    <x v="1"/>
    <n v="51023.4"/>
    <n v="0"/>
    <n v="0.2"/>
    <n v="12755.85"/>
    <n v="2551.17"/>
    <n v="12"/>
    <s v="Q4"/>
    <s v="Dec-2024"/>
    <n v="12245.616000000002"/>
    <n v="38777.784"/>
    <x v="1"/>
  </r>
  <r>
    <s v="ORD00003"/>
    <x v="2"/>
    <x v="2"/>
    <n v="11092.19"/>
    <n v="4"/>
    <n v="44368.76"/>
    <d v="2024-05-18T00:00:00"/>
    <x v="0"/>
    <x v="2"/>
    <s v="May"/>
    <x v="0"/>
    <n v="8873.7520000000004"/>
    <n v="19"/>
    <x v="0"/>
    <x v="2"/>
    <n v="44368.76"/>
    <n v="0"/>
    <n v="0.2"/>
    <n v="11092.19"/>
    <n v="2218.4380000000001"/>
    <n v="5"/>
    <s v="Q2"/>
    <s v="May-2024"/>
    <n v="8430.0644000000011"/>
    <n v="35938.695599999999"/>
    <x v="2"/>
  </r>
  <r>
    <s v="ORD00004"/>
    <x v="3"/>
    <x v="3"/>
    <n v="32657.81"/>
    <n v="1"/>
    <n v="32657.81"/>
    <d v="2024-11-08T00:00:00"/>
    <x v="0"/>
    <x v="3"/>
    <s v="November"/>
    <x v="0"/>
    <n v="6531.5620000000008"/>
    <n v="15"/>
    <x v="0"/>
    <x v="1"/>
    <n v="32657.81"/>
    <n v="0"/>
    <n v="0.2"/>
    <n v="32657.81"/>
    <n v="6531.5620000000008"/>
    <n v="11"/>
    <s v="Q4"/>
    <s v="Nov-2024"/>
    <n v="4898.6715000000004"/>
    <n v="27759.138500000001"/>
    <x v="3"/>
  </r>
  <r>
    <s v="ORD00005"/>
    <x v="4"/>
    <x v="4"/>
    <n v="26590.080000000002"/>
    <n v="3"/>
    <n v="79770.240000000005"/>
    <d v="2024-12-27T00:00:00"/>
    <x v="1"/>
    <x v="4"/>
    <s v="December"/>
    <x v="0"/>
    <n v="15954.048000000003"/>
    <n v="12"/>
    <x v="2"/>
    <x v="1"/>
    <n v="79770.240000000005"/>
    <n v="0"/>
    <n v="0.2"/>
    <n v="26590.080000000002"/>
    <n v="5318.0160000000005"/>
    <n v="12"/>
    <s v="Q4"/>
    <s v="Dec-2024"/>
    <n v="9572.4288000000015"/>
    <n v="70197.811199999996"/>
    <x v="1"/>
  </r>
  <r>
    <s v="ORD00006"/>
    <x v="5"/>
    <x v="4"/>
    <n v="10475.030000000001"/>
    <n v="2"/>
    <n v="20950.060000000001"/>
    <d v="2024-10-22T00:00:00"/>
    <x v="2"/>
    <x v="5"/>
    <s v="October"/>
    <x v="0"/>
    <n v="4190.0120000000006"/>
    <n v="25"/>
    <x v="1"/>
    <x v="1"/>
    <n v="20950.060000000001"/>
    <n v="0"/>
    <n v="0.2"/>
    <n v="10475.030000000001"/>
    <n v="2095.0060000000003"/>
    <n v="10"/>
    <s v="Q4"/>
    <s v="Oct-2024"/>
    <n v="5237.5150000000003"/>
    <n v="15712.545000000002"/>
    <x v="4"/>
  </r>
  <r>
    <s v="ORD00007"/>
    <x v="6"/>
    <x v="1"/>
    <n v="38647.72"/>
    <n v="3"/>
    <n v="115943.16"/>
    <d v="2024-07-04T00:00:00"/>
    <x v="2"/>
    <x v="6"/>
    <s v="July"/>
    <x v="0"/>
    <n v="23188.632000000001"/>
    <n v="11"/>
    <x v="1"/>
    <x v="1"/>
    <n v="115943.16"/>
    <n v="0"/>
    <n v="0.2"/>
    <n v="38647.72"/>
    <n v="7729.5440000000008"/>
    <n v="7"/>
    <s v="Q3"/>
    <s v="Jul-2024"/>
    <n v="12753.747600000001"/>
    <n v="103189.4124"/>
    <x v="5"/>
  </r>
  <r>
    <s v="ORD00008"/>
    <x v="7"/>
    <x v="4"/>
    <n v="24818.59"/>
    <n v="3"/>
    <n v="74455.77"/>
    <d v="2024-12-27T00:00:00"/>
    <x v="0"/>
    <x v="7"/>
    <s v="December"/>
    <x v="0"/>
    <n v="14891.154000000002"/>
    <n v="30"/>
    <x v="1"/>
    <x v="2"/>
    <n v="74455.77"/>
    <n v="0"/>
    <n v="0.2"/>
    <n v="24818.59"/>
    <n v="4963.7180000000008"/>
    <n v="12"/>
    <s v="Q4"/>
    <s v="Dec-2024"/>
    <n v="22336.731"/>
    <n v="52119.039000000004"/>
    <x v="1"/>
  </r>
  <r>
    <s v="ORD00009"/>
    <x v="8"/>
    <x v="1"/>
    <n v="1987.39"/>
    <n v="2"/>
    <n v="3974.78"/>
    <d v="2025-01-18T00:00:00"/>
    <x v="0"/>
    <x v="8"/>
    <s v="January"/>
    <x v="1"/>
    <n v="794.95600000000013"/>
    <n v="23"/>
    <x v="0"/>
    <x v="1"/>
    <n v="3974.78"/>
    <n v="0"/>
    <n v="0.2"/>
    <n v="1987.39"/>
    <n v="397.47800000000007"/>
    <n v="1"/>
    <s v="Q1"/>
    <s v="Jan-2025"/>
    <n v="914.19939999999997"/>
    <n v="3060.5806000000002"/>
    <x v="6"/>
  </r>
  <r>
    <s v="ORD00010"/>
    <x v="9"/>
    <x v="3"/>
    <n v="26876.51"/>
    <n v="2"/>
    <n v="53753.02"/>
    <d v="2024-03-14T00:00:00"/>
    <x v="0"/>
    <x v="9"/>
    <s v="March"/>
    <x v="0"/>
    <n v="10750.603999999999"/>
    <n v="27"/>
    <x v="0"/>
    <x v="1"/>
    <n v="53753.02"/>
    <n v="0"/>
    <n v="0.2"/>
    <n v="26876.51"/>
    <n v="5375.3019999999997"/>
    <n v="3"/>
    <s v="Q1"/>
    <s v="Mar-2024"/>
    <n v="14513.315399999998"/>
    <n v="39239.704599999997"/>
    <x v="7"/>
  </r>
  <r>
    <s v="ORD00011"/>
    <x v="10"/>
    <x v="2"/>
    <n v="46409.57"/>
    <n v="5"/>
    <n v="232047.85"/>
    <d v="2025-02-08T00:00:00"/>
    <x v="1"/>
    <x v="10"/>
    <s v="February"/>
    <x v="1"/>
    <n v="46409.570000000007"/>
    <n v="15"/>
    <x v="0"/>
    <x v="0"/>
    <n v="232047.85"/>
    <n v="0"/>
    <n v="0.20000000000000004"/>
    <n v="46409.57"/>
    <n v="9281.9140000000007"/>
    <n v="2"/>
    <s v="Q1"/>
    <s v="Feb-2025"/>
    <n v="34807.177499999998"/>
    <n v="197240.67250000002"/>
    <x v="8"/>
  </r>
  <r>
    <s v="ORD00012"/>
    <x v="11"/>
    <x v="2"/>
    <n v="48780.78"/>
    <n v="5"/>
    <n v="243903.9"/>
    <d v="2024-04-13T00:00:00"/>
    <x v="1"/>
    <x v="11"/>
    <s v="April"/>
    <x v="0"/>
    <n v="48780.78"/>
    <n v="15"/>
    <x v="2"/>
    <x v="2"/>
    <n v="243903.9"/>
    <n v="0"/>
    <n v="0.2"/>
    <n v="48780.78"/>
    <n v="9756.155999999999"/>
    <n v="4"/>
    <s v="Q2"/>
    <s v="Apr-2024"/>
    <n v="36585.584999999999"/>
    <n v="207318.315"/>
    <x v="9"/>
  </r>
  <r>
    <s v="ORD00013"/>
    <x v="0"/>
    <x v="0"/>
    <n v="6670.82"/>
    <n v="5"/>
    <n v="33354.1"/>
    <d v="2024-02-23T00:00:00"/>
    <x v="3"/>
    <x v="12"/>
    <s v="February"/>
    <x v="0"/>
    <n v="6670.82"/>
    <n v="28"/>
    <x v="0"/>
    <x v="2"/>
    <n v="33354.1"/>
    <n v="0"/>
    <n v="0.2"/>
    <n v="6670.82"/>
    <n v="1334.164"/>
    <n v="2"/>
    <s v="Q1"/>
    <s v="Feb-2024"/>
    <n v="9339.1479999999992"/>
    <n v="24014.951999999997"/>
    <x v="10"/>
  </r>
  <r>
    <s v="ORD00014"/>
    <x v="12"/>
    <x v="3"/>
    <n v="10826.05"/>
    <n v="1"/>
    <n v="10826.05"/>
    <d v="2024-06-02T00:00:00"/>
    <x v="2"/>
    <x v="13"/>
    <s v="June"/>
    <x v="0"/>
    <n v="2165.21"/>
    <n v="25"/>
    <x v="2"/>
    <x v="3"/>
    <n v="10826.05"/>
    <n v="0"/>
    <n v="0.2"/>
    <n v="10826.05"/>
    <n v="2165.21"/>
    <n v="6"/>
    <s v="Q2"/>
    <s v="Jun-2024"/>
    <n v="2706.5124999999998"/>
    <n v="8119.5374999999995"/>
    <x v="11"/>
  </r>
  <r>
    <s v="ORD00015"/>
    <x v="13"/>
    <x v="0"/>
    <n v="6839.1"/>
    <n v="1"/>
    <n v="6839.1"/>
    <d v="2024-09-12T00:00:00"/>
    <x v="4"/>
    <x v="14"/>
    <s v="September"/>
    <x v="0"/>
    <n v="1367.8200000000002"/>
    <n v="8"/>
    <x v="1"/>
    <x v="2"/>
    <n v="6839.1"/>
    <n v="0"/>
    <n v="0.2"/>
    <n v="6839.1"/>
    <n v="1367.8200000000002"/>
    <n v="9"/>
    <s v="Q3"/>
    <s v="Sep-2024"/>
    <n v="547.12800000000004"/>
    <n v="6291.9720000000007"/>
    <x v="0"/>
  </r>
  <r>
    <s v="ORD00016"/>
    <x v="5"/>
    <x v="4"/>
    <n v="18197.89"/>
    <n v="5"/>
    <n v="90989.45"/>
    <d v="2024-03-30T00:00:00"/>
    <x v="0"/>
    <x v="14"/>
    <s v="March"/>
    <x v="0"/>
    <n v="18197.89"/>
    <n v="12"/>
    <x v="0"/>
    <x v="2"/>
    <n v="90989.45"/>
    <n v="0"/>
    <n v="0.2"/>
    <n v="18197.89"/>
    <n v="3639.578"/>
    <n v="3"/>
    <s v="Q1"/>
    <s v="Mar-2024"/>
    <n v="10918.733999999999"/>
    <n v="80070.716"/>
    <x v="7"/>
  </r>
  <r>
    <s v="ORD00017"/>
    <x v="14"/>
    <x v="0"/>
    <n v="20817.46"/>
    <n v="2"/>
    <n v="41634.92"/>
    <d v="2024-03-30T00:00:00"/>
    <x v="0"/>
    <x v="10"/>
    <s v="March"/>
    <x v="0"/>
    <n v="8326.9840000000004"/>
    <n v="28"/>
    <x v="2"/>
    <x v="3"/>
    <n v="41634.92"/>
    <n v="0"/>
    <n v="0.2"/>
    <n v="20817.46"/>
    <n v="4163.4920000000002"/>
    <n v="3"/>
    <s v="Q1"/>
    <s v="Mar-2024"/>
    <n v="11657.777599999999"/>
    <n v="29977.142399999997"/>
    <x v="7"/>
  </r>
  <r>
    <s v="ORD00018"/>
    <x v="10"/>
    <x v="2"/>
    <n v="44061.25"/>
    <n v="4"/>
    <n v="176245"/>
    <d v="2024-04-22T00:00:00"/>
    <x v="3"/>
    <x v="15"/>
    <s v="April"/>
    <x v="0"/>
    <n v="35249"/>
    <n v="7"/>
    <x v="2"/>
    <x v="2"/>
    <n v="176245"/>
    <n v="0"/>
    <n v="0.2"/>
    <n v="44061.25"/>
    <n v="8812.25"/>
    <n v="4"/>
    <s v="Q2"/>
    <s v="Apr-2024"/>
    <n v="12337.15"/>
    <n v="163907.85"/>
    <x v="9"/>
  </r>
  <r>
    <s v="ORD00019"/>
    <x v="14"/>
    <x v="0"/>
    <n v="4398.59"/>
    <n v="5"/>
    <n v="21992.95"/>
    <d v="2024-03-22T00:00:00"/>
    <x v="2"/>
    <x v="9"/>
    <s v="March"/>
    <x v="0"/>
    <n v="4398.59"/>
    <n v="26"/>
    <x v="0"/>
    <x v="2"/>
    <n v="21992.95"/>
    <n v="0"/>
    <n v="0.2"/>
    <n v="4398.59"/>
    <n v="879.71800000000007"/>
    <n v="3"/>
    <s v="Q1"/>
    <s v="Mar-2024"/>
    <n v="5718.1670000000004"/>
    <n v="16274.782999999999"/>
    <x v="7"/>
  </r>
  <r>
    <s v="ORD00020"/>
    <x v="15"/>
    <x v="1"/>
    <n v="32565.77"/>
    <n v="5"/>
    <n v="162828.85"/>
    <d v="2025-01-06T00:00:00"/>
    <x v="3"/>
    <x v="2"/>
    <s v="January"/>
    <x v="1"/>
    <n v="32565.770000000004"/>
    <n v="25"/>
    <x v="1"/>
    <x v="2"/>
    <n v="162828.85"/>
    <n v="0"/>
    <n v="0.2"/>
    <n v="32565.77"/>
    <n v="6513.1540000000005"/>
    <n v="1"/>
    <s v="Q1"/>
    <s v="Jan-2025"/>
    <n v="40707.212500000001"/>
    <n v="122121.63750000001"/>
    <x v="6"/>
  </r>
  <r>
    <s v="ORD00021"/>
    <x v="4"/>
    <x v="4"/>
    <n v="47529.36"/>
    <n v="1"/>
    <n v="47529.36"/>
    <d v="2024-07-09T00:00:00"/>
    <x v="5"/>
    <x v="16"/>
    <s v="July"/>
    <x v="0"/>
    <n v="9505.8720000000012"/>
    <n v="6"/>
    <x v="1"/>
    <x v="2"/>
    <n v="47529.36"/>
    <n v="0"/>
    <n v="0.2"/>
    <n v="47529.36"/>
    <n v="9505.8720000000012"/>
    <n v="7"/>
    <s v="Q3"/>
    <s v="Jul-2024"/>
    <n v="2851.7616000000003"/>
    <n v="44677.598400000003"/>
    <x v="5"/>
  </r>
  <r>
    <s v="ORD00022"/>
    <x v="1"/>
    <x v="1"/>
    <n v="37129.730000000003"/>
    <n v="3"/>
    <n v="111389.19"/>
    <d v="2025-01-22T00:00:00"/>
    <x v="2"/>
    <x v="17"/>
    <s v="January"/>
    <x v="1"/>
    <n v="22277.838000000003"/>
    <n v="28"/>
    <x v="1"/>
    <x v="3"/>
    <n v="111389.19"/>
    <n v="0"/>
    <n v="0.20000000000000004"/>
    <n v="37129.730000000003"/>
    <n v="7425.9460000000008"/>
    <n v="1"/>
    <s v="Q1"/>
    <s v="Jan-2025"/>
    <n v="31188.973200000004"/>
    <n v="80200.216799999995"/>
    <x v="6"/>
  </r>
  <r>
    <s v="ORD00023"/>
    <x v="0"/>
    <x v="0"/>
    <n v="48258.19"/>
    <n v="4"/>
    <n v="193032.76"/>
    <d v="2024-06-23T00:00:00"/>
    <x v="1"/>
    <x v="14"/>
    <s v="June"/>
    <x v="0"/>
    <n v="38606.552000000003"/>
    <n v="16"/>
    <x v="2"/>
    <x v="2"/>
    <n v="193032.76"/>
    <n v="0"/>
    <n v="0.2"/>
    <n v="48258.19"/>
    <n v="9651.6380000000008"/>
    <n v="6"/>
    <s v="Q2"/>
    <s v="Jun-2024"/>
    <n v="30885.241600000001"/>
    <n v="162147.5184"/>
    <x v="11"/>
  </r>
  <r>
    <s v="ORD00024"/>
    <x v="16"/>
    <x v="4"/>
    <n v="32505.96"/>
    <n v="1"/>
    <n v="32505.96"/>
    <d v="2024-03-19T00:00:00"/>
    <x v="2"/>
    <x v="18"/>
    <s v="March"/>
    <x v="0"/>
    <n v="6501.192"/>
    <n v="10"/>
    <x v="2"/>
    <x v="2"/>
    <n v="32505.96"/>
    <n v="0"/>
    <n v="0.2"/>
    <n v="32505.96"/>
    <n v="6501.192"/>
    <n v="3"/>
    <s v="Q1"/>
    <s v="Mar-2024"/>
    <n v="3250.5959999999995"/>
    <n v="29255.364000000001"/>
    <x v="7"/>
  </r>
  <r>
    <s v="ORD00025"/>
    <x v="4"/>
    <x v="4"/>
    <n v="4165.6400000000003"/>
    <n v="2"/>
    <n v="8331.2800000000007"/>
    <d v="2024-11-24T00:00:00"/>
    <x v="3"/>
    <x v="19"/>
    <s v="November"/>
    <x v="0"/>
    <n v="1666.2560000000003"/>
    <n v="6"/>
    <x v="2"/>
    <x v="3"/>
    <n v="8331.2800000000007"/>
    <n v="0"/>
    <n v="0.2"/>
    <n v="4165.6400000000003"/>
    <n v="833.12800000000016"/>
    <n v="11"/>
    <s v="Q4"/>
    <s v="Nov-2024"/>
    <n v="499.87680000000006"/>
    <n v="7831.4032000000007"/>
    <x v="3"/>
  </r>
  <r>
    <s v="ORD00026"/>
    <x v="15"/>
    <x v="1"/>
    <n v="2053.11"/>
    <n v="4"/>
    <n v="8212.44"/>
    <d v="2024-07-23T00:00:00"/>
    <x v="3"/>
    <x v="20"/>
    <s v="July"/>
    <x v="0"/>
    <n v="1642.4880000000003"/>
    <n v="25"/>
    <x v="2"/>
    <x v="0"/>
    <n v="8212.44"/>
    <n v="0"/>
    <n v="0.2"/>
    <n v="2053.11"/>
    <n v="410.62200000000007"/>
    <n v="7"/>
    <s v="Q3"/>
    <s v="Jul-2024"/>
    <n v="2053.11"/>
    <n v="6159.33"/>
    <x v="5"/>
  </r>
  <r>
    <s v="ORD00027"/>
    <x v="1"/>
    <x v="1"/>
    <n v="38927.620000000003"/>
    <n v="4"/>
    <n v="155710.48000000001"/>
    <d v="2024-08-24T00:00:00"/>
    <x v="2"/>
    <x v="15"/>
    <s v="August"/>
    <x v="0"/>
    <n v="31142.096000000005"/>
    <n v="5"/>
    <x v="1"/>
    <x v="1"/>
    <n v="155710.48000000001"/>
    <n v="0"/>
    <n v="0.2"/>
    <n v="38927.620000000003"/>
    <n v="7785.5240000000013"/>
    <n v="8"/>
    <s v="Q3"/>
    <s v="Aug-2024"/>
    <n v="7785.5240000000003"/>
    <n v="147924.95600000001"/>
    <x v="12"/>
  </r>
  <r>
    <s v="ORD00028"/>
    <x v="5"/>
    <x v="4"/>
    <n v="28978.47"/>
    <n v="4"/>
    <n v="115913.88"/>
    <d v="2024-07-21T00:00:00"/>
    <x v="1"/>
    <x v="10"/>
    <s v="July"/>
    <x v="0"/>
    <n v="23182.776000000002"/>
    <n v="16"/>
    <x v="0"/>
    <x v="0"/>
    <n v="115913.88"/>
    <n v="0"/>
    <n v="0.2"/>
    <n v="28978.47"/>
    <n v="5795.6940000000004"/>
    <n v="7"/>
    <s v="Q3"/>
    <s v="Jul-2024"/>
    <n v="18546.220799999999"/>
    <n v="97367.659200000009"/>
    <x v="5"/>
  </r>
  <r>
    <s v="ORD00029"/>
    <x v="11"/>
    <x v="2"/>
    <n v="21293.42"/>
    <n v="5"/>
    <n v="106467.1"/>
    <d v="2024-04-16T00:00:00"/>
    <x v="2"/>
    <x v="21"/>
    <s v="April"/>
    <x v="0"/>
    <n v="21293.420000000002"/>
    <n v="30"/>
    <x v="2"/>
    <x v="3"/>
    <n v="106467.09999999999"/>
    <n v="0"/>
    <n v="0.2"/>
    <n v="21293.420000000002"/>
    <n v="4258.6840000000002"/>
    <n v="4"/>
    <s v="Q2"/>
    <s v="Apr-2024"/>
    <n v="31940.13"/>
    <n v="74526.97"/>
    <x v="9"/>
  </r>
  <r>
    <s v="ORD00030"/>
    <x v="11"/>
    <x v="2"/>
    <n v="49097.01"/>
    <n v="4"/>
    <n v="196388.04"/>
    <d v="2024-08-05T00:00:00"/>
    <x v="4"/>
    <x v="13"/>
    <s v="August"/>
    <x v="0"/>
    <n v="39277.608"/>
    <n v="26"/>
    <x v="2"/>
    <x v="1"/>
    <n v="196388.04"/>
    <n v="0"/>
    <n v="0.19999999999999998"/>
    <n v="49097.01"/>
    <n v="9819.402"/>
    <n v="8"/>
    <s v="Q3"/>
    <s v="Aug-2024"/>
    <n v="51060.890400000004"/>
    <n v="145327.1496"/>
    <x v="12"/>
  </r>
  <r>
    <s v="ORD00031"/>
    <x v="10"/>
    <x v="2"/>
    <n v="47651.19"/>
    <n v="1"/>
    <n v="47651.19"/>
    <d v="2024-04-14T00:00:00"/>
    <x v="5"/>
    <x v="22"/>
    <s v="April"/>
    <x v="0"/>
    <n v="9530.2380000000012"/>
    <n v="16"/>
    <x v="1"/>
    <x v="3"/>
    <n v="47651.19"/>
    <n v="0"/>
    <n v="0.2"/>
    <n v="47651.19"/>
    <n v="9530.2380000000012"/>
    <n v="4"/>
    <s v="Q2"/>
    <s v="Apr-2024"/>
    <n v="7624.1904000000004"/>
    <n v="40026.999600000003"/>
    <x v="9"/>
  </r>
  <r>
    <s v="ORD00032"/>
    <x v="17"/>
    <x v="2"/>
    <n v="15046.01"/>
    <n v="5"/>
    <n v="75230.05"/>
    <d v="2024-10-17T00:00:00"/>
    <x v="3"/>
    <x v="19"/>
    <s v="October"/>
    <x v="0"/>
    <n v="15046.010000000002"/>
    <n v="29"/>
    <x v="0"/>
    <x v="3"/>
    <n v="75230.05"/>
    <n v="0"/>
    <n v="0.2"/>
    <n v="15046.01"/>
    <n v="3009.2020000000002"/>
    <n v="10"/>
    <s v="Q4"/>
    <s v="Oct-2024"/>
    <n v="21816.714500000002"/>
    <n v="53413.335500000001"/>
    <x v="4"/>
  </r>
  <r>
    <s v="ORD00033"/>
    <x v="18"/>
    <x v="3"/>
    <n v="36980.1"/>
    <n v="3"/>
    <n v="110940.3"/>
    <d v="2024-10-01T00:00:00"/>
    <x v="3"/>
    <x v="3"/>
    <s v="October"/>
    <x v="0"/>
    <n v="22188.06"/>
    <n v="21"/>
    <x v="0"/>
    <x v="2"/>
    <n v="110940.29999999999"/>
    <n v="0"/>
    <n v="0.2"/>
    <n v="36980.1"/>
    <n v="7396.02"/>
    <n v="10"/>
    <s v="Q4"/>
    <s v="Oct-2024"/>
    <n v="23297.463000000003"/>
    <n v="87642.837"/>
    <x v="4"/>
  </r>
  <r>
    <s v="ORD00034"/>
    <x v="7"/>
    <x v="4"/>
    <n v="38144.67"/>
    <n v="2"/>
    <n v="76289.34"/>
    <d v="2024-07-15T00:00:00"/>
    <x v="5"/>
    <x v="4"/>
    <s v="July"/>
    <x v="0"/>
    <n v="15257.868"/>
    <n v="14"/>
    <x v="1"/>
    <x v="1"/>
    <n v="76289.34"/>
    <n v="0"/>
    <n v="0.2"/>
    <n v="38144.67"/>
    <n v="7628.9340000000002"/>
    <n v="7"/>
    <s v="Q3"/>
    <s v="Jul-2024"/>
    <n v="10680.507600000001"/>
    <n v="65608.832399999999"/>
    <x v="5"/>
  </r>
  <r>
    <s v="ORD00035"/>
    <x v="18"/>
    <x v="3"/>
    <n v="49355.45"/>
    <n v="2"/>
    <n v="98710.9"/>
    <d v="2024-05-01T00:00:00"/>
    <x v="3"/>
    <x v="0"/>
    <s v="May"/>
    <x v="0"/>
    <n v="19742.18"/>
    <n v="20"/>
    <x v="1"/>
    <x v="2"/>
    <n v="98710.9"/>
    <n v="0"/>
    <n v="0.2"/>
    <n v="49355.45"/>
    <n v="9871.09"/>
    <n v="5"/>
    <s v="Q2"/>
    <s v="May-2024"/>
    <n v="19742.18"/>
    <n v="78968.72"/>
    <x v="2"/>
  </r>
  <r>
    <s v="ORD00036"/>
    <x v="19"/>
    <x v="2"/>
    <n v="12945.96"/>
    <n v="3"/>
    <n v="38837.879999999997"/>
    <d v="2024-06-10T00:00:00"/>
    <x v="2"/>
    <x v="23"/>
    <s v="June"/>
    <x v="0"/>
    <n v="7767.576"/>
    <n v="19"/>
    <x v="0"/>
    <x v="1"/>
    <n v="38837.879999999997"/>
    <n v="0"/>
    <n v="0.2"/>
    <n v="12945.96"/>
    <n v="2589.192"/>
    <n v="6"/>
    <s v="Q2"/>
    <s v="Jun-2024"/>
    <n v="7379.1971999999996"/>
    <n v="31458.682799999999"/>
    <x v="11"/>
  </r>
  <r>
    <s v="ORD00037"/>
    <x v="10"/>
    <x v="2"/>
    <n v="34927.79"/>
    <n v="4"/>
    <n v="139711.16"/>
    <d v="2024-06-27T00:00:00"/>
    <x v="4"/>
    <x v="19"/>
    <s v="June"/>
    <x v="0"/>
    <n v="27942.232000000004"/>
    <n v="19"/>
    <x v="2"/>
    <x v="3"/>
    <n v="139711.16"/>
    <n v="0"/>
    <n v="0.2"/>
    <n v="34927.79"/>
    <n v="6985.5580000000009"/>
    <n v="6"/>
    <s v="Q2"/>
    <s v="Jun-2024"/>
    <n v="26545.1204"/>
    <n v="113166.0396"/>
    <x v="11"/>
  </r>
  <r>
    <s v="ORD00038"/>
    <x v="7"/>
    <x v="4"/>
    <n v="3677.4"/>
    <n v="3"/>
    <n v="11032.2"/>
    <d v="2024-07-31T00:00:00"/>
    <x v="1"/>
    <x v="13"/>
    <s v="July"/>
    <x v="0"/>
    <n v="2206.44"/>
    <n v="23"/>
    <x v="0"/>
    <x v="3"/>
    <n v="11032.2"/>
    <n v="0"/>
    <n v="0.19999999999999998"/>
    <n v="3677.4"/>
    <n v="735.48"/>
    <n v="7"/>
    <s v="Q3"/>
    <s v="Jul-2024"/>
    <n v="2537.4059999999999"/>
    <n v="8494.7940000000017"/>
    <x v="5"/>
  </r>
  <r>
    <s v="ORD00039"/>
    <x v="13"/>
    <x v="0"/>
    <n v="37004.54"/>
    <n v="4"/>
    <n v="148018.16"/>
    <d v="2024-10-26T00:00:00"/>
    <x v="0"/>
    <x v="9"/>
    <s v="October"/>
    <x v="0"/>
    <n v="29603.632000000001"/>
    <n v="16"/>
    <x v="1"/>
    <x v="0"/>
    <n v="148018.16"/>
    <n v="0"/>
    <n v="0.2"/>
    <n v="37004.54"/>
    <n v="7400.9080000000004"/>
    <n v="10"/>
    <s v="Q4"/>
    <s v="Oct-2024"/>
    <n v="23682.905600000002"/>
    <n v="124335.25440000001"/>
    <x v="4"/>
  </r>
  <r>
    <s v="ORD00040"/>
    <x v="14"/>
    <x v="0"/>
    <n v="27961.78"/>
    <n v="5"/>
    <n v="139808.9"/>
    <d v="2024-02-23T00:00:00"/>
    <x v="5"/>
    <x v="9"/>
    <s v="February"/>
    <x v="0"/>
    <n v="27961.78"/>
    <n v="27"/>
    <x v="2"/>
    <x v="1"/>
    <n v="139808.9"/>
    <n v="0"/>
    <n v="0.2"/>
    <n v="27961.78"/>
    <n v="5592.3559999999998"/>
    <n v="2"/>
    <s v="Q1"/>
    <s v="Feb-2024"/>
    <n v="37748.402999999998"/>
    <n v="102060.497"/>
    <x v="10"/>
  </r>
  <r>
    <s v="ORD00041"/>
    <x v="13"/>
    <x v="0"/>
    <n v="2655.8"/>
    <n v="2"/>
    <n v="5311.6"/>
    <d v="2024-02-12T00:00:00"/>
    <x v="5"/>
    <x v="13"/>
    <s v="February"/>
    <x v="0"/>
    <n v="1062.3200000000002"/>
    <n v="24"/>
    <x v="2"/>
    <x v="2"/>
    <n v="5311.6"/>
    <n v="0"/>
    <n v="0.2"/>
    <n v="2655.8"/>
    <n v="531.16000000000008"/>
    <n v="2"/>
    <s v="Q1"/>
    <s v="Feb-2024"/>
    <n v="1274.7840000000001"/>
    <n v="4036.8160000000003"/>
    <x v="10"/>
  </r>
  <r>
    <s v="ORD00042"/>
    <x v="20"/>
    <x v="3"/>
    <n v="965.51"/>
    <n v="4"/>
    <n v="3862.04"/>
    <d v="2024-06-06T00:00:00"/>
    <x v="3"/>
    <x v="0"/>
    <s v="June"/>
    <x v="0"/>
    <n v="772.40800000000002"/>
    <n v="29"/>
    <x v="1"/>
    <x v="0"/>
    <n v="3862.04"/>
    <n v="0"/>
    <n v="0.2"/>
    <n v="965.51"/>
    <n v="193.102"/>
    <n v="6"/>
    <s v="Q2"/>
    <s v="Jun-2024"/>
    <n v="1119.9916000000001"/>
    <n v="2742.0483999999997"/>
    <x v="11"/>
  </r>
  <r>
    <s v="ORD00043"/>
    <x v="16"/>
    <x v="4"/>
    <n v="2980.08"/>
    <n v="3"/>
    <n v="8940.24"/>
    <d v="2024-12-14T00:00:00"/>
    <x v="5"/>
    <x v="24"/>
    <s v="December"/>
    <x v="0"/>
    <n v="1788.048"/>
    <n v="7"/>
    <x v="1"/>
    <x v="0"/>
    <n v="8940.24"/>
    <n v="0"/>
    <n v="0.2"/>
    <n v="2980.08"/>
    <n v="596.01599999999996"/>
    <n v="12"/>
    <s v="Q4"/>
    <s v="Dec-2024"/>
    <n v="625.81680000000006"/>
    <n v="8314.4231999999993"/>
    <x v="1"/>
  </r>
  <r>
    <s v="ORD00044"/>
    <x v="5"/>
    <x v="4"/>
    <n v="8598.58"/>
    <n v="1"/>
    <n v="8598.58"/>
    <d v="2024-10-09T00:00:00"/>
    <x v="0"/>
    <x v="19"/>
    <s v="October"/>
    <x v="0"/>
    <n v="1719.7160000000001"/>
    <n v="9"/>
    <x v="1"/>
    <x v="0"/>
    <n v="8598.58"/>
    <n v="0"/>
    <n v="0.2"/>
    <n v="8598.58"/>
    <n v="1719.7160000000001"/>
    <n v="10"/>
    <s v="Q4"/>
    <s v="Oct-2024"/>
    <n v="773.87220000000002"/>
    <n v="7824.7078000000001"/>
    <x v="4"/>
  </r>
  <r>
    <s v="ORD00045"/>
    <x v="19"/>
    <x v="2"/>
    <n v="31850.15"/>
    <n v="2"/>
    <n v="63700.3"/>
    <d v="2024-04-14T00:00:00"/>
    <x v="5"/>
    <x v="18"/>
    <s v="April"/>
    <x v="0"/>
    <n v="12740.060000000001"/>
    <n v="23"/>
    <x v="0"/>
    <x v="2"/>
    <n v="63700.3"/>
    <n v="0"/>
    <n v="0.2"/>
    <n v="31850.15"/>
    <n v="6370.0300000000007"/>
    <n v="4"/>
    <s v="Q2"/>
    <s v="Apr-2024"/>
    <n v="14651.069000000001"/>
    <n v="49049.231"/>
    <x v="9"/>
  </r>
  <r>
    <s v="ORD00046"/>
    <x v="3"/>
    <x v="3"/>
    <n v="33443.32"/>
    <n v="5"/>
    <n v="167216.6"/>
    <d v="2024-02-15T00:00:00"/>
    <x v="1"/>
    <x v="7"/>
    <s v="February"/>
    <x v="0"/>
    <n v="33443.32"/>
    <n v="11"/>
    <x v="0"/>
    <x v="0"/>
    <n v="167216.6"/>
    <n v="0"/>
    <n v="0.19999999999999998"/>
    <n v="33443.32"/>
    <n v="6688.6639999999998"/>
    <n v="2"/>
    <s v="Q1"/>
    <s v="Feb-2024"/>
    <n v="18393.826000000001"/>
    <n v="148822.774"/>
    <x v="10"/>
  </r>
  <r>
    <s v="ORD00047"/>
    <x v="8"/>
    <x v="1"/>
    <n v="29592.5"/>
    <n v="5"/>
    <n v="147962.5"/>
    <d v="2024-07-25T00:00:00"/>
    <x v="5"/>
    <x v="25"/>
    <s v="July"/>
    <x v="0"/>
    <n v="29592.5"/>
    <n v="25"/>
    <x v="2"/>
    <x v="2"/>
    <n v="147962.5"/>
    <n v="0"/>
    <n v="0.2"/>
    <n v="29592.5"/>
    <n v="5918.5"/>
    <n v="7"/>
    <s v="Q3"/>
    <s v="Jul-2024"/>
    <n v="36990.625"/>
    <n v="110971.875"/>
    <x v="5"/>
  </r>
  <r>
    <s v="ORD00048"/>
    <x v="17"/>
    <x v="2"/>
    <n v="11187.38"/>
    <n v="4"/>
    <n v="44749.52"/>
    <d v="2024-06-22T00:00:00"/>
    <x v="2"/>
    <x v="10"/>
    <s v="June"/>
    <x v="0"/>
    <n v="8949.9040000000005"/>
    <n v="13"/>
    <x v="1"/>
    <x v="0"/>
    <n v="44749.52"/>
    <n v="0"/>
    <n v="0.2"/>
    <n v="11187.38"/>
    <n v="2237.4760000000001"/>
    <n v="6"/>
    <s v="Q2"/>
    <s v="Jun-2024"/>
    <n v="5817.4376000000002"/>
    <n v="38932.082399999999"/>
    <x v="11"/>
  </r>
  <r>
    <s v="ORD00049"/>
    <x v="16"/>
    <x v="4"/>
    <n v="23898.58"/>
    <n v="5"/>
    <n v="119492.9"/>
    <d v="2024-11-28T00:00:00"/>
    <x v="4"/>
    <x v="26"/>
    <s v="November"/>
    <x v="0"/>
    <n v="23898.58"/>
    <n v="11"/>
    <x v="2"/>
    <x v="2"/>
    <n v="119492.90000000001"/>
    <n v="0"/>
    <n v="0.2"/>
    <n v="23898.579999999998"/>
    <n v="4779.7160000000003"/>
    <n v="11"/>
    <s v="Q4"/>
    <s v="Nov-2024"/>
    <n v="13144.218999999999"/>
    <n v="106348.681"/>
    <x v="3"/>
  </r>
  <r>
    <s v="ORD00050"/>
    <x v="13"/>
    <x v="0"/>
    <n v="1391.49"/>
    <n v="4"/>
    <n v="5565.96"/>
    <d v="2024-08-11T00:00:00"/>
    <x v="4"/>
    <x v="16"/>
    <s v="August"/>
    <x v="0"/>
    <n v="1113.192"/>
    <n v="22"/>
    <x v="2"/>
    <x v="3"/>
    <n v="5565.96"/>
    <n v="0"/>
    <n v="0.2"/>
    <n v="1391.49"/>
    <n v="278.298"/>
    <n v="8"/>
    <s v="Q3"/>
    <s v="Aug-2024"/>
    <n v="1224.5111999999999"/>
    <n v="4341.4488000000001"/>
    <x v="12"/>
  </r>
  <r>
    <s v="ORD00051"/>
    <x v="1"/>
    <x v="1"/>
    <n v="18607.689999999999"/>
    <n v="5"/>
    <n v="93038.45"/>
    <d v="2024-09-10T00:00:00"/>
    <x v="3"/>
    <x v="7"/>
    <s v="September"/>
    <x v="0"/>
    <n v="18607.689999999999"/>
    <n v="8"/>
    <x v="2"/>
    <x v="3"/>
    <n v="93038.45"/>
    <n v="0"/>
    <n v="0.19999999999999998"/>
    <n v="18607.689999999999"/>
    <n v="3721.5379999999996"/>
    <n v="9"/>
    <s v="Q3"/>
    <s v="Sep-2024"/>
    <n v="7443.076"/>
    <n v="85595.373999999996"/>
    <x v="0"/>
  </r>
  <r>
    <s v="ORD00052"/>
    <x v="21"/>
    <x v="0"/>
    <n v="46224.88"/>
    <n v="3"/>
    <n v="138674.64000000001"/>
    <d v="2024-10-30T00:00:00"/>
    <x v="4"/>
    <x v="27"/>
    <s v="October"/>
    <x v="0"/>
    <n v="27734.928000000004"/>
    <n v="29"/>
    <x v="2"/>
    <x v="3"/>
    <n v="138674.63999999998"/>
    <n v="0"/>
    <n v="0.2"/>
    <n v="46224.880000000005"/>
    <n v="9244.9760000000006"/>
    <n v="10"/>
    <s v="Q4"/>
    <s v="Oct-2024"/>
    <n v="40215.645600000003"/>
    <n v="98458.994400000011"/>
    <x v="4"/>
  </r>
  <r>
    <s v="ORD00053"/>
    <x v="9"/>
    <x v="3"/>
    <n v="11864.13"/>
    <n v="5"/>
    <n v="59320.65"/>
    <d v="2024-11-11T00:00:00"/>
    <x v="0"/>
    <x v="11"/>
    <s v="November"/>
    <x v="0"/>
    <n v="11864.130000000001"/>
    <n v="18"/>
    <x v="1"/>
    <x v="3"/>
    <n v="59320.649999999994"/>
    <n v="0"/>
    <n v="0.2"/>
    <n v="11864.130000000001"/>
    <n v="2372.826"/>
    <n v="11"/>
    <s v="Q4"/>
    <s v="Nov-2024"/>
    <n v="10677.716999999999"/>
    <n v="48642.933000000005"/>
    <x v="3"/>
  </r>
  <r>
    <s v="ORD00054"/>
    <x v="13"/>
    <x v="0"/>
    <n v="7757.2"/>
    <n v="5"/>
    <n v="38786"/>
    <d v="2024-11-22T00:00:00"/>
    <x v="2"/>
    <x v="21"/>
    <s v="November"/>
    <x v="0"/>
    <n v="7757.2000000000007"/>
    <n v="22"/>
    <x v="2"/>
    <x v="3"/>
    <n v="38786"/>
    <n v="0"/>
    <n v="0.2"/>
    <n v="7757.2"/>
    <n v="1551.44"/>
    <n v="11"/>
    <s v="Q4"/>
    <s v="Nov-2024"/>
    <n v="8532.92"/>
    <n v="30253.08"/>
    <x v="3"/>
  </r>
  <r>
    <s v="ORD00055"/>
    <x v="3"/>
    <x v="3"/>
    <n v="29745"/>
    <n v="1"/>
    <n v="29745"/>
    <d v="2024-10-04T00:00:00"/>
    <x v="1"/>
    <x v="22"/>
    <s v="October"/>
    <x v="0"/>
    <n v="5949"/>
    <n v="30"/>
    <x v="1"/>
    <x v="0"/>
    <n v="29745"/>
    <n v="0"/>
    <n v="0.2"/>
    <n v="29745"/>
    <n v="5949"/>
    <n v="10"/>
    <s v="Q4"/>
    <s v="Oct-2024"/>
    <n v="8923.5"/>
    <n v="20821.5"/>
    <x v="4"/>
  </r>
  <r>
    <s v="ORD00056"/>
    <x v="1"/>
    <x v="1"/>
    <n v="39176.54"/>
    <n v="5"/>
    <n v="195882.7"/>
    <d v="2024-04-04T00:00:00"/>
    <x v="5"/>
    <x v="27"/>
    <s v="April"/>
    <x v="0"/>
    <n v="39176.54"/>
    <n v="13"/>
    <x v="1"/>
    <x v="0"/>
    <n v="195882.7"/>
    <n v="0"/>
    <n v="0.19999999999999998"/>
    <n v="39176.54"/>
    <n v="7835.308"/>
    <n v="4"/>
    <s v="Q2"/>
    <s v="Apr-2024"/>
    <n v="25464.751"/>
    <n v="170417.94900000002"/>
    <x v="9"/>
  </r>
  <r>
    <s v="ORD00057"/>
    <x v="1"/>
    <x v="1"/>
    <n v="18075.189999999999"/>
    <n v="5"/>
    <n v="90375.95"/>
    <d v="2024-09-03T00:00:00"/>
    <x v="0"/>
    <x v="5"/>
    <s v="September"/>
    <x v="0"/>
    <n v="18075.189999999999"/>
    <n v="30"/>
    <x v="0"/>
    <x v="0"/>
    <n v="90375.95"/>
    <n v="0"/>
    <n v="0.19999999999999998"/>
    <n v="18075.189999999999"/>
    <n v="3615.0379999999996"/>
    <n v="9"/>
    <s v="Q3"/>
    <s v="Sep-2024"/>
    <n v="27112.785"/>
    <n v="63263.164999999994"/>
    <x v="0"/>
  </r>
  <r>
    <s v="ORD00058"/>
    <x v="22"/>
    <x v="0"/>
    <n v="18830.59"/>
    <n v="4"/>
    <n v="75322.36"/>
    <d v="2024-05-16T00:00:00"/>
    <x v="5"/>
    <x v="22"/>
    <s v="May"/>
    <x v="0"/>
    <n v="15064.472000000002"/>
    <n v="25"/>
    <x v="1"/>
    <x v="2"/>
    <n v="75322.36"/>
    <n v="0"/>
    <n v="0.2"/>
    <n v="18830.59"/>
    <n v="3766.1180000000004"/>
    <n v="5"/>
    <s v="Q2"/>
    <s v="May-2024"/>
    <n v="18830.59"/>
    <n v="56491.770000000004"/>
    <x v="2"/>
  </r>
  <r>
    <s v="ORD00059"/>
    <x v="20"/>
    <x v="3"/>
    <n v="38476.480000000003"/>
    <n v="4"/>
    <n v="153905.92000000001"/>
    <d v="2024-08-30T00:00:00"/>
    <x v="4"/>
    <x v="6"/>
    <s v="August"/>
    <x v="0"/>
    <n v="30781.184000000005"/>
    <n v="6"/>
    <x v="0"/>
    <x v="2"/>
    <n v="153905.92000000001"/>
    <n v="0"/>
    <n v="0.2"/>
    <n v="38476.480000000003"/>
    <n v="7695.2960000000012"/>
    <n v="8"/>
    <s v="Q3"/>
    <s v="Aug-2024"/>
    <n v="9234.3552"/>
    <n v="144671.56480000002"/>
    <x v="12"/>
  </r>
  <r>
    <s v="ORD00060"/>
    <x v="18"/>
    <x v="3"/>
    <n v="27120.36"/>
    <n v="2"/>
    <n v="54240.72"/>
    <d v="2024-06-13T00:00:00"/>
    <x v="4"/>
    <x v="28"/>
    <s v="June"/>
    <x v="0"/>
    <n v="10848.144"/>
    <n v="24"/>
    <x v="1"/>
    <x v="2"/>
    <n v="54240.72"/>
    <n v="0"/>
    <n v="0.2"/>
    <n v="27120.36"/>
    <n v="5424.0720000000001"/>
    <n v="6"/>
    <s v="Q2"/>
    <s v="Jun-2024"/>
    <n v="13017.772800000001"/>
    <n v="41222.947200000002"/>
    <x v="11"/>
  </r>
  <r>
    <s v="ORD00061"/>
    <x v="14"/>
    <x v="0"/>
    <n v="31627"/>
    <n v="5"/>
    <n v="158135"/>
    <d v="2024-07-28T00:00:00"/>
    <x v="0"/>
    <x v="4"/>
    <s v="July"/>
    <x v="0"/>
    <n v="31627"/>
    <n v="19"/>
    <x v="1"/>
    <x v="2"/>
    <n v="158135"/>
    <n v="0"/>
    <n v="0.2"/>
    <n v="31627"/>
    <n v="6325.4"/>
    <n v="7"/>
    <s v="Q3"/>
    <s v="Jul-2024"/>
    <n v="30045.65"/>
    <n v="128089.35"/>
    <x v="5"/>
  </r>
  <r>
    <s v="ORD00062"/>
    <x v="13"/>
    <x v="0"/>
    <n v="14505.79"/>
    <n v="3"/>
    <n v="43517.37"/>
    <d v="2024-07-10T00:00:00"/>
    <x v="1"/>
    <x v="1"/>
    <s v="July"/>
    <x v="0"/>
    <n v="8703.4740000000002"/>
    <n v="11"/>
    <x v="1"/>
    <x v="3"/>
    <n v="43517.37"/>
    <n v="0"/>
    <n v="0.19999999999999998"/>
    <n v="14505.79"/>
    <n v="2901.1579999999999"/>
    <n v="7"/>
    <s v="Q3"/>
    <s v="Jul-2024"/>
    <n v="4786.9107000000004"/>
    <n v="38730.459300000002"/>
    <x v="5"/>
  </r>
  <r>
    <s v="ORD00063"/>
    <x v="3"/>
    <x v="3"/>
    <n v="15229.67"/>
    <n v="3"/>
    <n v="45689.01"/>
    <d v="2024-07-21T00:00:00"/>
    <x v="4"/>
    <x v="29"/>
    <s v="July"/>
    <x v="0"/>
    <n v="9137.8020000000015"/>
    <n v="16"/>
    <x v="0"/>
    <x v="3"/>
    <n v="45689.01"/>
    <n v="0"/>
    <n v="0.2"/>
    <n v="15229.67"/>
    <n v="3045.9340000000007"/>
    <n v="7"/>
    <s v="Q3"/>
    <s v="Jul-2024"/>
    <n v="7310.2416000000003"/>
    <n v="38378.768400000001"/>
    <x v="5"/>
  </r>
  <r>
    <s v="ORD00064"/>
    <x v="7"/>
    <x v="4"/>
    <n v="2158.12"/>
    <n v="3"/>
    <n v="6474.36"/>
    <d v="2025-01-02T00:00:00"/>
    <x v="3"/>
    <x v="20"/>
    <s v="January"/>
    <x v="1"/>
    <n v="1294.8720000000001"/>
    <n v="12"/>
    <x v="0"/>
    <x v="3"/>
    <n v="6474.36"/>
    <n v="0"/>
    <n v="0.2"/>
    <n v="2158.12"/>
    <n v="431.62400000000002"/>
    <n v="1"/>
    <s v="Q1"/>
    <s v="Jan-2025"/>
    <n v="776.92319999999995"/>
    <n v="5697.4367999999995"/>
    <x v="6"/>
  </r>
  <r>
    <s v="ORD00065"/>
    <x v="11"/>
    <x v="2"/>
    <n v="11106.19"/>
    <n v="2"/>
    <n v="22212.38"/>
    <d v="2024-12-22T00:00:00"/>
    <x v="2"/>
    <x v="19"/>
    <s v="December"/>
    <x v="0"/>
    <n v="4442.4760000000006"/>
    <n v="19"/>
    <x v="2"/>
    <x v="1"/>
    <n v="22212.38"/>
    <n v="0"/>
    <n v="0.2"/>
    <n v="11106.19"/>
    <n v="2221.2380000000003"/>
    <n v="12"/>
    <s v="Q4"/>
    <s v="Dec-2024"/>
    <n v="4220.3522000000003"/>
    <n v="17992.0278"/>
    <x v="1"/>
  </r>
  <r>
    <s v="ORD00066"/>
    <x v="0"/>
    <x v="0"/>
    <n v="21690.55"/>
    <n v="2"/>
    <n v="43381.1"/>
    <d v="2024-11-28T00:00:00"/>
    <x v="4"/>
    <x v="30"/>
    <s v="November"/>
    <x v="0"/>
    <n v="8676.2199999999993"/>
    <n v="7"/>
    <x v="0"/>
    <x v="0"/>
    <n v="43381.1"/>
    <n v="0"/>
    <n v="0.19999999999999998"/>
    <n v="21690.55"/>
    <n v="4338.1099999999997"/>
    <n v="11"/>
    <s v="Q4"/>
    <s v="Nov-2024"/>
    <n v="3036.6770000000001"/>
    <n v="40344.422999999995"/>
    <x v="3"/>
  </r>
  <r>
    <s v="ORD00067"/>
    <x v="17"/>
    <x v="2"/>
    <n v="4225.6899999999996"/>
    <n v="4"/>
    <n v="16902.759999999998"/>
    <d v="2024-05-06T00:00:00"/>
    <x v="4"/>
    <x v="15"/>
    <s v="May"/>
    <x v="0"/>
    <n v="3380.5519999999997"/>
    <n v="18"/>
    <x v="0"/>
    <x v="2"/>
    <n v="16902.759999999998"/>
    <n v="0"/>
    <n v="0.2"/>
    <n v="4225.6899999999996"/>
    <n v="845.13799999999992"/>
    <n v="5"/>
    <s v="Q2"/>
    <s v="May-2024"/>
    <n v="3042.4967999999999"/>
    <n v="13860.263199999998"/>
    <x v="2"/>
  </r>
  <r>
    <s v="ORD00068"/>
    <x v="3"/>
    <x v="3"/>
    <n v="23621.02"/>
    <n v="1"/>
    <n v="23621.02"/>
    <d v="2024-02-26T00:00:00"/>
    <x v="2"/>
    <x v="25"/>
    <s v="February"/>
    <x v="0"/>
    <n v="4724.2040000000006"/>
    <n v="21"/>
    <x v="0"/>
    <x v="2"/>
    <n v="23621.02"/>
    <n v="0"/>
    <n v="0.2"/>
    <n v="23621.02"/>
    <n v="4724.2040000000006"/>
    <n v="2"/>
    <s v="Q1"/>
    <s v="Feb-2024"/>
    <n v="4960.4142000000002"/>
    <n v="18660.605800000001"/>
    <x v="10"/>
  </r>
  <r>
    <s v="ORD00069"/>
    <x v="0"/>
    <x v="0"/>
    <n v="38937.919999999998"/>
    <n v="3"/>
    <n v="116813.75999999999"/>
    <d v="2024-04-08T00:00:00"/>
    <x v="4"/>
    <x v="20"/>
    <s v="April"/>
    <x v="0"/>
    <n v="23362.752"/>
    <n v="8"/>
    <x v="0"/>
    <x v="3"/>
    <n v="116813.75999999999"/>
    <n v="0"/>
    <n v="0.2"/>
    <n v="38937.919999999998"/>
    <n v="7787.5839999999998"/>
    <n v="4"/>
    <s v="Q2"/>
    <s v="Apr-2024"/>
    <n v="9345.1008000000002"/>
    <n v="107468.65919999999"/>
    <x v="9"/>
  </r>
  <r>
    <s v="ORD00070"/>
    <x v="4"/>
    <x v="4"/>
    <n v="2707.97"/>
    <n v="1"/>
    <n v="2707.97"/>
    <d v="2024-04-28T00:00:00"/>
    <x v="5"/>
    <x v="12"/>
    <s v="April"/>
    <x v="0"/>
    <n v="541.59399999999994"/>
    <n v="22"/>
    <x v="2"/>
    <x v="2"/>
    <n v="2707.97"/>
    <n v="0"/>
    <n v="0.19999999999999998"/>
    <n v="2707.97"/>
    <n v="541.59399999999994"/>
    <n v="4"/>
    <s v="Q2"/>
    <s v="Apr-2024"/>
    <n v="595.75339999999994"/>
    <n v="2112.2165999999997"/>
    <x v="9"/>
  </r>
  <r>
    <s v="ORD00071"/>
    <x v="2"/>
    <x v="2"/>
    <n v="23715.42"/>
    <n v="4"/>
    <n v="94861.68"/>
    <d v="2024-03-24T00:00:00"/>
    <x v="3"/>
    <x v="6"/>
    <s v="March"/>
    <x v="0"/>
    <n v="18972.335999999999"/>
    <n v="12"/>
    <x v="0"/>
    <x v="2"/>
    <n v="94861.68"/>
    <n v="0"/>
    <n v="0.2"/>
    <n v="23715.42"/>
    <n v="4743.0839999999998"/>
    <n v="3"/>
    <s v="Q1"/>
    <s v="Mar-2024"/>
    <n v="11383.401599999999"/>
    <n v="83478.278399999996"/>
    <x v="7"/>
  </r>
  <r>
    <s v="ORD00072"/>
    <x v="9"/>
    <x v="3"/>
    <n v="9083.5"/>
    <n v="2"/>
    <n v="18167"/>
    <d v="2024-07-05T00:00:00"/>
    <x v="1"/>
    <x v="31"/>
    <s v="July"/>
    <x v="0"/>
    <n v="3633.4"/>
    <n v="8"/>
    <x v="1"/>
    <x v="0"/>
    <n v="18167"/>
    <n v="0"/>
    <n v="0.2"/>
    <n v="9083.5"/>
    <n v="1816.7"/>
    <n v="7"/>
    <s v="Q3"/>
    <s v="Jul-2024"/>
    <n v="1453.36"/>
    <n v="16713.64"/>
    <x v="5"/>
  </r>
  <r>
    <s v="ORD00073"/>
    <x v="11"/>
    <x v="2"/>
    <n v="26379.35"/>
    <n v="4"/>
    <n v="105517.4"/>
    <d v="2024-09-07T00:00:00"/>
    <x v="1"/>
    <x v="32"/>
    <s v="September"/>
    <x v="0"/>
    <n v="21103.48"/>
    <n v="6"/>
    <x v="1"/>
    <x v="3"/>
    <n v="105517.4"/>
    <n v="0"/>
    <n v="0.2"/>
    <n v="26379.35"/>
    <n v="5275.87"/>
    <n v="9"/>
    <s v="Q3"/>
    <s v="Sep-2024"/>
    <n v="6331.043999999999"/>
    <n v="99186.356"/>
    <x v="0"/>
  </r>
  <r>
    <s v="ORD00074"/>
    <x v="8"/>
    <x v="1"/>
    <n v="34023.96"/>
    <n v="3"/>
    <n v="102071.88"/>
    <d v="2024-02-13T00:00:00"/>
    <x v="4"/>
    <x v="33"/>
    <s v="February"/>
    <x v="0"/>
    <n v="20414.376000000004"/>
    <n v="10"/>
    <x v="0"/>
    <x v="0"/>
    <n v="102071.88"/>
    <n v="0"/>
    <n v="0.20000000000000004"/>
    <n v="34023.96"/>
    <n v="6804.7920000000013"/>
    <n v="2"/>
    <s v="Q1"/>
    <s v="Feb-2024"/>
    <n v="10207.188"/>
    <n v="91864.69200000001"/>
    <x v="10"/>
  </r>
  <r>
    <s v="ORD00075"/>
    <x v="6"/>
    <x v="1"/>
    <n v="1542.1"/>
    <n v="4"/>
    <n v="6168.4"/>
    <d v="2024-08-25T00:00:00"/>
    <x v="4"/>
    <x v="34"/>
    <s v="August"/>
    <x v="0"/>
    <n v="1233.68"/>
    <n v="26"/>
    <x v="0"/>
    <x v="1"/>
    <n v="6168.4"/>
    <n v="0"/>
    <n v="0.2"/>
    <n v="1542.1"/>
    <n v="308.42"/>
    <n v="8"/>
    <s v="Q3"/>
    <s v="Aug-2024"/>
    <n v="1603.7839999999999"/>
    <n v="4564.616"/>
    <x v="12"/>
  </r>
  <r>
    <s v="ORD00076"/>
    <x v="21"/>
    <x v="0"/>
    <n v="42981.08"/>
    <n v="3"/>
    <n v="128943.24"/>
    <d v="2024-03-25T00:00:00"/>
    <x v="3"/>
    <x v="28"/>
    <s v="March"/>
    <x v="0"/>
    <n v="25788.648000000001"/>
    <n v="14"/>
    <x v="1"/>
    <x v="1"/>
    <n v="128943.24"/>
    <n v="0"/>
    <n v="0.2"/>
    <n v="42981.08"/>
    <n v="8596.2160000000003"/>
    <n v="3"/>
    <s v="Q1"/>
    <s v="Mar-2024"/>
    <n v="18052.053599999999"/>
    <n v="110891.18640000001"/>
    <x v="7"/>
  </r>
  <r>
    <s v="ORD00077"/>
    <x v="23"/>
    <x v="4"/>
    <n v="46338.29"/>
    <n v="5"/>
    <n v="231691.45"/>
    <d v="2024-03-22T00:00:00"/>
    <x v="3"/>
    <x v="20"/>
    <s v="March"/>
    <x v="0"/>
    <n v="46338.290000000008"/>
    <n v="8"/>
    <x v="1"/>
    <x v="1"/>
    <n v="231691.45"/>
    <n v="0"/>
    <n v="0.20000000000000004"/>
    <n v="46338.29"/>
    <n v="9267.6580000000013"/>
    <n v="3"/>
    <s v="Q1"/>
    <s v="Mar-2024"/>
    <n v="18535.316000000003"/>
    <n v="213156.13400000002"/>
    <x v="7"/>
  </r>
  <r>
    <s v="ORD00078"/>
    <x v="20"/>
    <x v="3"/>
    <n v="34161.440000000002"/>
    <n v="1"/>
    <n v="34161.440000000002"/>
    <d v="2024-06-30T00:00:00"/>
    <x v="2"/>
    <x v="7"/>
    <s v="June"/>
    <x v="0"/>
    <n v="6832.2880000000005"/>
    <n v="26"/>
    <x v="2"/>
    <x v="3"/>
    <n v="34161.440000000002"/>
    <n v="0"/>
    <n v="0.2"/>
    <n v="34161.440000000002"/>
    <n v="6832.2880000000005"/>
    <n v="6"/>
    <s v="Q2"/>
    <s v="Jun-2024"/>
    <n v="8881.974400000001"/>
    <n v="25279.465600000003"/>
    <x v="11"/>
  </r>
  <r>
    <s v="ORD00079"/>
    <x v="11"/>
    <x v="2"/>
    <n v="21317.31"/>
    <n v="5"/>
    <n v="106586.55"/>
    <d v="2024-07-16T00:00:00"/>
    <x v="4"/>
    <x v="9"/>
    <s v="July"/>
    <x v="0"/>
    <n v="21317.31"/>
    <n v="22"/>
    <x v="1"/>
    <x v="2"/>
    <n v="106586.55"/>
    <n v="0"/>
    <n v="0.2"/>
    <n v="21317.31"/>
    <n v="4263.4620000000004"/>
    <n v="7"/>
    <s v="Q3"/>
    <s v="Jul-2024"/>
    <n v="23449.041000000001"/>
    <n v="83137.509000000005"/>
    <x v="5"/>
  </r>
  <r>
    <s v="ORD00080"/>
    <x v="2"/>
    <x v="2"/>
    <n v="46011.839999999997"/>
    <n v="4"/>
    <n v="184047.35999999999"/>
    <d v="2024-05-01T00:00:00"/>
    <x v="3"/>
    <x v="26"/>
    <s v="May"/>
    <x v="0"/>
    <n v="36809.472000000002"/>
    <n v="30"/>
    <x v="1"/>
    <x v="3"/>
    <n v="184047.35999999999"/>
    <n v="0"/>
    <n v="0.2"/>
    <n v="46011.839999999997"/>
    <n v="9202.3680000000004"/>
    <n v="5"/>
    <s v="Q2"/>
    <s v="May-2024"/>
    <n v="55214.207999999999"/>
    <n v="128833.15199999999"/>
    <x v="2"/>
  </r>
  <r>
    <s v="ORD00081"/>
    <x v="10"/>
    <x v="2"/>
    <n v="2097.9899999999998"/>
    <n v="1"/>
    <n v="2097.9899999999998"/>
    <d v="2025-02-09T00:00:00"/>
    <x v="0"/>
    <x v="3"/>
    <s v="February"/>
    <x v="1"/>
    <n v="419.59799999999996"/>
    <n v="16"/>
    <x v="0"/>
    <x v="3"/>
    <n v="2097.9899999999998"/>
    <n v="0"/>
    <n v="0.2"/>
    <n v="2097.9899999999998"/>
    <n v="419.59799999999996"/>
    <n v="2"/>
    <s v="Q1"/>
    <s v="Feb-2025"/>
    <n v="335.67839999999995"/>
    <n v="1762.3115999999998"/>
    <x v="8"/>
  </r>
  <r>
    <s v="ORD00082"/>
    <x v="12"/>
    <x v="3"/>
    <n v="17104.91"/>
    <n v="3"/>
    <n v="51314.73"/>
    <d v="2024-12-10T00:00:00"/>
    <x v="4"/>
    <x v="29"/>
    <s v="December"/>
    <x v="0"/>
    <n v="10262.946000000002"/>
    <n v="6"/>
    <x v="1"/>
    <x v="2"/>
    <n v="51314.729999999996"/>
    <n v="0"/>
    <n v="0.2"/>
    <n v="17104.91"/>
    <n v="3420.9820000000004"/>
    <n v="12"/>
    <s v="Q4"/>
    <s v="Dec-2024"/>
    <n v="3078.8838000000001"/>
    <n v="48235.8462"/>
    <x v="1"/>
  </r>
  <r>
    <s v="ORD00083"/>
    <x v="23"/>
    <x v="4"/>
    <n v="29326.6"/>
    <n v="3"/>
    <n v="87979.8"/>
    <d v="2024-11-07T00:00:00"/>
    <x v="4"/>
    <x v="35"/>
    <s v="November"/>
    <x v="0"/>
    <n v="17595.960000000003"/>
    <n v="14"/>
    <x v="2"/>
    <x v="0"/>
    <n v="87979.799999999988"/>
    <n v="0"/>
    <n v="0.2"/>
    <n v="29326.600000000002"/>
    <n v="5865.3200000000006"/>
    <n v="11"/>
    <s v="Q4"/>
    <s v="Nov-2024"/>
    <n v="12317.171999999999"/>
    <n v="75662.627999999997"/>
    <x v="3"/>
  </r>
  <r>
    <s v="ORD00084"/>
    <x v="20"/>
    <x v="3"/>
    <n v="28892.73"/>
    <n v="4"/>
    <n v="115570.92"/>
    <d v="2024-11-11T00:00:00"/>
    <x v="3"/>
    <x v="11"/>
    <s v="November"/>
    <x v="0"/>
    <n v="23114.184000000001"/>
    <n v="8"/>
    <x v="1"/>
    <x v="1"/>
    <n v="115570.92"/>
    <n v="0"/>
    <n v="0.2"/>
    <n v="28892.73"/>
    <n v="5778.5460000000003"/>
    <n v="11"/>
    <s v="Q4"/>
    <s v="Nov-2024"/>
    <n v="9245.6736000000001"/>
    <n v="106325.2464"/>
    <x v="3"/>
  </r>
  <r>
    <s v="ORD00085"/>
    <x v="9"/>
    <x v="3"/>
    <n v="35033.120000000003"/>
    <n v="4"/>
    <n v="140132.48000000001"/>
    <d v="2024-12-03T00:00:00"/>
    <x v="1"/>
    <x v="25"/>
    <s v="December"/>
    <x v="0"/>
    <n v="28026.496000000003"/>
    <n v="18"/>
    <x v="0"/>
    <x v="0"/>
    <n v="140132.48000000001"/>
    <n v="0"/>
    <n v="0.2"/>
    <n v="35033.120000000003"/>
    <n v="7006.6240000000007"/>
    <n v="12"/>
    <s v="Q4"/>
    <s v="Dec-2024"/>
    <n v="25223.846400000002"/>
    <n v="114908.6336"/>
    <x v="1"/>
  </r>
  <r>
    <s v="ORD00086"/>
    <x v="1"/>
    <x v="1"/>
    <n v="40069.300000000003"/>
    <n v="3"/>
    <n v="120207.9"/>
    <d v="2024-10-27T00:00:00"/>
    <x v="0"/>
    <x v="7"/>
    <s v="October"/>
    <x v="0"/>
    <n v="24041.58"/>
    <n v="20"/>
    <x v="0"/>
    <x v="1"/>
    <n v="120207.90000000001"/>
    <n v="0"/>
    <n v="0.2"/>
    <n v="40069.299999999996"/>
    <n v="8013.8600000000006"/>
    <n v="10"/>
    <s v="Q4"/>
    <s v="Oct-2024"/>
    <n v="24041.58"/>
    <n v="96166.319999999992"/>
    <x v="4"/>
  </r>
  <r>
    <s v="ORD00087"/>
    <x v="13"/>
    <x v="0"/>
    <n v="20613.14"/>
    <n v="4"/>
    <n v="82452.56"/>
    <d v="2024-05-30T00:00:00"/>
    <x v="1"/>
    <x v="20"/>
    <s v="May"/>
    <x v="0"/>
    <n v="16490.511999999999"/>
    <n v="19"/>
    <x v="1"/>
    <x v="3"/>
    <n v="82452.56"/>
    <n v="0"/>
    <n v="0.19999999999999998"/>
    <n v="20613.14"/>
    <n v="4122.6279999999997"/>
    <n v="5"/>
    <s v="Q2"/>
    <s v="May-2024"/>
    <n v="15665.9864"/>
    <n v="66786.573600000003"/>
    <x v="2"/>
  </r>
  <r>
    <s v="ORD00088"/>
    <x v="4"/>
    <x v="4"/>
    <n v="3432"/>
    <n v="5"/>
    <n v="17160"/>
    <d v="2024-04-12T00:00:00"/>
    <x v="4"/>
    <x v="20"/>
    <s v="April"/>
    <x v="0"/>
    <n v="3432"/>
    <n v="12"/>
    <x v="0"/>
    <x v="1"/>
    <n v="17160"/>
    <n v="0"/>
    <n v="0.2"/>
    <n v="3432"/>
    <n v="686.4"/>
    <n v="4"/>
    <s v="Q2"/>
    <s v="Apr-2024"/>
    <n v="2059.1999999999998"/>
    <n v="15100.8"/>
    <x v="9"/>
  </r>
  <r>
    <s v="ORD00089"/>
    <x v="19"/>
    <x v="2"/>
    <n v="25752.65"/>
    <n v="3"/>
    <n v="77257.95"/>
    <d v="2024-06-28T00:00:00"/>
    <x v="5"/>
    <x v="15"/>
    <s v="June"/>
    <x v="0"/>
    <n v="15451.59"/>
    <n v="18"/>
    <x v="2"/>
    <x v="3"/>
    <n v="77257.950000000012"/>
    <n v="0"/>
    <n v="0.2"/>
    <n v="25752.649999999998"/>
    <n v="5150.53"/>
    <n v="6"/>
    <s v="Q2"/>
    <s v="Jun-2024"/>
    <n v="13906.430999999999"/>
    <n v="63351.519"/>
    <x v="11"/>
  </r>
  <r>
    <s v="ORD00090"/>
    <x v="3"/>
    <x v="3"/>
    <n v="30238.47"/>
    <n v="2"/>
    <n v="60476.94"/>
    <d v="2024-09-24T00:00:00"/>
    <x v="5"/>
    <x v="9"/>
    <s v="September"/>
    <x v="0"/>
    <n v="12095.388000000001"/>
    <n v="27"/>
    <x v="2"/>
    <x v="0"/>
    <n v="60476.94"/>
    <n v="0"/>
    <n v="0.2"/>
    <n v="30238.47"/>
    <n v="6047.6940000000004"/>
    <n v="9"/>
    <s v="Q3"/>
    <s v="Sep-2024"/>
    <n v="16328.773800000001"/>
    <n v="44148.1662"/>
    <x v="0"/>
  </r>
  <r>
    <s v="ORD00091"/>
    <x v="16"/>
    <x v="4"/>
    <n v="34293.379999999997"/>
    <n v="4"/>
    <n v="137173.51999999999"/>
    <d v="2024-04-01T00:00:00"/>
    <x v="5"/>
    <x v="2"/>
    <s v="April"/>
    <x v="0"/>
    <n v="27434.703999999998"/>
    <n v="29"/>
    <x v="1"/>
    <x v="3"/>
    <n v="137173.51999999999"/>
    <n v="0"/>
    <n v="0.2"/>
    <n v="34293.379999999997"/>
    <n v="6858.6759999999995"/>
    <n v="4"/>
    <s v="Q2"/>
    <s v="Apr-2024"/>
    <n v="39780.320799999994"/>
    <n v="97393.199200000003"/>
    <x v="9"/>
  </r>
  <r>
    <s v="ORD00092"/>
    <x v="10"/>
    <x v="2"/>
    <n v="19498.32"/>
    <n v="2"/>
    <n v="38996.639999999999"/>
    <d v="2024-11-23T00:00:00"/>
    <x v="4"/>
    <x v="22"/>
    <s v="November"/>
    <x v="0"/>
    <n v="7799.3280000000004"/>
    <n v="12"/>
    <x v="1"/>
    <x v="0"/>
    <n v="38996.639999999999"/>
    <n v="0"/>
    <n v="0.2"/>
    <n v="19498.32"/>
    <n v="3899.6640000000002"/>
    <n v="11"/>
    <s v="Q4"/>
    <s v="Nov-2024"/>
    <n v="4679.5968000000003"/>
    <n v="34317.0432"/>
    <x v="3"/>
  </r>
  <r>
    <s v="ORD00093"/>
    <x v="15"/>
    <x v="1"/>
    <n v="39355.589999999997"/>
    <n v="1"/>
    <n v="39355.589999999997"/>
    <d v="2024-10-22T00:00:00"/>
    <x v="2"/>
    <x v="36"/>
    <s v="October"/>
    <x v="0"/>
    <n v="7871.1179999999995"/>
    <n v="25"/>
    <x v="1"/>
    <x v="2"/>
    <n v="39355.589999999997"/>
    <n v="0"/>
    <n v="0.2"/>
    <n v="39355.589999999997"/>
    <n v="7871.1179999999995"/>
    <n v="10"/>
    <s v="Q4"/>
    <s v="Oct-2024"/>
    <n v="9838.8974999999991"/>
    <n v="29516.692499999997"/>
    <x v="4"/>
  </r>
  <r>
    <s v="ORD00094"/>
    <x v="14"/>
    <x v="0"/>
    <n v="26575.86"/>
    <n v="2"/>
    <n v="53151.72"/>
    <d v="2024-05-23T00:00:00"/>
    <x v="2"/>
    <x v="6"/>
    <s v="May"/>
    <x v="0"/>
    <n v="10630.344000000001"/>
    <n v="20"/>
    <x v="0"/>
    <x v="2"/>
    <n v="53151.72"/>
    <n v="0"/>
    <n v="0.2"/>
    <n v="26575.86"/>
    <n v="5315.1720000000005"/>
    <n v="5"/>
    <s v="Q2"/>
    <s v="May-2024"/>
    <n v="10630.343999999999"/>
    <n v="42521.376000000004"/>
    <x v="2"/>
  </r>
  <r>
    <s v="ORD00095"/>
    <x v="20"/>
    <x v="3"/>
    <n v="12506.31"/>
    <n v="3"/>
    <n v="37518.93"/>
    <d v="2025-01-12T00:00:00"/>
    <x v="1"/>
    <x v="23"/>
    <s v="January"/>
    <x v="1"/>
    <n v="7503.7860000000001"/>
    <n v="17"/>
    <x v="2"/>
    <x v="2"/>
    <n v="37518.93"/>
    <n v="0"/>
    <n v="0.2"/>
    <n v="12506.31"/>
    <n v="2501.2620000000002"/>
    <n v="1"/>
    <s v="Q1"/>
    <s v="Jan-2025"/>
    <n v="6378.218100000001"/>
    <n v="31140.711899999998"/>
    <x v="6"/>
  </r>
  <r>
    <s v="ORD00096"/>
    <x v="15"/>
    <x v="1"/>
    <n v="19180.77"/>
    <n v="3"/>
    <n v="57542.31"/>
    <d v="2025-01-28T00:00:00"/>
    <x v="2"/>
    <x v="1"/>
    <s v="January"/>
    <x v="1"/>
    <n v="11508.462"/>
    <n v="22"/>
    <x v="2"/>
    <x v="3"/>
    <n v="57542.31"/>
    <n v="0"/>
    <n v="0.2"/>
    <n v="19180.77"/>
    <n v="3836.154"/>
    <n v="1"/>
    <s v="Q1"/>
    <s v="Jan-2025"/>
    <n v="12659.308199999998"/>
    <n v="44883.001799999998"/>
    <x v="6"/>
  </r>
  <r>
    <s v="ORD00097"/>
    <x v="16"/>
    <x v="4"/>
    <n v="8877.51"/>
    <n v="5"/>
    <n v="44387.55"/>
    <d v="2024-05-31T00:00:00"/>
    <x v="1"/>
    <x v="15"/>
    <s v="May"/>
    <x v="0"/>
    <n v="8877.51"/>
    <n v="19"/>
    <x v="0"/>
    <x v="2"/>
    <n v="44387.55"/>
    <n v="0"/>
    <n v="0.19999999999999998"/>
    <n v="8877.51"/>
    <n v="1775.502"/>
    <n v="5"/>
    <s v="Q2"/>
    <s v="May-2024"/>
    <n v="8433.6345000000001"/>
    <n v="35953.915500000003"/>
    <x v="2"/>
  </r>
  <r>
    <s v="ORD00098"/>
    <x v="6"/>
    <x v="1"/>
    <n v="32348.92"/>
    <n v="2"/>
    <n v="64697.84"/>
    <d v="2025-02-02T00:00:00"/>
    <x v="4"/>
    <x v="4"/>
    <s v="February"/>
    <x v="1"/>
    <n v="12939.567999999999"/>
    <n v="25"/>
    <x v="2"/>
    <x v="1"/>
    <n v="64697.84"/>
    <n v="0"/>
    <n v="0.2"/>
    <n v="32348.92"/>
    <n v="6469.7839999999997"/>
    <n v="2"/>
    <s v="Q1"/>
    <s v="Feb-2025"/>
    <n v="16174.46"/>
    <n v="48523.38"/>
    <x v="8"/>
  </r>
  <r>
    <s v="ORD00099"/>
    <x v="3"/>
    <x v="3"/>
    <n v="19375.759999999998"/>
    <n v="2"/>
    <n v="38751.519999999997"/>
    <d v="2024-12-06T00:00:00"/>
    <x v="4"/>
    <x v="37"/>
    <s v="December"/>
    <x v="0"/>
    <n v="7750.3040000000001"/>
    <n v="28"/>
    <x v="1"/>
    <x v="0"/>
    <n v="38751.519999999997"/>
    <n v="0"/>
    <n v="0.2"/>
    <n v="19375.759999999998"/>
    <n v="3875.152"/>
    <n v="12"/>
    <s v="Q4"/>
    <s v="Dec-2024"/>
    <n v="10850.425599999999"/>
    <n v="27901.094399999998"/>
    <x v="1"/>
  </r>
  <r>
    <s v="ORD00100"/>
    <x v="0"/>
    <x v="0"/>
    <n v="48157.93"/>
    <n v="1"/>
    <n v="48157.93"/>
    <d v="2024-09-05T00:00:00"/>
    <x v="3"/>
    <x v="7"/>
    <s v="September"/>
    <x v="0"/>
    <n v="9631.5860000000011"/>
    <n v="30"/>
    <x v="1"/>
    <x v="0"/>
    <n v="48157.93"/>
    <n v="0"/>
    <n v="0.2"/>
    <n v="48157.93"/>
    <n v="9631.5860000000011"/>
    <n v="9"/>
    <s v="Q3"/>
    <s v="Sep-2024"/>
    <n v="14447.378999999999"/>
    <n v="33710.550999999999"/>
    <x v="0"/>
  </r>
  <r>
    <s v="ORD00101"/>
    <x v="18"/>
    <x v="3"/>
    <n v="4360.05"/>
    <n v="4"/>
    <n v="17440.2"/>
    <d v="2025-01-18T00:00:00"/>
    <x v="2"/>
    <x v="26"/>
    <s v="January"/>
    <x v="1"/>
    <n v="3488.0400000000004"/>
    <n v="29"/>
    <x v="1"/>
    <x v="1"/>
    <n v="17440.2"/>
    <n v="0"/>
    <n v="0.2"/>
    <n v="4360.05"/>
    <n v="872.0100000000001"/>
    <n v="1"/>
    <s v="Q1"/>
    <s v="Jan-2025"/>
    <n v="5057.6580000000004"/>
    <n v="12382.542000000001"/>
    <x v="6"/>
  </r>
  <r>
    <s v="ORD00102"/>
    <x v="8"/>
    <x v="1"/>
    <n v="38093.14"/>
    <n v="1"/>
    <n v="38093.14"/>
    <d v="2024-10-22T00:00:00"/>
    <x v="4"/>
    <x v="32"/>
    <s v="October"/>
    <x v="0"/>
    <n v="7618.6280000000006"/>
    <n v="17"/>
    <x v="2"/>
    <x v="3"/>
    <n v="38093.14"/>
    <n v="0"/>
    <n v="0.2"/>
    <n v="38093.14"/>
    <n v="7618.6280000000006"/>
    <n v="10"/>
    <s v="Q4"/>
    <s v="Oct-2024"/>
    <n v="6475.8338000000003"/>
    <n v="31617.306199999999"/>
    <x v="4"/>
  </r>
  <r>
    <s v="ORD00103"/>
    <x v="0"/>
    <x v="0"/>
    <n v="32788.199999999997"/>
    <n v="5"/>
    <n v="163941"/>
    <d v="2024-07-07T00:00:00"/>
    <x v="4"/>
    <x v="9"/>
    <s v="July"/>
    <x v="0"/>
    <n v="32788.200000000004"/>
    <n v="13"/>
    <x v="1"/>
    <x v="3"/>
    <n v="163941"/>
    <n v="0"/>
    <n v="0.20000000000000004"/>
    <n v="32788.199999999997"/>
    <n v="6557.6400000000012"/>
    <n v="7"/>
    <s v="Q3"/>
    <s v="Jul-2024"/>
    <n v="21312.33"/>
    <n v="142628.66999999998"/>
    <x v="5"/>
  </r>
  <r>
    <s v="ORD00104"/>
    <x v="13"/>
    <x v="0"/>
    <n v="42715.55"/>
    <n v="1"/>
    <n v="42715.55"/>
    <d v="2024-07-14T00:00:00"/>
    <x v="4"/>
    <x v="2"/>
    <s v="July"/>
    <x v="0"/>
    <n v="8543.11"/>
    <n v="19"/>
    <x v="0"/>
    <x v="0"/>
    <n v="42715.55"/>
    <n v="0"/>
    <n v="0.2"/>
    <n v="42715.55"/>
    <n v="8543.11"/>
    <n v="7"/>
    <s v="Q3"/>
    <s v="Jul-2024"/>
    <n v="8115.9545000000007"/>
    <n v="34599.595500000003"/>
    <x v="5"/>
  </r>
  <r>
    <s v="ORD00105"/>
    <x v="10"/>
    <x v="2"/>
    <n v="28758.42"/>
    <n v="5"/>
    <n v="143792.1"/>
    <d v="2024-09-22T00:00:00"/>
    <x v="5"/>
    <x v="13"/>
    <s v="September"/>
    <x v="0"/>
    <n v="28758.420000000002"/>
    <n v="17"/>
    <x v="0"/>
    <x v="2"/>
    <n v="143792.09999999998"/>
    <n v="0"/>
    <n v="0.2"/>
    <n v="28758.420000000002"/>
    <n v="5751.6840000000002"/>
    <n v="9"/>
    <s v="Q3"/>
    <s v="Sep-2024"/>
    <n v="24444.657000000003"/>
    <n v="119347.443"/>
    <x v="0"/>
  </r>
  <r>
    <s v="ORD00106"/>
    <x v="0"/>
    <x v="0"/>
    <n v="22555.21"/>
    <n v="2"/>
    <n v="45110.42"/>
    <d v="2024-05-10T00:00:00"/>
    <x v="1"/>
    <x v="17"/>
    <s v="May"/>
    <x v="0"/>
    <n v="9022.0840000000007"/>
    <n v="5"/>
    <x v="2"/>
    <x v="3"/>
    <n v="45110.42"/>
    <n v="0"/>
    <n v="0.2"/>
    <n v="22555.21"/>
    <n v="4511.0420000000004"/>
    <n v="5"/>
    <s v="Q2"/>
    <s v="May-2024"/>
    <n v="2255.5209999999997"/>
    <n v="42854.898999999998"/>
    <x v="2"/>
  </r>
  <r>
    <s v="ORD00107"/>
    <x v="24"/>
    <x v="1"/>
    <n v="33613.18"/>
    <n v="1"/>
    <n v="33613.18"/>
    <d v="2024-08-24T00:00:00"/>
    <x v="2"/>
    <x v="0"/>
    <s v="August"/>
    <x v="0"/>
    <n v="6722.6360000000004"/>
    <n v="29"/>
    <x v="0"/>
    <x v="3"/>
    <n v="33613.18"/>
    <n v="0"/>
    <n v="0.2"/>
    <n v="33613.18"/>
    <n v="6722.6360000000004"/>
    <n v="8"/>
    <s v="Q3"/>
    <s v="Aug-2024"/>
    <n v="9747.8222000000005"/>
    <n v="23865.357799999998"/>
    <x v="12"/>
  </r>
  <r>
    <s v="ORD00108"/>
    <x v="15"/>
    <x v="1"/>
    <n v="44639"/>
    <n v="5"/>
    <n v="223195"/>
    <d v="2024-05-04T00:00:00"/>
    <x v="4"/>
    <x v="19"/>
    <s v="May"/>
    <x v="0"/>
    <n v="44639"/>
    <n v="11"/>
    <x v="0"/>
    <x v="1"/>
    <n v="223195"/>
    <n v="0"/>
    <n v="0.2"/>
    <n v="44639"/>
    <n v="8927.7999999999993"/>
    <n v="5"/>
    <s v="Q2"/>
    <s v="May-2024"/>
    <n v="24551.45"/>
    <n v="198643.55"/>
    <x v="2"/>
  </r>
  <r>
    <s v="ORD00109"/>
    <x v="1"/>
    <x v="1"/>
    <n v="11785.4"/>
    <n v="5"/>
    <n v="58927"/>
    <d v="2024-06-25T00:00:00"/>
    <x v="2"/>
    <x v="14"/>
    <s v="June"/>
    <x v="0"/>
    <n v="11785.400000000001"/>
    <n v="13"/>
    <x v="2"/>
    <x v="1"/>
    <n v="58927"/>
    <n v="0"/>
    <n v="0.2"/>
    <n v="11785.4"/>
    <n v="2357.0800000000004"/>
    <n v="6"/>
    <s v="Q2"/>
    <s v="Jun-2024"/>
    <n v="7660.51"/>
    <n v="51266.49"/>
    <x v="11"/>
  </r>
  <r>
    <s v="ORD00110"/>
    <x v="22"/>
    <x v="0"/>
    <n v="30826.720000000001"/>
    <n v="1"/>
    <n v="30826.720000000001"/>
    <d v="2024-08-04T00:00:00"/>
    <x v="1"/>
    <x v="1"/>
    <s v="August"/>
    <x v="0"/>
    <n v="6165.344000000001"/>
    <n v="28"/>
    <x v="1"/>
    <x v="2"/>
    <n v="30826.720000000001"/>
    <n v="0"/>
    <n v="0.2"/>
    <n v="30826.720000000001"/>
    <n v="6165.344000000001"/>
    <n v="8"/>
    <s v="Q3"/>
    <s v="Aug-2024"/>
    <n v="8631.481600000001"/>
    <n v="22195.238400000002"/>
    <x v="12"/>
  </r>
  <r>
    <s v="ORD00111"/>
    <x v="8"/>
    <x v="1"/>
    <n v="35811.1"/>
    <n v="4"/>
    <n v="143244.4"/>
    <d v="2024-09-11T00:00:00"/>
    <x v="5"/>
    <x v="30"/>
    <s v="September"/>
    <x v="0"/>
    <n v="28648.880000000001"/>
    <n v="5"/>
    <x v="1"/>
    <x v="3"/>
    <n v="143244.4"/>
    <n v="0"/>
    <n v="0.2"/>
    <n v="35811.1"/>
    <n v="7162.22"/>
    <n v="9"/>
    <s v="Q3"/>
    <s v="Sep-2024"/>
    <n v="7162.22"/>
    <n v="136082.18"/>
    <x v="0"/>
  </r>
  <r>
    <s v="ORD00112"/>
    <x v="19"/>
    <x v="2"/>
    <n v="45387.99"/>
    <n v="3"/>
    <n v="136163.97"/>
    <d v="2024-12-23T00:00:00"/>
    <x v="3"/>
    <x v="38"/>
    <s v="December"/>
    <x v="0"/>
    <n v="27232.794000000002"/>
    <n v="16"/>
    <x v="1"/>
    <x v="3"/>
    <n v="136163.97"/>
    <n v="0"/>
    <n v="0.2"/>
    <n v="45387.99"/>
    <n v="9077.598"/>
    <n v="12"/>
    <s v="Q4"/>
    <s v="Dec-2024"/>
    <n v="21786.235199999999"/>
    <n v="114377.73480000001"/>
    <x v="1"/>
  </r>
  <r>
    <s v="ORD00113"/>
    <x v="23"/>
    <x v="4"/>
    <n v="39263.94"/>
    <n v="5"/>
    <n v="196319.7"/>
    <d v="2024-08-05T00:00:00"/>
    <x v="2"/>
    <x v="28"/>
    <s v="August"/>
    <x v="0"/>
    <n v="39263.94"/>
    <n v="12"/>
    <x v="2"/>
    <x v="1"/>
    <n v="196319.7"/>
    <n v="0"/>
    <n v="0.2"/>
    <n v="39263.94"/>
    <n v="7852.7880000000005"/>
    <n v="8"/>
    <s v="Q3"/>
    <s v="Aug-2024"/>
    <n v="23558.364000000005"/>
    <n v="172761.33600000001"/>
    <x v="12"/>
  </r>
  <r>
    <s v="ORD00114"/>
    <x v="0"/>
    <x v="0"/>
    <n v="19787.61"/>
    <n v="1"/>
    <n v="19787.61"/>
    <d v="2024-10-07T00:00:00"/>
    <x v="0"/>
    <x v="1"/>
    <s v="October"/>
    <x v="0"/>
    <n v="3957.5220000000004"/>
    <n v="28"/>
    <x v="0"/>
    <x v="3"/>
    <n v="19787.61"/>
    <n v="0"/>
    <n v="0.2"/>
    <n v="19787.61"/>
    <n v="3957.5220000000004"/>
    <n v="10"/>
    <s v="Q4"/>
    <s v="Oct-2024"/>
    <n v="5540.5308000000005"/>
    <n v="14247.0792"/>
    <x v="4"/>
  </r>
  <r>
    <s v="ORD00115"/>
    <x v="8"/>
    <x v="1"/>
    <n v="26219.99"/>
    <n v="4"/>
    <n v="104879.96"/>
    <d v="2024-03-14T00:00:00"/>
    <x v="0"/>
    <x v="37"/>
    <s v="March"/>
    <x v="0"/>
    <n v="20975.992000000002"/>
    <n v="15"/>
    <x v="1"/>
    <x v="0"/>
    <n v="104879.96"/>
    <n v="0"/>
    <n v="0.2"/>
    <n v="26219.99"/>
    <n v="5243.9980000000005"/>
    <n v="3"/>
    <s v="Q1"/>
    <s v="Mar-2024"/>
    <n v="15731.994000000001"/>
    <n v="89147.966"/>
    <x v="7"/>
  </r>
  <r>
    <s v="ORD00116"/>
    <x v="11"/>
    <x v="2"/>
    <n v="14286.02"/>
    <n v="4"/>
    <n v="57144.08"/>
    <d v="2024-05-25T00:00:00"/>
    <x v="1"/>
    <x v="13"/>
    <s v="May"/>
    <x v="0"/>
    <n v="11428.816000000001"/>
    <n v="23"/>
    <x v="1"/>
    <x v="1"/>
    <n v="57144.08"/>
    <n v="0"/>
    <n v="0.2"/>
    <n v="14286.02"/>
    <n v="2857.2040000000002"/>
    <n v="5"/>
    <s v="Q2"/>
    <s v="May-2024"/>
    <n v="13143.138400000002"/>
    <n v="44000.941599999998"/>
    <x v="2"/>
  </r>
  <r>
    <s v="ORD00117"/>
    <x v="15"/>
    <x v="1"/>
    <n v="13019.07"/>
    <n v="3"/>
    <n v="39057.21"/>
    <d v="2025-02-02T00:00:00"/>
    <x v="4"/>
    <x v="18"/>
    <s v="February"/>
    <x v="1"/>
    <n v="7811.442"/>
    <n v="21"/>
    <x v="2"/>
    <x v="2"/>
    <n v="39057.21"/>
    <n v="0"/>
    <n v="0.2"/>
    <n v="13019.07"/>
    <n v="2603.8139999999999"/>
    <n v="2"/>
    <s v="Q1"/>
    <s v="Feb-2025"/>
    <n v="8202.0141000000003"/>
    <n v="30855.195899999999"/>
    <x v="8"/>
  </r>
  <r>
    <s v="ORD00118"/>
    <x v="2"/>
    <x v="2"/>
    <n v="43488.42"/>
    <n v="3"/>
    <n v="130465.26"/>
    <d v="2024-07-18T00:00:00"/>
    <x v="5"/>
    <x v="32"/>
    <s v="July"/>
    <x v="0"/>
    <n v="26093.052"/>
    <n v="12"/>
    <x v="1"/>
    <x v="1"/>
    <n v="130465.26"/>
    <n v="0"/>
    <n v="0.2"/>
    <n v="43488.42"/>
    <n v="8697.6839999999993"/>
    <n v="7"/>
    <s v="Q3"/>
    <s v="Jul-2024"/>
    <n v="15655.831199999999"/>
    <n v="114809.42879999999"/>
    <x v="5"/>
  </r>
  <r>
    <s v="ORD00119"/>
    <x v="14"/>
    <x v="0"/>
    <n v="30903.49"/>
    <n v="4"/>
    <n v="123613.96"/>
    <d v="2024-09-10T00:00:00"/>
    <x v="5"/>
    <x v="5"/>
    <s v="September"/>
    <x v="0"/>
    <n v="24722.792000000001"/>
    <n v="7"/>
    <x v="2"/>
    <x v="3"/>
    <n v="123613.96"/>
    <n v="0"/>
    <n v="0.2"/>
    <n v="30903.49"/>
    <n v="6180.6980000000003"/>
    <n v="9"/>
    <s v="Q3"/>
    <s v="Sep-2024"/>
    <n v="8652.9772000000012"/>
    <n v="114960.9828"/>
    <x v="0"/>
  </r>
  <r>
    <s v="ORD00120"/>
    <x v="7"/>
    <x v="4"/>
    <n v="37405.46"/>
    <n v="4"/>
    <n v="149621.84"/>
    <d v="2025-01-15T00:00:00"/>
    <x v="2"/>
    <x v="11"/>
    <s v="January"/>
    <x v="1"/>
    <n v="29924.368000000002"/>
    <n v="7"/>
    <x v="0"/>
    <x v="2"/>
    <n v="149621.84"/>
    <n v="0"/>
    <n v="0.2"/>
    <n v="37405.46"/>
    <n v="7481.0920000000006"/>
    <n v="1"/>
    <s v="Q1"/>
    <s v="Jan-2025"/>
    <n v="10473.5288"/>
    <n v="139148.3112"/>
    <x v="6"/>
  </r>
  <r>
    <s v="ORD00121"/>
    <x v="9"/>
    <x v="3"/>
    <n v="30593.67"/>
    <n v="4"/>
    <n v="122374.68"/>
    <d v="2024-05-18T00:00:00"/>
    <x v="3"/>
    <x v="39"/>
    <s v="May"/>
    <x v="0"/>
    <n v="24474.936000000002"/>
    <n v="5"/>
    <x v="2"/>
    <x v="1"/>
    <n v="122374.68"/>
    <n v="0"/>
    <n v="0.2"/>
    <n v="30593.67"/>
    <n v="6118.7340000000004"/>
    <n v="5"/>
    <s v="Q2"/>
    <s v="May-2024"/>
    <n v="6118.7339999999995"/>
    <n v="116255.946"/>
    <x v="2"/>
  </r>
  <r>
    <s v="ORD00122"/>
    <x v="20"/>
    <x v="3"/>
    <n v="28688.25"/>
    <n v="3"/>
    <n v="86064.75"/>
    <d v="2024-05-27T00:00:00"/>
    <x v="1"/>
    <x v="7"/>
    <s v="May"/>
    <x v="0"/>
    <n v="17212.95"/>
    <n v="9"/>
    <x v="2"/>
    <x v="0"/>
    <n v="86064.75"/>
    <n v="0"/>
    <n v="0.2"/>
    <n v="28688.25"/>
    <n v="5737.6500000000005"/>
    <n v="5"/>
    <s v="Q2"/>
    <s v="May-2024"/>
    <n v="7745.8275000000003"/>
    <n v="78318.922500000001"/>
    <x v="2"/>
  </r>
  <r>
    <s v="ORD00123"/>
    <x v="17"/>
    <x v="2"/>
    <n v="12158.96"/>
    <n v="3"/>
    <n v="36476.879999999997"/>
    <d v="2024-03-21T00:00:00"/>
    <x v="5"/>
    <x v="19"/>
    <s v="March"/>
    <x v="0"/>
    <n v="7295.3760000000002"/>
    <n v="14"/>
    <x v="2"/>
    <x v="0"/>
    <n v="36476.879999999997"/>
    <n v="0"/>
    <n v="0.2"/>
    <n v="12158.96"/>
    <n v="2431.7919999999999"/>
    <n v="3"/>
    <s v="Q1"/>
    <s v="Mar-2024"/>
    <n v="5106.7631999999994"/>
    <n v="31370.116799999996"/>
    <x v="7"/>
  </r>
  <r>
    <s v="ORD00124"/>
    <x v="20"/>
    <x v="3"/>
    <n v="24500.05"/>
    <n v="3"/>
    <n v="73500.149999999994"/>
    <d v="2024-04-21T00:00:00"/>
    <x v="4"/>
    <x v="2"/>
    <s v="April"/>
    <x v="0"/>
    <n v="14700.029999999999"/>
    <n v="11"/>
    <x v="2"/>
    <x v="1"/>
    <n v="73500.149999999994"/>
    <n v="0"/>
    <n v="0.2"/>
    <n v="24500.05"/>
    <n v="4900.0099999999993"/>
    <n v="4"/>
    <s v="Q2"/>
    <s v="Apr-2024"/>
    <n v="8085.0164999999988"/>
    <n v="65415.133499999996"/>
    <x v="9"/>
  </r>
  <r>
    <s v="ORD00125"/>
    <x v="7"/>
    <x v="4"/>
    <n v="44412.88"/>
    <n v="3"/>
    <n v="133238.64000000001"/>
    <d v="2024-09-13T00:00:00"/>
    <x v="3"/>
    <x v="23"/>
    <s v="September"/>
    <x v="0"/>
    <n v="26647.728000000003"/>
    <n v="30"/>
    <x v="0"/>
    <x v="0"/>
    <n v="133238.63999999998"/>
    <n v="0"/>
    <n v="0.2"/>
    <n v="44412.880000000005"/>
    <n v="8882.5760000000009"/>
    <n v="9"/>
    <s v="Q3"/>
    <s v="Sep-2024"/>
    <n v="39971.592000000004"/>
    <n v="93267.04800000001"/>
    <x v="0"/>
  </r>
  <r>
    <s v="ORD00126"/>
    <x v="12"/>
    <x v="3"/>
    <n v="26615.97"/>
    <n v="3"/>
    <n v="79847.91"/>
    <d v="2024-08-26T00:00:00"/>
    <x v="5"/>
    <x v="22"/>
    <s v="August"/>
    <x v="0"/>
    <n v="15969.582000000002"/>
    <n v="13"/>
    <x v="0"/>
    <x v="0"/>
    <n v="79847.91"/>
    <n v="0"/>
    <n v="0.2"/>
    <n v="26615.97"/>
    <n v="5323.1940000000004"/>
    <n v="8"/>
    <s v="Q3"/>
    <s v="Aug-2024"/>
    <n v="10380.228300000001"/>
    <n v="69467.681700000001"/>
    <x v="12"/>
  </r>
  <r>
    <s v="ORD00127"/>
    <x v="8"/>
    <x v="1"/>
    <n v="3979.4"/>
    <n v="1"/>
    <n v="3979.4"/>
    <d v="2024-10-02T00:00:00"/>
    <x v="0"/>
    <x v="33"/>
    <s v="October"/>
    <x v="0"/>
    <n v="795.88000000000011"/>
    <n v="11"/>
    <x v="1"/>
    <x v="0"/>
    <n v="3979.4"/>
    <n v="0"/>
    <n v="0.2"/>
    <n v="3979.4"/>
    <n v="795.88000000000011"/>
    <n v="10"/>
    <s v="Q4"/>
    <s v="Oct-2024"/>
    <n v="437.73400000000004"/>
    <n v="3541.6660000000002"/>
    <x v="4"/>
  </r>
  <r>
    <s v="ORD00128"/>
    <x v="10"/>
    <x v="2"/>
    <n v="49687.49"/>
    <n v="2"/>
    <n v="99374.98"/>
    <d v="2024-05-02T00:00:00"/>
    <x v="1"/>
    <x v="15"/>
    <s v="May"/>
    <x v="0"/>
    <n v="19874.995999999999"/>
    <n v="13"/>
    <x v="0"/>
    <x v="2"/>
    <n v="99374.98"/>
    <n v="0"/>
    <n v="0.2"/>
    <n v="49687.49"/>
    <n v="9937.4979999999996"/>
    <n v="5"/>
    <s v="Q2"/>
    <s v="May-2024"/>
    <n v="12918.7474"/>
    <n v="86456.232599999988"/>
    <x v="2"/>
  </r>
  <r>
    <s v="ORD00129"/>
    <x v="18"/>
    <x v="3"/>
    <n v="11289.42"/>
    <n v="3"/>
    <n v="33868.26"/>
    <d v="2024-08-10T00:00:00"/>
    <x v="1"/>
    <x v="10"/>
    <s v="August"/>
    <x v="0"/>
    <n v="6773.652000000001"/>
    <n v="12"/>
    <x v="0"/>
    <x v="0"/>
    <n v="33868.26"/>
    <n v="0"/>
    <n v="0.2"/>
    <n v="11289.42"/>
    <n v="2257.8840000000005"/>
    <n v="8"/>
    <s v="Q3"/>
    <s v="Aug-2024"/>
    <n v="4064.1911999999998"/>
    <n v="29804.068800000001"/>
    <x v="12"/>
  </r>
  <r>
    <s v="ORD00130"/>
    <x v="24"/>
    <x v="1"/>
    <n v="27309.73"/>
    <n v="3"/>
    <n v="81929.19"/>
    <d v="2024-06-17T00:00:00"/>
    <x v="5"/>
    <x v="9"/>
    <s v="June"/>
    <x v="0"/>
    <n v="16385.838"/>
    <n v="16"/>
    <x v="1"/>
    <x v="0"/>
    <n v="81929.19"/>
    <n v="0"/>
    <n v="0.19999999999999998"/>
    <n v="27309.73"/>
    <n v="5461.9459999999999"/>
    <n v="6"/>
    <s v="Q2"/>
    <s v="Jun-2024"/>
    <n v="13108.670400000001"/>
    <n v="68820.5196"/>
    <x v="11"/>
  </r>
  <r>
    <s v="ORD00131"/>
    <x v="18"/>
    <x v="3"/>
    <n v="30374.400000000001"/>
    <n v="5"/>
    <n v="151872"/>
    <d v="2025-01-11T00:00:00"/>
    <x v="5"/>
    <x v="31"/>
    <s v="January"/>
    <x v="1"/>
    <n v="30374.400000000001"/>
    <n v="6"/>
    <x v="0"/>
    <x v="0"/>
    <n v="151872"/>
    <n v="0"/>
    <n v="0.2"/>
    <n v="30374.400000000001"/>
    <n v="6074.88"/>
    <n v="1"/>
    <s v="Q1"/>
    <s v="Jan-2025"/>
    <n v="9112.32"/>
    <n v="142759.67999999999"/>
    <x v="6"/>
  </r>
  <r>
    <s v="ORD00132"/>
    <x v="19"/>
    <x v="2"/>
    <n v="15486.41"/>
    <n v="4"/>
    <n v="61945.64"/>
    <d v="2024-04-20T00:00:00"/>
    <x v="3"/>
    <x v="40"/>
    <s v="April"/>
    <x v="0"/>
    <n v="12389.128000000001"/>
    <n v="5"/>
    <x v="2"/>
    <x v="2"/>
    <n v="61945.64"/>
    <n v="0"/>
    <n v="0.2"/>
    <n v="15486.41"/>
    <n v="3097.2820000000002"/>
    <n v="4"/>
    <s v="Q2"/>
    <s v="Apr-2024"/>
    <n v="3097.2820000000002"/>
    <n v="58848.358"/>
    <x v="9"/>
  </r>
  <r>
    <s v="ORD00133"/>
    <x v="3"/>
    <x v="3"/>
    <n v="33698.339999999997"/>
    <n v="1"/>
    <n v="33698.339999999997"/>
    <d v="2024-08-10T00:00:00"/>
    <x v="0"/>
    <x v="24"/>
    <s v="August"/>
    <x v="0"/>
    <n v="6739.6679999999997"/>
    <n v="20"/>
    <x v="2"/>
    <x v="1"/>
    <n v="33698.339999999997"/>
    <n v="0"/>
    <n v="0.2"/>
    <n v="33698.339999999997"/>
    <n v="6739.6679999999997"/>
    <n v="8"/>
    <s v="Q3"/>
    <s v="Aug-2024"/>
    <n v="6739.6679999999997"/>
    <n v="26958.671999999999"/>
    <x v="12"/>
  </r>
  <r>
    <s v="ORD00134"/>
    <x v="24"/>
    <x v="1"/>
    <n v="42987.64"/>
    <n v="5"/>
    <n v="214938.2"/>
    <d v="2024-03-30T00:00:00"/>
    <x v="2"/>
    <x v="13"/>
    <s v="March"/>
    <x v="0"/>
    <n v="42987.640000000007"/>
    <n v="27"/>
    <x v="1"/>
    <x v="3"/>
    <n v="214938.2"/>
    <n v="0"/>
    <n v="0.2"/>
    <n v="42987.64"/>
    <n v="8597.5280000000021"/>
    <n v="3"/>
    <s v="Q1"/>
    <s v="Mar-2024"/>
    <n v="58033.314000000006"/>
    <n v="156904.886"/>
    <x v="7"/>
  </r>
  <r>
    <s v="ORD00135"/>
    <x v="3"/>
    <x v="3"/>
    <n v="1104.25"/>
    <n v="5"/>
    <n v="5521.25"/>
    <d v="2024-11-28T00:00:00"/>
    <x v="1"/>
    <x v="28"/>
    <s v="November"/>
    <x v="0"/>
    <n v="1104.25"/>
    <n v="27"/>
    <x v="1"/>
    <x v="0"/>
    <n v="5521.25"/>
    <n v="0"/>
    <n v="0.2"/>
    <n v="1104.25"/>
    <n v="220.85"/>
    <n v="11"/>
    <s v="Q4"/>
    <s v="Nov-2024"/>
    <n v="1490.7375"/>
    <n v="4030.5124999999998"/>
    <x v="3"/>
  </r>
  <r>
    <s v="ORD00136"/>
    <x v="8"/>
    <x v="1"/>
    <n v="14043.16"/>
    <n v="4"/>
    <n v="56172.639999999999"/>
    <d v="2024-06-01T00:00:00"/>
    <x v="2"/>
    <x v="4"/>
    <s v="June"/>
    <x v="0"/>
    <n v="11234.528"/>
    <n v="28"/>
    <x v="1"/>
    <x v="1"/>
    <n v="56172.639999999999"/>
    <n v="0"/>
    <n v="0.2"/>
    <n v="14043.16"/>
    <n v="2808.6320000000001"/>
    <n v="6"/>
    <s v="Q2"/>
    <s v="Jun-2024"/>
    <n v="15728.339199999999"/>
    <n v="40444.300799999997"/>
    <x v="11"/>
  </r>
  <r>
    <s v="ORD00137"/>
    <x v="14"/>
    <x v="0"/>
    <n v="24032.880000000001"/>
    <n v="1"/>
    <n v="24032.880000000001"/>
    <d v="2024-10-28T00:00:00"/>
    <x v="2"/>
    <x v="28"/>
    <s v="October"/>
    <x v="0"/>
    <n v="4806.576"/>
    <n v="9"/>
    <x v="2"/>
    <x v="0"/>
    <n v="24032.880000000001"/>
    <n v="0"/>
    <n v="0.19999999999999998"/>
    <n v="24032.880000000001"/>
    <n v="4806.576"/>
    <n v="10"/>
    <s v="Q4"/>
    <s v="Oct-2024"/>
    <n v="2162.9592000000002"/>
    <n v="21869.9208"/>
    <x v="4"/>
  </r>
  <r>
    <s v="ORD00138"/>
    <x v="2"/>
    <x v="2"/>
    <n v="32283.58"/>
    <n v="3"/>
    <n v="96850.74"/>
    <d v="2025-01-02T00:00:00"/>
    <x v="3"/>
    <x v="2"/>
    <s v="January"/>
    <x v="1"/>
    <n v="19370.148000000001"/>
    <n v="7"/>
    <x v="0"/>
    <x v="2"/>
    <n v="96850.74"/>
    <n v="0"/>
    <n v="0.2"/>
    <n v="32283.58"/>
    <n v="6456.7160000000003"/>
    <n v="1"/>
    <s v="Q1"/>
    <s v="Jan-2025"/>
    <n v="6779.5518000000002"/>
    <n v="90071.188200000004"/>
    <x v="6"/>
  </r>
  <r>
    <s v="ORD00139"/>
    <x v="11"/>
    <x v="2"/>
    <n v="3848.54"/>
    <n v="1"/>
    <n v="3848.54"/>
    <d v="2025-02-03T00:00:00"/>
    <x v="5"/>
    <x v="33"/>
    <s v="February"/>
    <x v="1"/>
    <n v="769.70800000000008"/>
    <n v="16"/>
    <x v="2"/>
    <x v="1"/>
    <n v="3848.54"/>
    <n v="0"/>
    <n v="0.2"/>
    <n v="3848.54"/>
    <n v="769.70800000000008"/>
    <n v="2"/>
    <s v="Q1"/>
    <s v="Feb-2025"/>
    <n v="615.76639999999998"/>
    <n v="3232.7736"/>
    <x v="8"/>
  </r>
  <r>
    <s v="ORD00140"/>
    <x v="4"/>
    <x v="4"/>
    <n v="48175.48"/>
    <n v="1"/>
    <n v="48175.48"/>
    <d v="2024-07-10T00:00:00"/>
    <x v="3"/>
    <x v="39"/>
    <s v="July"/>
    <x v="0"/>
    <n v="9635.0960000000014"/>
    <n v="12"/>
    <x v="1"/>
    <x v="2"/>
    <n v="48175.48"/>
    <n v="0"/>
    <n v="0.2"/>
    <n v="48175.48"/>
    <n v="9635.0960000000014"/>
    <n v="7"/>
    <s v="Q3"/>
    <s v="Jul-2024"/>
    <n v="5781.0576000000001"/>
    <n v="42394.422400000003"/>
    <x v="5"/>
  </r>
  <r>
    <s v="ORD00141"/>
    <x v="9"/>
    <x v="3"/>
    <n v="2273.0100000000002"/>
    <n v="2"/>
    <n v="4546.0200000000004"/>
    <d v="2025-01-01T00:00:00"/>
    <x v="1"/>
    <x v="17"/>
    <s v="January"/>
    <x v="1"/>
    <n v="909.20400000000018"/>
    <n v="26"/>
    <x v="0"/>
    <x v="0"/>
    <n v="4546.0200000000004"/>
    <n v="0"/>
    <n v="0.2"/>
    <n v="2273.0100000000002"/>
    <n v="454.60200000000009"/>
    <n v="1"/>
    <s v="Q1"/>
    <s v="Jan-2025"/>
    <n v="1181.9652000000001"/>
    <n v="3364.0548000000003"/>
    <x v="6"/>
  </r>
  <r>
    <s v="ORD00142"/>
    <x v="8"/>
    <x v="1"/>
    <n v="48346.41"/>
    <n v="3"/>
    <n v="145039.23000000001"/>
    <d v="2025-01-27T00:00:00"/>
    <x v="0"/>
    <x v="23"/>
    <s v="January"/>
    <x v="1"/>
    <n v="29007.846000000005"/>
    <n v="7"/>
    <x v="0"/>
    <x v="0"/>
    <n v="145039.23000000001"/>
    <n v="0"/>
    <n v="0.2"/>
    <n v="48346.41"/>
    <n v="9669.2820000000011"/>
    <n v="1"/>
    <s v="Q1"/>
    <s v="Jan-2025"/>
    <n v="10152.7461"/>
    <n v="134886.48390000002"/>
    <x v="6"/>
  </r>
  <r>
    <s v="ORD00143"/>
    <x v="7"/>
    <x v="4"/>
    <n v="8383.86"/>
    <n v="2"/>
    <n v="16767.72"/>
    <d v="2024-09-19T00:00:00"/>
    <x v="2"/>
    <x v="4"/>
    <s v="September"/>
    <x v="0"/>
    <n v="3353.5440000000003"/>
    <n v="5"/>
    <x v="2"/>
    <x v="2"/>
    <n v="16767.72"/>
    <n v="0"/>
    <n v="0.2"/>
    <n v="8383.86"/>
    <n v="1676.7720000000002"/>
    <n v="9"/>
    <s v="Q3"/>
    <s v="Sep-2024"/>
    <n v="838.38600000000008"/>
    <n v="15929.334000000001"/>
    <x v="0"/>
  </r>
  <r>
    <s v="ORD00144"/>
    <x v="19"/>
    <x v="2"/>
    <n v="15344.02"/>
    <n v="1"/>
    <n v="15344.02"/>
    <d v="2024-05-16T00:00:00"/>
    <x v="1"/>
    <x v="9"/>
    <s v="May"/>
    <x v="0"/>
    <n v="3068.8040000000001"/>
    <n v="7"/>
    <x v="1"/>
    <x v="3"/>
    <n v="15344.02"/>
    <n v="0"/>
    <n v="0.2"/>
    <n v="15344.02"/>
    <n v="3068.8040000000001"/>
    <n v="5"/>
    <s v="Q2"/>
    <s v="May-2024"/>
    <n v="1074.0814"/>
    <n v="14269.938600000001"/>
    <x v="2"/>
  </r>
  <r>
    <s v="ORD00145"/>
    <x v="12"/>
    <x v="3"/>
    <n v="49142.57"/>
    <n v="4"/>
    <n v="196570.28"/>
    <d v="2024-03-04T00:00:00"/>
    <x v="1"/>
    <x v="35"/>
    <s v="March"/>
    <x v="0"/>
    <n v="39314.056000000004"/>
    <n v="9"/>
    <x v="2"/>
    <x v="2"/>
    <n v="196570.28"/>
    <n v="0"/>
    <n v="0.2"/>
    <n v="49142.57"/>
    <n v="9828.514000000001"/>
    <n v="3"/>
    <s v="Q1"/>
    <s v="Mar-2024"/>
    <n v="17691.325199999999"/>
    <n v="178878.95480000001"/>
    <x v="7"/>
  </r>
  <r>
    <s v="ORD00146"/>
    <x v="22"/>
    <x v="0"/>
    <n v="45182.27"/>
    <n v="5"/>
    <n v="225911.35"/>
    <d v="2024-03-30T00:00:00"/>
    <x v="0"/>
    <x v="4"/>
    <s v="March"/>
    <x v="0"/>
    <n v="45182.270000000004"/>
    <n v="19"/>
    <x v="0"/>
    <x v="0"/>
    <n v="225911.34999999998"/>
    <n v="0"/>
    <n v="0.2"/>
    <n v="45182.270000000004"/>
    <n v="9036.4540000000015"/>
    <n v="3"/>
    <s v="Q1"/>
    <s v="Mar-2024"/>
    <n v="42923.156500000005"/>
    <n v="182988.19349999999"/>
    <x v="7"/>
  </r>
  <r>
    <s v="ORD00147"/>
    <x v="8"/>
    <x v="1"/>
    <n v="18309.060000000001"/>
    <n v="2"/>
    <n v="36618.120000000003"/>
    <d v="2024-05-11T00:00:00"/>
    <x v="5"/>
    <x v="30"/>
    <s v="May"/>
    <x v="0"/>
    <n v="7323.6240000000007"/>
    <n v="18"/>
    <x v="2"/>
    <x v="2"/>
    <n v="36618.120000000003"/>
    <n v="0"/>
    <n v="0.2"/>
    <n v="18309.060000000001"/>
    <n v="3661.8120000000004"/>
    <n v="5"/>
    <s v="Q2"/>
    <s v="May-2024"/>
    <n v="6591.2616000000007"/>
    <n v="30026.858400000001"/>
    <x v="2"/>
  </r>
  <r>
    <s v="ORD00148"/>
    <x v="3"/>
    <x v="3"/>
    <n v="33021.1"/>
    <n v="4"/>
    <n v="132084.4"/>
    <d v="2024-08-21T00:00:00"/>
    <x v="0"/>
    <x v="2"/>
    <s v="August"/>
    <x v="0"/>
    <n v="26416.880000000001"/>
    <n v="7"/>
    <x v="2"/>
    <x v="3"/>
    <n v="132084.4"/>
    <n v="0"/>
    <n v="0.2"/>
    <n v="33021.1"/>
    <n v="6604.22"/>
    <n v="8"/>
    <s v="Q3"/>
    <s v="Aug-2024"/>
    <n v="9245.9079999999994"/>
    <n v="122838.492"/>
    <x v="12"/>
  </r>
  <r>
    <s v="ORD00149"/>
    <x v="8"/>
    <x v="1"/>
    <n v="42814.17"/>
    <n v="5"/>
    <n v="214070.85"/>
    <d v="2024-09-27T00:00:00"/>
    <x v="0"/>
    <x v="24"/>
    <s v="September"/>
    <x v="0"/>
    <n v="42814.170000000006"/>
    <n v="5"/>
    <x v="1"/>
    <x v="2"/>
    <n v="214070.84999999998"/>
    <n v="0"/>
    <n v="0.2"/>
    <n v="42814.17"/>
    <n v="8562.8340000000007"/>
    <n v="9"/>
    <s v="Q3"/>
    <s v="Sep-2024"/>
    <n v="10703.5425"/>
    <n v="203367.3075"/>
    <x v="0"/>
  </r>
  <r>
    <s v="ORD00150"/>
    <x v="10"/>
    <x v="2"/>
    <n v="5293.87"/>
    <n v="2"/>
    <n v="10587.74"/>
    <d v="2024-12-31T00:00:00"/>
    <x v="0"/>
    <x v="29"/>
    <s v="December"/>
    <x v="0"/>
    <n v="2117.5480000000002"/>
    <n v="9"/>
    <x v="1"/>
    <x v="3"/>
    <n v="10587.74"/>
    <n v="0"/>
    <n v="0.20000000000000004"/>
    <n v="5293.87"/>
    <n v="1058.7740000000001"/>
    <n v="12"/>
    <s v="Q4"/>
    <s v="Dec-2024"/>
    <n v="952.89660000000003"/>
    <n v="9634.8433999999997"/>
    <x v="1"/>
  </r>
  <r>
    <s v="ORD00151"/>
    <x v="21"/>
    <x v="0"/>
    <n v="16596.580000000002"/>
    <n v="5"/>
    <n v="82982.899999999994"/>
    <d v="2025-02-02T00:00:00"/>
    <x v="1"/>
    <x v="37"/>
    <s v="February"/>
    <x v="1"/>
    <n v="16596.579999999998"/>
    <n v="30"/>
    <x v="0"/>
    <x v="3"/>
    <n v="82982.900000000009"/>
    <n v="0"/>
    <n v="0.19999999999999998"/>
    <n v="16596.579999999998"/>
    <n v="3319.3159999999998"/>
    <n v="2"/>
    <s v="Q1"/>
    <s v="Feb-2025"/>
    <n v="24894.87"/>
    <n v="58088.03"/>
    <x v="8"/>
  </r>
  <r>
    <s v="ORD00152"/>
    <x v="6"/>
    <x v="1"/>
    <n v="48940.95"/>
    <n v="1"/>
    <n v="48940.95"/>
    <d v="2024-02-20T00:00:00"/>
    <x v="5"/>
    <x v="34"/>
    <s v="February"/>
    <x v="0"/>
    <n v="9788.19"/>
    <n v="27"/>
    <x v="2"/>
    <x v="2"/>
    <n v="48940.95"/>
    <n v="0"/>
    <n v="0.2"/>
    <n v="48940.95"/>
    <n v="9788.19"/>
    <n v="2"/>
    <s v="Q1"/>
    <s v="Feb-2024"/>
    <n v="13214.056499999999"/>
    <n v="35726.893499999998"/>
    <x v="10"/>
  </r>
  <r>
    <s v="ORD00153"/>
    <x v="1"/>
    <x v="1"/>
    <n v="10059.450000000001"/>
    <n v="5"/>
    <n v="50297.25"/>
    <d v="2024-03-23T00:00:00"/>
    <x v="3"/>
    <x v="17"/>
    <s v="March"/>
    <x v="0"/>
    <n v="10059.450000000001"/>
    <n v="18"/>
    <x v="2"/>
    <x v="2"/>
    <n v="50297.25"/>
    <n v="0"/>
    <n v="0.2"/>
    <n v="10059.450000000001"/>
    <n v="2011.89"/>
    <n v="3"/>
    <s v="Q1"/>
    <s v="Mar-2024"/>
    <n v="9053.5049999999992"/>
    <n v="41243.745000000003"/>
    <x v="7"/>
  </r>
  <r>
    <s v="ORD00154"/>
    <x v="10"/>
    <x v="2"/>
    <n v="4820.8"/>
    <n v="1"/>
    <n v="4820.8"/>
    <d v="2024-12-10T00:00:00"/>
    <x v="2"/>
    <x v="17"/>
    <s v="December"/>
    <x v="0"/>
    <n v="964.16000000000008"/>
    <n v="11"/>
    <x v="2"/>
    <x v="1"/>
    <n v="4820.8"/>
    <n v="0"/>
    <n v="0.2"/>
    <n v="4820.8"/>
    <n v="964.16000000000008"/>
    <n v="12"/>
    <s v="Q4"/>
    <s v="Dec-2024"/>
    <n v="530.28800000000001"/>
    <n v="4290.5120000000006"/>
    <x v="1"/>
  </r>
  <r>
    <s v="ORD00155"/>
    <x v="14"/>
    <x v="0"/>
    <n v="12087.35"/>
    <n v="4"/>
    <n v="48349.4"/>
    <d v="2024-11-21T00:00:00"/>
    <x v="1"/>
    <x v="8"/>
    <s v="November"/>
    <x v="0"/>
    <n v="9669.880000000001"/>
    <n v="13"/>
    <x v="0"/>
    <x v="0"/>
    <n v="48349.4"/>
    <n v="0"/>
    <n v="0.2"/>
    <n v="12087.35"/>
    <n v="2417.4700000000003"/>
    <n v="11"/>
    <s v="Q4"/>
    <s v="Nov-2024"/>
    <n v="6285.4220000000005"/>
    <n v="42063.978000000003"/>
    <x v="3"/>
  </r>
  <r>
    <s v="ORD00156"/>
    <x v="2"/>
    <x v="2"/>
    <n v="43522.080000000002"/>
    <n v="5"/>
    <n v="217610.4"/>
    <d v="2024-09-11T00:00:00"/>
    <x v="3"/>
    <x v="38"/>
    <s v="September"/>
    <x v="0"/>
    <n v="43522.080000000002"/>
    <n v="19"/>
    <x v="0"/>
    <x v="3"/>
    <n v="217610.40000000002"/>
    <n v="0"/>
    <n v="0.2"/>
    <n v="43522.080000000002"/>
    <n v="8704.4160000000011"/>
    <n v="9"/>
    <s v="Q3"/>
    <s v="Sep-2024"/>
    <n v="41345.976000000002"/>
    <n v="176264.424"/>
    <x v="0"/>
  </r>
  <r>
    <s v="ORD00157"/>
    <x v="3"/>
    <x v="3"/>
    <n v="42409.26"/>
    <n v="1"/>
    <n v="42409.26"/>
    <d v="2024-08-25T00:00:00"/>
    <x v="0"/>
    <x v="6"/>
    <s v="August"/>
    <x v="0"/>
    <n v="8481.8520000000008"/>
    <n v="19"/>
    <x v="1"/>
    <x v="1"/>
    <n v="42409.26"/>
    <n v="0"/>
    <n v="0.2"/>
    <n v="42409.26"/>
    <n v="8481.8520000000008"/>
    <n v="8"/>
    <s v="Q3"/>
    <s v="Aug-2024"/>
    <n v="8057.7594000000008"/>
    <n v="34351.500599999999"/>
    <x v="12"/>
  </r>
  <r>
    <s v="ORD00158"/>
    <x v="21"/>
    <x v="0"/>
    <n v="29882.47"/>
    <n v="5"/>
    <n v="149412.35"/>
    <d v="2024-06-22T00:00:00"/>
    <x v="2"/>
    <x v="25"/>
    <s v="June"/>
    <x v="0"/>
    <n v="29882.47"/>
    <n v="30"/>
    <x v="1"/>
    <x v="2"/>
    <n v="149412.35"/>
    <n v="0"/>
    <n v="0.2"/>
    <n v="29882.47"/>
    <n v="5976.4940000000006"/>
    <n v="6"/>
    <s v="Q2"/>
    <s v="Jun-2024"/>
    <n v="44823.705000000002"/>
    <n v="104588.645"/>
    <x v="11"/>
  </r>
  <r>
    <s v="ORD00159"/>
    <x v="3"/>
    <x v="3"/>
    <n v="40233.279999999999"/>
    <n v="5"/>
    <n v="201166.4"/>
    <d v="2025-01-05T00:00:00"/>
    <x v="2"/>
    <x v="30"/>
    <s v="January"/>
    <x v="1"/>
    <n v="40233.279999999999"/>
    <n v="14"/>
    <x v="1"/>
    <x v="0"/>
    <n v="201166.4"/>
    <n v="0"/>
    <n v="0.2"/>
    <n v="40233.279999999999"/>
    <n v="8046.6559999999999"/>
    <n v="1"/>
    <s v="Q1"/>
    <s v="Jan-2025"/>
    <n v="28163.296000000002"/>
    <n v="173003.10399999999"/>
    <x v="6"/>
  </r>
  <r>
    <s v="ORD00160"/>
    <x v="23"/>
    <x v="4"/>
    <n v="15357.36"/>
    <n v="4"/>
    <n v="61429.440000000002"/>
    <d v="2024-08-06T00:00:00"/>
    <x v="0"/>
    <x v="14"/>
    <s v="August"/>
    <x v="0"/>
    <n v="12285.888000000001"/>
    <n v="17"/>
    <x v="2"/>
    <x v="1"/>
    <n v="61429.440000000002"/>
    <n v="0"/>
    <n v="0.2"/>
    <n v="15357.36"/>
    <n v="3071.4720000000002"/>
    <n v="8"/>
    <s v="Q3"/>
    <s v="Aug-2024"/>
    <n v="10443.004800000001"/>
    <n v="50986.4352"/>
    <x v="12"/>
  </r>
  <r>
    <s v="ORD00161"/>
    <x v="22"/>
    <x v="0"/>
    <n v="10565.57"/>
    <n v="4"/>
    <n v="42262.28"/>
    <d v="2024-07-04T00:00:00"/>
    <x v="5"/>
    <x v="39"/>
    <s v="July"/>
    <x v="0"/>
    <n v="8452.4560000000001"/>
    <n v="23"/>
    <x v="2"/>
    <x v="3"/>
    <n v="42262.28"/>
    <n v="0"/>
    <n v="0.2"/>
    <n v="10565.57"/>
    <n v="2113.114"/>
    <n v="7"/>
    <s v="Q3"/>
    <s v="Jul-2024"/>
    <n v="9720.3243999999995"/>
    <n v="32541.955600000001"/>
    <x v="5"/>
  </r>
  <r>
    <s v="ORD00162"/>
    <x v="21"/>
    <x v="0"/>
    <n v="42533.26"/>
    <n v="4"/>
    <n v="170133.04"/>
    <d v="2024-11-28T00:00:00"/>
    <x v="0"/>
    <x v="33"/>
    <s v="November"/>
    <x v="0"/>
    <n v="34026.608"/>
    <n v="11"/>
    <x v="1"/>
    <x v="1"/>
    <n v="170133.04"/>
    <n v="0"/>
    <n v="0.19999999999999998"/>
    <n v="42533.26"/>
    <n v="8506.652"/>
    <n v="11"/>
    <s v="Q4"/>
    <s v="Nov-2024"/>
    <n v="18714.634400000003"/>
    <n v="151418.4056"/>
    <x v="3"/>
  </r>
  <r>
    <s v="ORD00163"/>
    <x v="5"/>
    <x v="4"/>
    <n v="18426.900000000001"/>
    <n v="4"/>
    <n v="73707.600000000006"/>
    <d v="2024-10-18T00:00:00"/>
    <x v="0"/>
    <x v="25"/>
    <s v="October"/>
    <x v="0"/>
    <n v="14741.520000000002"/>
    <n v="21"/>
    <x v="2"/>
    <x v="3"/>
    <n v="73707.600000000006"/>
    <n v="0"/>
    <n v="0.2"/>
    <n v="18426.900000000001"/>
    <n v="3685.3800000000006"/>
    <n v="10"/>
    <s v="Q4"/>
    <s v="Oct-2024"/>
    <n v="15478.596000000001"/>
    <n v="58229.004000000001"/>
    <x v="4"/>
  </r>
  <r>
    <s v="ORD00164"/>
    <x v="10"/>
    <x v="2"/>
    <n v="23369.23"/>
    <n v="1"/>
    <n v="23369.23"/>
    <d v="2024-11-23T00:00:00"/>
    <x v="4"/>
    <x v="39"/>
    <s v="November"/>
    <x v="0"/>
    <n v="4673.8460000000005"/>
    <n v="24"/>
    <x v="1"/>
    <x v="2"/>
    <n v="23369.23"/>
    <n v="0"/>
    <n v="0.2"/>
    <n v="23369.23"/>
    <n v="4673.8460000000005"/>
    <n v="11"/>
    <s v="Q4"/>
    <s v="Nov-2024"/>
    <n v="5608.6152000000002"/>
    <n v="17760.614799999999"/>
    <x v="3"/>
  </r>
  <r>
    <s v="ORD00165"/>
    <x v="10"/>
    <x v="2"/>
    <n v="2735.32"/>
    <n v="5"/>
    <n v="13676.6"/>
    <d v="2024-12-20T00:00:00"/>
    <x v="2"/>
    <x v="8"/>
    <s v="December"/>
    <x v="0"/>
    <n v="2735.32"/>
    <n v="8"/>
    <x v="0"/>
    <x v="0"/>
    <n v="13676.6"/>
    <n v="0"/>
    <n v="0.2"/>
    <n v="2735.32"/>
    <n v="547.06400000000008"/>
    <n v="12"/>
    <s v="Q4"/>
    <s v="Dec-2024"/>
    <n v="1094.1279999999999"/>
    <n v="12582.472"/>
    <x v="1"/>
  </r>
  <r>
    <s v="ORD00166"/>
    <x v="18"/>
    <x v="3"/>
    <n v="48944.01"/>
    <n v="3"/>
    <n v="146832.03"/>
    <d v="2024-07-04T00:00:00"/>
    <x v="3"/>
    <x v="24"/>
    <s v="July"/>
    <x v="0"/>
    <n v="29366.406000000003"/>
    <n v="9"/>
    <x v="1"/>
    <x v="0"/>
    <n v="146832.03"/>
    <n v="0"/>
    <n v="0.2"/>
    <n v="48944.01"/>
    <n v="9788.8020000000015"/>
    <n v="7"/>
    <s v="Q3"/>
    <s v="Jul-2024"/>
    <n v="13214.8827"/>
    <n v="133617.14730000001"/>
    <x v="5"/>
  </r>
  <r>
    <s v="ORD00167"/>
    <x v="17"/>
    <x v="2"/>
    <n v="32590.46"/>
    <n v="2"/>
    <n v="65180.92"/>
    <d v="2024-04-11T00:00:00"/>
    <x v="5"/>
    <x v="7"/>
    <s v="April"/>
    <x v="0"/>
    <n v="13036.184000000001"/>
    <n v="27"/>
    <x v="0"/>
    <x v="0"/>
    <n v="65180.92"/>
    <n v="0"/>
    <n v="0.2"/>
    <n v="32590.46"/>
    <n v="6518.0920000000006"/>
    <n v="4"/>
    <s v="Q2"/>
    <s v="Apr-2024"/>
    <n v="17598.848399999999"/>
    <n v="47582.071599999996"/>
    <x v="9"/>
  </r>
  <r>
    <s v="ORD00168"/>
    <x v="17"/>
    <x v="2"/>
    <n v="35286.97"/>
    <n v="2"/>
    <n v="70573.94"/>
    <d v="2024-10-09T00:00:00"/>
    <x v="5"/>
    <x v="26"/>
    <s v="October"/>
    <x v="0"/>
    <n v="14114.788"/>
    <n v="11"/>
    <x v="2"/>
    <x v="2"/>
    <n v="70573.94"/>
    <n v="0"/>
    <n v="0.2"/>
    <n v="35286.97"/>
    <n v="7057.3940000000002"/>
    <n v="10"/>
    <s v="Q4"/>
    <s v="Oct-2024"/>
    <n v="7763.1334000000006"/>
    <n v="62810.806600000004"/>
    <x v="4"/>
  </r>
  <r>
    <s v="ORD00169"/>
    <x v="21"/>
    <x v="0"/>
    <n v="42881.03"/>
    <n v="3"/>
    <n v="128643.09"/>
    <d v="2024-11-29T00:00:00"/>
    <x v="5"/>
    <x v="2"/>
    <s v="November"/>
    <x v="0"/>
    <n v="25728.618000000002"/>
    <n v="17"/>
    <x v="1"/>
    <x v="3"/>
    <n v="128643.09"/>
    <n v="0"/>
    <n v="0.2"/>
    <n v="42881.03"/>
    <n v="8576.2060000000001"/>
    <n v="11"/>
    <s v="Q4"/>
    <s v="Nov-2024"/>
    <n v="21869.325299999997"/>
    <n v="106773.7647"/>
    <x v="3"/>
  </r>
  <r>
    <s v="ORD00170"/>
    <x v="19"/>
    <x v="2"/>
    <n v="28246.25"/>
    <n v="2"/>
    <n v="56492.5"/>
    <d v="2024-06-03T00:00:00"/>
    <x v="5"/>
    <x v="10"/>
    <s v="June"/>
    <x v="0"/>
    <n v="11298.5"/>
    <n v="19"/>
    <x v="2"/>
    <x v="2"/>
    <n v="56492.5"/>
    <n v="0"/>
    <n v="0.2"/>
    <n v="28246.25"/>
    <n v="5649.25"/>
    <n v="6"/>
    <s v="Q2"/>
    <s v="Jun-2024"/>
    <n v="10733.575000000001"/>
    <n v="45758.925000000003"/>
    <x v="11"/>
  </r>
  <r>
    <s v="ORD00171"/>
    <x v="19"/>
    <x v="2"/>
    <n v="24619.84"/>
    <n v="2"/>
    <n v="49239.68"/>
    <d v="2024-12-06T00:00:00"/>
    <x v="0"/>
    <x v="27"/>
    <s v="December"/>
    <x v="0"/>
    <n v="9847.9360000000015"/>
    <n v="15"/>
    <x v="0"/>
    <x v="0"/>
    <n v="49239.68"/>
    <n v="0"/>
    <n v="0.20000000000000004"/>
    <n v="24619.84"/>
    <n v="4923.9680000000008"/>
    <n v="12"/>
    <s v="Q4"/>
    <s v="Dec-2024"/>
    <n v="7385.9519999999993"/>
    <n v="41853.728000000003"/>
    <x v="1"/>
  </r>
  <r>
    <s v="ORD00172"/>
    <x v="24"/>
    <x v="1"/>
    <n v="12083.96"/>
    <n v="3"/>
    <n v="36251.879999999997"/>
    <d v="2024-11-23T00:00:00"/>
    <x v="2"/>
    <x v="32"/>
    <s v="November"/>
    <x v="0"/>
    <n v="7250.3760000000002"/>
    <n v="8"/>
    <x v="0"/>
    <x v="2"/>
    <n v="36251.879999999997"/>
    <n v="0"/>
    <n v="0.2"/>
    <n v="12083.96"/>
    <n v="2416.7919999999999"/>
    <n v="11"/>
    <s v="Q4"/>
    <s v="Nov-2024"/>
    <n v="2900.1504"/>
    <n v="33351.729599999999"/>
    <x v="3"/>
  </r>
  <r>
    <s v="ORD00173"/>
    <x v="22"/>
    <x v="0"/>
    <n v="12214.72"/>
    <n v="5"/>
    <n v="61073.599999999999"/>
    <d v="2025-01-14T00:00:00"/>
    <x v="1"/>
    <x v="37"/>
    <s v="January"/>
    <x v="1"/>
    <n v="12214.720000000001"/>
    <n v="17"/>
    <x v="0"/>
    <x v="2"/>
    <n v="61073.599999999999"/>
    <n v="0"/>
    <n v="0.2"/>
    <n v="12214.72"/>
    <n v="2442.9440000000004"/>
    <n v="1"/>
    <s v="Q1"/>
    <s v="Jan-2025"/>
    <n v="10382.511999999999"/>
    <n v="50691.088000000003"/>
    <x v="6"/>
  </r>
  <r>
    <s v="ORD00174"/>
    <x v="21"/>
    <x v="0"/>
    <n v="19386.27"/>
    <n v="1"/>
    <n v="19386.27"/>
    <d v="2024-07-16T00:00:00"/>
    <x v="3"/>
    <x v="27"/>
    <s v="July"/>
    <x v="0"/>
    <n v="3877.2540000000004"/>
    <n v="11"/>
    <x v="2"/>
    <x v="2"/>
    <n v="19386.27"/>
    <n v="0"/>
    <n v="0.2"/>
    <n v="19386.27"/>
    <n v="3877.2540000000004"/>
    <n v="7"/>
    <s v="Q3"/>
    <s v="Jul-2024"/>
    <n v="2132.4897000000001"/>
    <n v="17253.780299999999"/>
    <x v="5"/>
  </r>
  <r>
    <s v="ORD00175"/>
    <x v="0"/>
    <x v="0"/>
    <n v="34879.4"/>
    <n v="3"/>
    <n v="104638.2"/>
    <d v="2024-04-12T00:00:00"/>
    <x v="1"/>
    <x v="15"/>
    <s v="April"/>
    <x v="0"/>
    <n v="20927.64"/>
    <n v="23"/>
    <x v="2"/>
    <x v="3"/>
    <n v="104638.20000000001"/>
    <n v="0"/>
    <n v="0.2"/>
    <n v="34879.4"/>
    <n v="6975.88"/>
    <n v="4"/>
    <s v="Q2"/>
    <s v="Apr-2024"/>
    <n v="24066.786"/>
    <n v="80571.41399999999"/>
    <x v="9"/>
  </r>
  <r>
    <s v="ORD00176"/>
    <x v="18"/>
    <x v="3"/>
    <n v="32016.11"/>
    <n v="5"/>
    <n v="160080.54999999999"/>
    <d v="2024-09-27T00:00:00"/>
    <x v="0"/>
    <x v="17"/>
    <s v="September"/>
    <x v="0"/>
    <n v="32016.11"/>
    <n v="26"/>
    <x v="2"/>
    <x v="1"/>
    <n v="160080.54999999999"/>
    <n v="0"/>
    <n v="0.2"/>
    <n v="32016.109999999997"/>
    <n v="6403.2219999999998"/>
    <n v="9"/>
    <s v="Q3"/>
    <s v="Sep-2024"/>
    <n v="41620.942999999999"/>
    <n v="118459.60699999999"/>
    <x v="0"/>
  </r>
  <r>
    <s v="ORD00177"/>
    <x v="15"/>
    <x v="1"/>
    <n v="32264.17"/>
    <n v="1"/>
    <n v="32264.17"/>
    <d v="2024-07-22T00:00:00"/>
    <x v="5"/>
    <x v="27"/>
    <s v="July"/>
    <x v="0"/>
    <n v="6452.8339999999998"/>
    <n v="6"/>
    <x v="2"/>
    <x v="1"/>
    <n v="32264.17"/>
    <n v="0"/>
    <n v="0.2"/>
    <n v="32264.17"/>
    <n v="6452.8339999999998"/>
    <n v="7"/>
    <s v="Q3"/>
    <s v="Jul-2024"/>
    <n v="1935.8501999999999"/>
    <n v="30328.319799999997"/>
    <x v="5"/>
  </r>
  <r>
    <s v="ORD00178"/>
    <x v="19"/>
    <x v="2"/>
    <n v="30171.74"/>
    <n v="4"/>
    <n v="120686.96"/>
    <d v="2024-07-29T00:00:00"/>
    <x v="5"/>
    <x v="28"/>
    <s v="July"/>
    <x v="0"/>
    <n v="24137.392000000003"/>
    <n v="14"/>
    <x v="0"/>
    <x v="2"/>
    <n v="120686.96"/>
    <n v="0"/>
    <n v="0.2"/>
    <n v="30171.74"/>
    <n v="6034.3480000000009"/>
    <n v="7"/>
    <s v="Q3"/>
    <s v="Jul-2024"/>
    <n v="16896.174400000004"/>
    <n v="103790.7856"/>
    <x v="5"/>
  </r>
  <r>
    <s v="ORD00179"/>
    <x v="24"/>
    <x v="1"/>
    <n v="22712.18"/>
    <n v="5"/>
    <n v="113560.9"/>
    <d v="2025-01-24T00:00:00"/>
    <x v="3"/>
    <x v="1"/>
    <s v="January"/>
    <x v="1"/>
    <n v="22712.18"/>
    <n v="17"/>
    <x v="0"/>
    <x v="1"/>
    <n v="113560.9"/>
    <n v="0"/>
    <n v="0.2"/>
    <n v="22712.18"/>
    <n v="4542.4359999999997"/>
    <n v="1"/>
    <s v="Q1"/>
    <s v="Jan-2025"/>
    <n v="19305.352999999999"/>
    <n v="94255.546999999991"/>
    <x v="6"/>
  </r>
  <r>
    <s v="ORD00180"/>
    <x v="13"/>
    <x v="0"/>
    <n v="27204.69"/>
    <n v="1"/>
    <n v="27204.69"/>
    <d v="2025-02-09T00:00:00"/>
    <x v="0"/>
    <x v="18"/>
    <s v="February"/>
    <x v="1"/>
    <n v="5440.9380000000001"/>
    <n v="29"/>
    <x v="1"/>
    <x v="1"/>
    <n v="27204.69"/>
    <n v="0"/>
    <n v="0.2"/>
    <n v="27204.69"/>
    <n v="5440.9380000000001"/>
    <n v="2"/>
    <s v="Q1"/>
    <s v="Feb-2025"/>
    <n v="7889.3600999999999"/>
    <n v="19315.329899999997"/>
    <x v="8"/>
  </r>
  <r>
    <s v="ORD00181"/>
    <x v="0"/>
    <x v="0"/>
    <n v="17353.47"/>
    <n v="1"/>
    <n v="17353.47"/>
    <d v="2024-12-04T00:00:00"/>
    <x v="4"/>
    <x v="8"/>
    <s v="December"/>
    <x v="0"/>
    <n v="3470.6940000000004"/>
    <n v="25"/>
    <x v="1"/>
    <x v="2"/>
    <n v="17353.47"/>
    <n v="0"/>
    <n v="0.2"/>
    <n v="17353.47"/>
    <n v="3470.6940000000004"/>
    <n v="12"/>
    <s v="Q4"/>
    <s v="Dec-2024"/>
    <n v="4338.3675000000003"/>
    <n v="13015.102500000001"/>
    <x v="1"/>
  </r>
  <r>
    <s v="ORD00182"/>
    <x v="23"/>
    <x v="4"/>
    <n v="44882.2"/>
    <n v="1"/>
    <n v="44882.2"/>
    <d v="2024-05-11T00:00:00"/>
    <x v="3"/>
    <x v="11"/>
    <s v="May"/>
    <x v="0"/>
    <n v="8976.44"/>
    <n v="10"/>
    <x v="2"/>
    <x v="2"/>
    <n v="44882.2"/>
    <n v="0"/>
    <n v="0.2"/>
    <n v="44882.2"/>
    <n v="8976.44"/>
    <n v="5"/>
    <s v="Q2"/>
    <s v="May-2024"/>
    <n v="4488.22"/>
    <n v="40393.979999999996"/>
    <x v="2"/>
  </r>
  <r>
    <s v="ORD00183"/>
    <x v="23"/>
    <x v="4"/>
    <n v="47002.720000000001"/>
    <n v="3"/>
    <n v="141008.16"/>
    <d v="2024-03-05T00:00:00"/>
    <x v="0"/>
    <x v="27"/>
    <s v="March"/>
    <x v="0"/>
    <n v="28201.632000000001"/>
    <n v="16"/>
    <x v="0"/>
    <x v="0"/>
    <n v="141008.16"/>
    <n v="0"/>
    <n v="0.2"/>
    <n v="47002.720000000001"/>
    <n v="9400.5439999999999"/>
    <n v="3"/>
    <s v="Q1"/>
    <s v="Mar-2024"/>
    <n v="22561.3056"/>
    <n v="118446.85440000001"/>
    <x v="7"/>
  </r>
  <r>
    <s v="ORD00184"/>
    <x v="11"/>
    <x v="2"/>
    <n v="33659.67"/>
    <n v="4"/>
    <n v="134638.68"/>
    <d v="2024-07-05T00:00:00"/>
    <x v="2"/>
    <x v="26"/>
    <s v="July"/>
    <x v="0"/>
    <n v="26927.736000000001"/>
    <n v="16"/>
    <x v="0"/>
    <x v="1"/>
    <n v="134638.68"/>
    <n v="0"/>
    <n v="0.2"/>
    <n v="33659.67"/>
    <n v="6731.9340000000002"/>
    <n v="7"/>
    <s v="Q3"/>
    <s v="Jul-2024"/>
    <n v="21542.1888"/>
    <n v="113096.49119999999"/>
    <x v="5"/>
  </r>
  <r>
    <s v="ORD00185"/>
    <x v="23"/>
    <x v="4"/>
    <n v="13011.44"/>
    <n v="2"/>
    <n v="26022.880000000001"/>
    <d v="2024-06-25T00:00:00"/>
    <x v="2"/>
    <x v="35"/>
    <s v="June"/>
    <x v="0"/>
    <n v="5204.5760000000009"/>
    <n v="24"/>
    <x v="0"/>
    <x v="3"/>
    <n v="26022.880000000001"/>
    <n v="0"/>
    <n v="0.20000000000000004"/>
    <n v="13011.44"/>
    <n v="2602.2880000000005"/>
    <n v="6"/>
    <s v="Q2"/>
    <s v="Jun-2024"/>
    <n v="6245.4912000000004"/>
    <n v="19777.388800000001"/>
    <x v="11"/>
  </r>
  <r>
    <s v="ORD00186"/>
    <x v="12"/>
    <x v="3"/>
    <n v="21990.25"/>
    <n v="3"/>
    <n v="65970.75"/>
    <d v="2025-01-12T00:00:00"/>
    <x v="2"/>
    <x v="24"/>
    <s v="January"/>
    <x v="1"/>
    <n v="13194.150000000001"/>
    <n v="15"/>
    <x v="1"/>
    <x v="2"/>
    <n v="65970.75"/>
    <n v="0"/>
    <n v="0.2"/>
    <n v="21990.25"/>
    <n v="4398.05"/>
    <n v="1"/>
    <s v="Q1"/>
    <s v="Jan-2025"/>
    <n v="9895.6124999999993"/>
    <n v="56075.137499999997"/>
    <x v="6"/>
  </r>
  <r>
    <s v="ORD00187"/>
    <x v="10"/>
    <x v="2"/>
    <n v="1927.38"/>
    <n v="3"/>
    <n v="5782.14"/>
    <d v="2024-08-31T00:00:00"/>
    <x v="0"/>
    <x v="36"/>
    <s v="August"/>
    <x v="0"/>
    <n v="1156.4280000000001"/>
    <n v="30"/>
    <x v="1"/>
    <x v="0"/>
    <n v="5782.14"/>
    <n v="0"/>
    <n v="0.2"/>
    <n v="1927.38"/>
    <n v="385.47600000000006"/>
    <n v="8"/>
    <s v="Q3"/>
    <s v="Aug-2024"/>
    <n v="1734.6420000000001"/>
    <n v="4047.4980000000005"/>
    <x v="12"/>
  </r>
  <r>
    <s v="ORD00188"/>
    <x v="18"/>
    <x v="3"/>
    <n v="21741.53"/>
    <n v="3"/>
    <n v="65224.59"/>
    <d v="2024-12-02T00:00:00"/>
    <x v="3"/>
    <x v="0"/>
    <s v="December"/>
    <x v="0"/>
    <n v="13044.918"/>
    <n v="27"/>
    <x v="0"/>
    <x v="3"/>
    <n v="65224.59"/>
    <n v="0"/>
    <n v="0.2"/>
    <n v="21741.53"/>
    <n v="4348.3059999999996"/>
    <n v="12"/>
    <s v="Q4"/>
    <s v="Dec-2024"/>
    <n v="17610.639299999999"/>
    <n v="47613.950700000001"/>
    <x v="1"/>
  </r>
  <r>
    <s v="ORD00189"/>
    <x v="6"/>
    <x v="1"/>
    <n v="23638.720000000001"/>
    <n v="1"/>
    <n v="23638.720000000001"/>
    <d v="2024-09-24T00:00:00"/>
    <x v="4"/>
    <x v="39"/>
    <s v="September"/>
    <x v="0"/>
    <n v="4727.7440000000006"/>
    <n v="29"/>
    <x v="0"/>
    <x v="1"/>
    <n v="23638.720000000001"/>
    <n v="0"/>
    <n v="0.2"/>
    <n v="23638.720000000001"/>
    <n v="4727.7440000000006"/>
    <n v="9"/>
    <s v="Q3"/>
    <s v="Sep-2024"/>
    <n v="6855.2287999999999"/>
    <n v="16783.4912"/>
    <x v="0"/>
  </r>
  <r>
    <s v="ORD00190"/>
    <x v="17"/>
    <x v="2"/>
    <n v="39372.11"/>
    <n v="1"/>
    <n v="39372.11"/>
    <d v="2024-04-13T00:00:00"/>
    <x v="2"/>
    <x v="27"/>
    <s v="April"/>
    <x v="0"/>
    <n v="7874.4220000000005"/>
    <n v="11"/>
    <x v="0"/>
    <x v="0"/>
    <n v="39372.11"/>
    <n v="0"/>
    <n v="0.2"/>
    <n v="39372.11"/>
    <n v="7874.4220000000005"/>
    <n v="4"/>
    <s v="Q2"/>
    <s v="Apr-2024"/>
    <n v="4330.9321"/>
    <n v="35041.177900000002"/>
    <x v="9"/>
  </r>
  <r>
    <s v="ORD00191"/>
    <x v="21"/>
    <x v="0"/>
    <n v="49088.13"/>
    <n v="4"/>
    <n v="196352.52"/>
    <d v="2024-03-06T00:00:00"/>
    <x v="2"/>
    <x v="10"/>
    <s v="March"/>
    <x v="0"/>
    <n v="39270.504000000001"/>
    <n v="5"/>
    <x v="1"/>
    <x v="2"/>
    <n v="196352.52"/>
    <n v="0"/>
    <n v="0.2"/>
    <n v="49088.13"/>
    <n v="9817.6260000000002"/>
    <n v="3"/>
    <s v="Q1"/>
    <s v="Mar-2024"/>
    <n v="9817.6260000000002"/>
    <n v="186534.894"/>
    <x v="7"/>
  </r>
  <r>
    <s v="ORD00192"/>
    <x v="4"/>
    <x v="4"/>
    <n v="4524.63"/>
    <n v="3"/>
    <n v="13573.89"/>
    <d v="2024-12-19T00:00:00"/>
    <x v="1"/>
    <x v="7"/>
    <s v="December"/>
    <x v="0"/>
    <n v="2714.7780000000002"/>
    <n v="5"/>
    <x v="0"/>
    <x v="3"/>
    <n v="13573.89"/>
    <n v="0"/>
    <n v="0.20000000000000004"/>
    <n v="4524.63"/>
    <n v="904.92600000000004"/>
    <n v="12"/>
    <s v="Q4"/>
    <s v="Dec-2024"/>
    <n v="678.69449999999995"/>
    <n v="12895.1955"/>
    <x v="1"/>
  </r>
  <r>
    <s v="ORD00193"/>
    <x v="6"/>
    <x v="1"/>
    <n v="1507.01"/>
    <n v="3"/>
    <n v="4521.03"/>
    <d v="2024-08-02T00:00:00"/>
    <x v="5"/>
    <x v="15"/>
    <s v="August"/>
    <x v="0"/>
    <n v="904.20600000000002"/>
    <n v="29"/>
    <x v="0"/>
    <x v="2"/>
    <n v="4521.03"/>
    <n v="0"/>
    <n v="0.2"/>
    <n v="1507.01"/>
    <n v="301.40199999999999"/>
    <n v="8"/>
    <s v="Q3"/>
    <s v="Aug-2024"/>
    <n v="1311.0987"/>
    <n v="3209.9312999999997"/>
    <x v="12"/>
  </r>
  <r>
    <s v="ORD00194"/>
    <x v="9"/>
    <x v="3"/>
    <n v="39699.85"/>
    <n v="3"/>
    <n v="119099.55"/>
    <d v="2024-05-14T00:00:00"/>
    <x v="2"/>
    <x v="1"/>
    <s v="May"/>
    <x v="0"/>
    <n v="23819.910000000003"/>
    <n v="29"/>
    <x v="2"/>
    <x v="1"/>
    <n v="119099.54999999999"/>
    <n v="0"/>
    <n v="0.2"/>
    <n v="39699.85"/>
    <n v="7939.9700000000012"/>
    <n v="5"/>
    <s v="Q2"/>
    <s v="May-2024"/>
    <n v="34538.869500000001"/>
    <n v="84560.680500000002"/>
    <x v="2"/>
  </r>
  <r>
    <s v="ORD00195"/>
    <x v="2"/>
    <x v="2"/>
    <n v="37494.129999999997"/>
    <n v="5"/>
    <n v="187470.65"/>
    <d v="2024-10-01T00:00:00"/>
    <x v="3"/>
    <x v="31"/>
    <s v="October"/>
    <x v="0"/>
    <n v="37494.129999999997"/>
    <n v="24"/>
    <x v="2"/>
    <x v="3"/>
    <n v="187470.65"/>
    <n v="0"/>
    <n v="0.19999999999999998"/>
    <n v="37494.129999999997"/>
    <n v="7498.8259999999991"/>
    <n v="10"/>
    <s v="Q4"/>
    <s v="Oct-2024"/>
    <n v="44992.955999999998"/>
    <n v="142477.69399999999"/>
    <x v="4"/>
  </r>
  <r>
    <s v="ORD00196"/>
    <x v="12"/>
    <x v="3"/>
    <n v="5850.81"/>
    <n v="5"/>
    <n v="29254.05"/>
    <d v="2024-11-28T00:00:00"/>
    <x v="3"/>
    <x v="11"/>
    <s v="November"/>
    <x v="0"/>
    <n v="5850.81"/>
    <n v="17"/>
    <x v="1"/>
    <x v="1"/>
    <n v="29254.050000000003"/>
    <n v="0"/>
    <n v="0.2"/>
    <n v="5850.8099999999995"/>
    <n v="1170.162"/>
    <n v="11"/>
    <s v="Q4"/>
    <s v="Nov-2024"/>
    <n v="4973.1885000000002"/>
    <n v="24280.861499999999"/>
    <x v="3"/>
  </r>
  <r>
    <s v="ORD00197"/>
    <x v="22"/>
    <x v="0"/>
    <n v="16448.740000000002"/>
    <n v="4"/>
    <n v="65794.960000000006"/>
    <d v="2024-09-04T00:00:00"/>
    <x v="5"/>
    <x v="33"/>
    <s v="September"/>
    <x v="0"/>
    <n v="13158.992000000002"/>
    <n v="13"/>
    <x v="0"/>
    <x v="1"/>
    <n v="65794.960000000006"/>
    <n v="0"/>
    <n v="0.2"/>
    <n v="16448.740000000002"/>
    <n v="3289.7480000000005"/>
    <n v="9"/>
    <s v="Q3"/>
    <s v="Sep-2024"/>
    <n v="8553.3448000000008"/>
    <n v="57241.615200000007"/>
    <x v="0"/>
  </r>
  <r>
    <s v="ORD00198"/>
    <x v="3"/>
    <x v="3"/>
    <n v="11103.44"/>
    <n v="1"/>
    <n v="11103.44"/>
    <d v="2024-05-09T00:00:00"/>
    <x v="2"/>
    <x v="19"/>
    <s v="May"/>
    <x v="0"/>
    <n v="2220.6880000000001"/>
    <n v="7"/>
    <x v="0"/>
    <x v="0"/>
    <n v="11103.44"/>
    <n v="0"/>
    <n v="0.2"/>
    <n v="11103.44"/>
    <n v="2220.6880000000001"/>
    <n v="5"/>
    <s v="Q2"/>
    <s v="May-2024"/>
    <n v="777.24080000000004"/>
    <n v="10326.199200000001"/>
    <x v="2"/>
  </r>
  <r>
    <s v="ORD00199"/>
    <x v="22"/>
    <x v="0"/>
    <n v="34255.39"/>
    <n v="2"/>
    <n v="68510.78"/>
    <d v="2024-02-18T00:00:00"/>
    <x v="1"/>
    <x v="36"/>
    <s v="February"/>
    <x v="0"/>
    <n v="13702.156000000001"/>
    <n v="11"/>
    <x v="2"/>
    <x v="2"/>
    <n v="68510.78"/>
    <n v="0"/>
    <n v="0.2"/>
    <n v="34255.39"/>
    <n v="6851.0780000000004"/>
    <n v="2"/>
    <s v="Q1"/>
    <s v="Feb-2024"/>
    <n v="7536.1857999999993"/>
    <n v="60974.5942"/>
    <x v="10"/>
  </r>
  <r>
    <s v="ORD00200"/>
    <x v="3"/>
    <x v="3"/>
    <n v="18304.18"/>
    <n v="2"/>
    <n v="36608.36"/>
    <d v="2024-09-30T00:00:00"/>
    <x v="0"/>
    <x v="14"/>
    <s v="September"/>
    <x v="0"/>
    <n v="7321.6720000000005"/>
    <n v="10"/>
    <x v="1"/>
    <x v="3"/>
    <n v="36608.36"/>
    <n v="0"/>
    <n v="0.2"/>
    <n v="18304.18"/>
    <n v="3660.8360000000002"/>
    <n v="9"/>
    <s v="Q3"/>
    <s v="Sep-2024"/>
    <n v="3660.8359999999998"/>
    <n v="32947.523999999998"/>
    <x v="0"/>
  </r>
  <r>
    <s v="ORD00201"/>
    <x v="7"/>
    <x v="4"/>
    <n v="12771.91"/>
    <n v="2"/>
    <n v="25543.82"/>
    <d v="2024-07-11T00:00:00"/>
    <x v="2"/>
    <x v="3"/>
    <s v="July"/>
    <x v="0"/>
    <n v="5108.7640000000001"/>
    <n v="12"/>
    <x v="2"/>
    <x v="1"/>
    <n v="25543.82"/>
    <n v="0"/>
    <n v="0.2"/>
    <n v="12771.91"/>
    <n v="2554.3820000000001"/>
    <n v="7"/>
    <s v="Q3"/>
    <s v="Jul-2024"/>
    <n v="3065.2583999999997"/>
    <n v="22478.561600000001"/>
    <x v="5"/>
  </r>
  <r>
    <s v="ORD00202"/>
    <x v="13"/>
    <x v="0"/>
    <n v="2275.09"/>
    <n v="2"/>
    <n v="4550.18"/>
    <d v="2024-06-27T00:00:00"/>
    <x v="0"/>
    <x v="39"/>
    <s v="June"/>
    <x v="0"/>
    <n v="910.03600000000006"/>
    <n v="13"/>
    <x v="2"/>
    <x v="1"/>
    <n v="4550.18"/>
    <n v="0"/>
    <n v="0.2"/>
    <n v="2275.09"/>
    <n v="455.01800000000003"/>
    <n v="6"/>
    <s v="Q2"/>
    <s v="Jun-2024"/>
    <n v="591.52340000000004"/>
    <n v="3958.6566000000003"/>
    <x v="11"/>
  </r>
  <r>
    <s v="ORD00203"/>
    <x v="6"/>
    <x v="1"/>
    <n v="16468.59"/>
    <n v="4"/>
    <n v="65874.36"/>
    <d v="2024-10-24T00:00:00"/>
    <x v="5"/>
    <x v="16"/>
    <s v="October"/>
    <x v="0"/>
    <n v="13174.872000000001"/>
    <n v="9"/>
    <x v="2"/>
    <x v="3"/>
    <n v="65874.36"/>
    <n v="0"/>
    <n v="0.2"/>
    <n v="16468.59"/>
    <n v="3293.7180000000003"/>
    <n v="10"/>
    <s v="Q4"/>
    <s v="Oct-2024"/>
    <n v="5928.6923999999999"/>
    <n v="59945.667600000001"/>
    <x v="4"/>
  </r>
  <r>
    <s v="ORD00204"/>
    <x v="4"/>
    <x v="4"/>
    <n v="4934.99"/>
    <n v="3"/>
    <n v="14804.97"/>
    <d v="2024-10-16T00:00:00"/>
    <x v="4"/>
    <x v="33"/>
    <s v="October"/>
    <x v="0"/>
    <n v="2960.9940000000001"/>
    <n v="5"/>
    <x v="2"/>
    <x v="1"/>
    <n v="14804.97"/>
    <n v="0"/>
    <n v="0.2"/>
    <n v="4934.99"/>
    <n v="986.99800000000005"/>
    <n v="10"/>
    <s v="Q4"/>
    <s v="Oct-2024"/>
    <n v="740.24849999999992"/>
    <n v="14064.7215"/>
    <x v="4"/>
  </r>
  <r>
    <s v="ORD00205"/>
    <x v="7"/>
    <x v="4"/>
    <n v="5258.29"/>
    <n v="5"/>
    <n v="26291.45"/>
    <d v="2024-08-23T00:00:00"/>
    <x v="2"/>
    <x v="15"/>
    <s v="August"/>
    <x v="0"/>
    <n v="5258.2900000000009"/>
    <n v="23"/>
    <x v="0"/>
    <x v="0"/>
    <n v="26291.45"/>
    <n v="0"/>
    <n v="0.20000000000000004"/>
    <n v="5258.29"/>
    <n v="1051.6580000000001"/>
    <n v="8"/>
    <s v="Q3"/>
    <s v="Aug-2024"/>
    <n v="6047.0334999999995"/>
    <n v="20244.416499999999"/>
    <x v="12"/>
  </r>
  <r>
    <s v="ORD00206"/>
    <x v="17"/>
    <x v="2"/>
    <n v="32580"/>
    <n v="5"/>
    <n v="162900"/>
    <d v="2024-03-27T00:00:00"/>
    <x v="3"/>
    <x v="29"/>
    <s v="March"/>
    <x v="0"/>
    <n v="32580"/>
    <n v="14"/>
    <x v="0"/>
    <x v="0"/>
    <n v="162900"/>
    <n v="0"/>
    <n v="0.2"/>
    <n v="32580"/>
    <n v="6516"/>
    <n v="3"/>
    <s v="Q1"/>
    <s v="Mar-2024"/>
    <n v="22806"/>
    <n v="140094"/>
    <x v="7"/>
  </r>
  <r>
    <s v="ORD00207"/>
    <x v="23"/>
    <x v="4"/>
    <n v="40298.9"/>
    <n v="1"/>
    <n v="40298.9"/>
    <d v="2024-06-17T00:00:00"/>
    <x v="0"/>
    <x v="12"/>
    <s v="June"/>
    <x v="0"/>
    <n v="8059.7800000000007"/>
    <n v="16"/>
    <x v="2"/>
    <x v="0"/>
    <n v="40298.9"/>
    <n v="0"/>
    <n v="0.2"/>
    <n v="40298.9"/>
    <n v="8059.7800000000007"/>
    <n v="6"/>
    <s v="Q2"/>
    <s v="Jun-2024"/>
    <n v="6447.8240000000005"/>
    <n v="33851.076000000001"/>
    <x v="11"/>
  </r>
  <r>
    <s v="ORD00208"/>
    <x v="9"/>
    <x v="3"/>
    <n v="11236.19"/>
    <n v="3"/>
    <n v="33708.57"/>
    <d v="2024-11-02T00:00:00"/>
    <x v="3"/>
    <x v="8"/>
    <s v="November"/>
    <x v="0"/>
    <n v="6741.7139999999999"/>
    <n v="28"/>
    <x v="1"/>
    <x v="0"/>
    <n v="33708.57"/>
    <n v="0"/>
    <n v="0.2"/>
    <n v="11236.19"/>
    <n v="2247.2379999999998"/>
    <n v="11"/>
    <s v="Q4"/>
    <s v="Nov-2024"/>
    <n v="9438.3995999999988"/>
    <n v="24270.170400000003"/>
    <x v="3"/>
  </r>
  <r>
    <s v="ORD00209"/>
    <x v="22"/>
    <x v="0"/>
    <n v="32537.46"/>
    <n v="5"/>
    <n v="162687.29999999999"/>
    <d v="2024-10-28T00:00:00"/>
    <x v="1"/>
    <x v="20"/>
    <s v="October"/>
    <x v="0"/>
    <n v="32537.46"/>
    <n v="19"/>
    <x v="1"/>
    <x v="1"/>
    <n v="162687.29999999999"/>
    <n v="0"/>
    <n v="0.2"/>
    <n v="32537.46"/>
    <n v="6507.4920000000002"/>
    <n v="10"/>
    <s v="Q4"/>
    <s v="Oct-2024"/>
    <n v="30910.586999999996"/>
    <n v="131776.71299999999"/>
    <x v="4"/>
  </r>
  <r>
    <s v="ORD00210"/>
    <x v="1"/>
    <x v="1"/>
    <n v="6953.88"/>
    <n v="1"/>
    <n v="6953.88"/>
    <d v="2024-05-14T00:00:00"/>
    <x v="1"/>
    <x v="36"/>
    <s v="May"/>
    <x v="0"/>
    <n v="1390.7760000000001"/>
    <n v="26"/>
    <x v="1"/>
    <x v="3"/>
    <n v="6953.88"/>
    <n v="0"/>
    <n v="0.2"/>
    <n v="6953.88"/>
    <n v="1390.7760000000001"/>
    <n v="5"/>
    <s v="Q2"/>
    <s v="May-2024"/>
    <n v="1808.0088000000001"/>
    <n v="5145.8711999999996"/>
    <x v="2"/>
  </r>
  <r>
    <s v="ORD00211"/>
    <x v="16"/>
    <x v="4"/>
    <n v="32824.050000000003"/>
    <n v="3"/>
    <n v="98472.15"/>
    <d v="2024-09-02T00:00:00"/>
    <x v="4"/>
    <x v="22"/>
    <s v="September"/>
    <x v="0"/>
    <n v="19694.43"/>
    <n v="28"/>
    <x v="1"/>
    <x v="3"/>
    <n v="98472.150000000009"/>
    <n v="0"/>
    <n v="0.2"/>
    <n v="32824.049999999996"/>
    <n v="6564.81"/>
    <n v="9"/>
    <s v="Q3"/>
    <s v="Sep-2024"/>
    <n v="27572.201999999997"/>
    <n v="70899.948000000004"/>
    <x v="0"/>
  </r>
  <r>
    <s v="ORD00212"/>
    <x v="6"/>
    <x v="1"/>
    <n v="34459.99"/>
    <n v="3"/>
    <n v="103379.97"/>
    <d v="2024-10-05T00:00:00"/>
    <x v="0"/>
    <x v="23"/>
    <s v="October"/>
    <x v="0"/>
    <n v="20675.994000000002"/>
    <n v="13"/>
    <x v="2"/>
    <x v="3"/>
    <n v="103379.97"/>
    <n v="0"/>
    <n v="0.2"/>
    <n v="34459.99"/>
    <n v="6891.9980000000005"/>
    <n v="10"/>
    <s v="Q4"/>
    <s v="Oct-2024"/>
    <n v="13439.396100000002"/>
    <n v="89940.573900000003"/>
    <x v="4"/>
  </r>
  <r>
    <s v="ORD00213"/>
    <x v="0"/>
    <x v="0"/>
    <n v="13608.58"/>
    <n v="3"/>
    <n v="40825.74"/>
    <d v="2024-04-05T00:00:00"/>
    <x v="1"/>
    <x v="33"/>
    <s v="April"/>
    <x v="0"/>
    <n v="8165.1480000000001"/>
    <n v="24"/>
    <x v="0"/>
    <x v="3"/>
    <n v="40825.74"/>
    <n v="0"/>
    <n v="0.2"/>
    <n v="13608.58"/>
    <n v="2721.7159999999999"/>
    <n v="4"/>
    <s v="Q2"/>
    <s v="Apr-2024"/>
    <n v="9798.1776000000009"/>
    <n v="31027.562399999995"/>
    <x v="9"/>
  </r>
  <r>
    <s v="ORD00214"/>
    <x v="5"/>
    <x v="4"/>
    <n v="32630.83"/>
    <n v="2"/>
    <n v="65261.66"/>
    <d v="2024-12-22T00:00:00"/>
    <x v="1"/>
    <x v="25"/>
    <s v="December"/>
    <x v="0"/>
    <n v="13052.332000000002"/>
    <n v="21"/>
    <x v="1"/>
    <x v="2"/>
    <n v="65261.66"/>
    <n v="0"/>
    <n v="0.2"/>
    <n v="32630.83"/>
    <n v="6526.1660000000011"/>
    <n v="12"/>
    <s v="Q4"/>
    <s v="Dec-2024"/>
    <n v="13704.948600000002"/>
    <n v="51556.7114"/>
    <x v="1"/>
  </r>
  <r>
    <s v="ORD00215"/>
    <x v="18"/>
    <x v="3"/>
    <n v="24818.77"/>
    <n v="4"/>
    <n v="99275.08"/>
    <d v="2024-11-14T00:00:00"/>
    <x v="0"/>
    <x v="10"/>
    <s v="November"/>
    <x v="0"/>
    <n v="19855.016000000003"/>
    <n v="21"/>
    <x v="2"/>
    <x v="3"/>
    <n v="99275.08"/>
    <n v="0"/>
    <n v="0.20000000000000004"/>
    <n v="24818.77"/>
    <n v="4963.7540000000008"/>
    <n v="11"/>
    <s v="Q4"/>
    <s v="Nov-2024"/>
    <n v="20847.766799999998"/>
    <n v="78427.313200000004"/>
    <x v="3"/>
  </r>
  <r>
    <s v="ORD00216"/>
    <x v="14"/>
    <x v="0"/>
    <n v="36645.35"/>
    <n v="3"/>
    <n v="109936.05"/>
    <d v="2024-12-26T00:00:00"/>
    <x v="0"/>
    <x v="15"/>
    <s v="December"/>
    <x v="0"/>
    <n v="21987.210000000003"/>
    <n v="30"/>
    <x v="1"/>
    <x v="2"/>
    <n v="109936.04999999999"/>
    <n v="0"/>
    <n v="0.2"/>
    <n v="36645.35"/>
    <n v="7329.0700000000006"/>
    <n v="12"/>
    <s v="Q4"/>
    <s v="Dec-2024"/>
    <n v="32980.815000000002"/>
    <n v="76955.235000000001"/>
    <x v="1"/>
  </r>
  <r>
    <s v="ORD00217"/>
    <x v="1"/>
    <x v="1"/>
    <n v="25668.959999999999"/>
    <n v="3"/>
    <n v="77006.880000000005"/>
    <d v="2024-06-08T00:00:00"/>
    <x v="0"/>
    <x v="38"/>
    <s v="June"/>
    <x v="0"/>
    <n v="15401.376000000002"/>
    <n v="24"/>
    <x v="1"/>
    <x v="2"/>
    <n v="77006.880000000005"/>
    <n v="0"/>
    <n v="0.2"/>
    <n v="25668.960000000003"/>
    <n v="5133.7920000000004"/>
    <n v="6"/>
    <s v="Q2"/>
    <s v="Jun-2024"/>
    <n v="18481.6512"/>
    <n v="58525.228800000004"/>
    <x v="11"/>
  </r>
  <r>
    <s v="ORD00218"/>
    <x v="24"/>
    <x v="1"/>
    <n v="44241.68"/>
    <n v="4"/>
    <n v="176966.72"/>
    <d v="2024-09-18T00:00:00"/>
    <x v="3"/>
    <x v="23"/>
    <s v="September"/>
    <x v="0"/>
    <n v="35393.344000000005"/>
    <n v="16"/>
    <x v="2"/>
    <x v="0"/>
    <n v="176966.72"/>
    <n v="0"/>
    <n v="0.2"/>
    <n v="44241.68"/>
    <n v="8848.3360000000011"/>
    <n v="9"/>
    <s v="Q3"/>
    <s v="Sep-2024"/>
    <n v="28314.675200000001"/>
    <n v="148652.0448"/>
    <x v="0"/>
  </r>
  <r>
    <s v="ORD00219"/>
    <x v="20"/>
    <x v="3"/>
    <n v="39749.19"/>
    <n v="1"/>
    <n v="39749.19"/>
    <d v="2024-07-19T00:00:00"/>
    <x v="3"/>
    <x v="0"/>
    <s v="July"/>
    <x v="0"/>
    <n v="7949.8380000000006"/>
    <n v="11"/>
    <x v="0"/>
    <x v="2"/>
    <n v="39749.19"/>
    <n v="0"/>
    <n v="0.2"/>
    <n v="39749.19"/>
    <n v="7949.8380000000006"/>
    <n v="7"/>
    <s v="Q3"/>
    <s v="Jul-2024"/>
    <n v="4372.4108999999999"/>
    <n v="35376.7791"/>
    <x v="5"/>
  </r>
  <r>
    <s v="ORD00220"/>
    <x v="9"/>
    <x v="3"/>
    <n v="37578.46"/>
    <n v="2"/>
    <n v="75156.92"/>
    <d v="2024-06-08T00:00:00"/>
    <x v="5"/>
    <x v="2"/>
    <s v="June"/>
    <x v="0"/>
    <n v="15031.384"/>
    <n v="6"/>
    <x v="0"/>
    <x v="1"/>
    <n v="75156.92"/>
    <n v="0"/>
    <n v="0.2"/>
    <n v="37578.46"/>
    <n v="7515.692"/>
    <n v="6"/>
    <s v="Q2"/>
    <s v="Jun-2024"/>
    <n v="4509.4152000000004"/>
    <n v="70647.504799999995"/>
    <x v="11"/>
  </r>
  <r>
    <s v="ORD00221"/>
    <x v="12"/>
    <x v="3"/>
    <n v="37203.65"/>
    <n v="4"/>
    <n v="148814.6"/>
    <d v="2024-05-14T00:00:00"/>
    <x v="2"/>
    <x v="0"/>
    <s v="May"/>
    <x v="0"/>
    <n v="29762.920000000002"/>
    <n v="7"/>
    <x v="2"/>
    <x v="2"/>
    <n v="148814.6"/>
    <n v="0"/>
    <n v="0.2"/>
    <n v="37203.65"/>
    <n v="7440.7300000000005"/>
    <n v="5"/>
    <s v="Q2"/>
    <s v="May-2024"/>
    <n v="10417.022000000001"/>
    <n v="138397.57800000001"/>
    <x v="2"/>
  </r>
  <r>
    <s v="ORD00222"/>
    <x v="22"/>
    <x v="0"/>
    <n v="22851.63"/>
    <n v="1"/>
    <n v="22851.63"/>
    <d v="2024-05-14T00:00:00"/>
    <x v="2"/>
    <x v="34"/>
    <s v="May"/>
    <x v="0"/>
    <n v="4570.326"/>
    <n v="21"/>
    <x v="0"/>
    <x v="0"/>
    <n v="22851.63"/>
    <n v="0"/>
    <n v="0.19999999999999998"/>
    <n v="22851.63"/>
    <n v="4570.326"/>
    <n v="5"/>
    <s v="Q2"/>
    <s v="May-2024"/>
    <n v="4798.8423000000003"/>
    <n v="18052.787700000001"/>
    <x v="2"/>
  </r>
  <r>
    <s v="ORD00223"/>
    <x v="17"/>
    <x v="2"/>
    <n v="27627.84"/>
    <n v="4"/>
    <n v="110511.36"/>
    <d v="2024-03-30T00:00:00"/>
    <x v="1"/>
    <x v="31"/>
    <s v="March"/>
    <x v="0"/>
    <n v="22102.272000000001"/>
    <n v="9"/>
    <x v="2"/>
    <x v="2"/>
    <n v="110511.36"/>
    <n v="0"/>
    <n v="0.2"/>
    <n v="27627.84"/>
    <n v="5525.5680000000002"/>
    <n v="3"/>
    <s v="Q1"/>
    <s v="Mar-2024"/>
    <n v="9946.0223999999998"/>
    <n v="100565.3376"/>
    <x v="7"/>
  </r>
  <r>
    <s v="ORD00224"/>
    <x v="22"/>
    <x v="0"/>
    <n v="31333.95"/>
    <n v="3"/>
    <n v="94001.85"/>
    <d v="2024-08-21T00:00:00"/>
    <x v="0"/>
    <x v="5"/>
    <s v="August"/>
    <x v="0"/>
    <n v="18800.370000000003"/>
    <n v="21"/>
    <x v="2"/>
    <x v="1"/>
    <n v="94001.85"/>
    <n v="0"/>
    <n v="0.2"/>
    <n v="31333.95"/>
    <n v="6266.7900000000009"/>
    <n v="8"/>
    <s v="Q3"/>
    <s v="Aug-2024"/>
    <n v="19740.388500000001"/>
    <n v="74261.461500000005"/>
    <x v="12"/>
  </r>
  <r>
    <s v="ORD00225"/>
    <x v="16"/>
    <x v="4"/>
    <n v="30911.439999999999"/>
    <n v="5"/>
    <n v="154557.20000000001"/>
    <d v="2024-04-06T00:00:00"/>
    <x v="0"/>
    <x v="32"/>
    <s v="April"/>
    <x v="0"/>
    <n v="30911.440000000002"/>
    <n v="28"/>
    <x v="2"/>
    <x v="1"/>
    <n v="154557.19999999998"/>
    <n v="0"/>
    <n v="0.2"/>
    <n v="30911.440000000002"/>
    <n v="6182.2880000000005"/>
    <n v="4"/>
    <s v="Q2"/>
    <s v="Apr-2024"/>
    <n v="43276.016000000003"/>
    <n v="111281.18400000001"/>
    <x v="9"/>
  </r>
  <r>
    <s v="ORD00226"/>
    <x v="18"/>
    <x v="3"/>
    <n v="11518.23"/>
    <n v="1"/>
    <n v="11518.23"/>
    <d v="2025-01-30T00:00:00"/>
    <x v="0"/>
    <x v="2"/>
    <s v="January"/>
    <x v="1"/>
    <n v="2303.6460000000002"/>
    <n v="21"/>
    <x v="0"/>
    <x v="1"/>
    <n v="11518.23"/>
    <n v="0"/>
    <n v="0.2"/>
    <n v="11518.23"/>
    <n v="2303.6460000000002"/>
    <n v="1"/>
    <s v="Q1"/>
    <s v="Jan-2025"/>
    <n v="2418.8282999999997"/>
    <n v="9099.4017000000003"/>
    <x v="6"/>
  </r>
  <r>
    <s v="ORD00227"/>
    <x v="1"/>
    <x v="1"/>
    <n v="43304.55"/>
    <n v="5"/>
    <n v="216522.75"/>
    <d v="2024-12-28T00:00:00"/>
    <x v="1"/>
    <x v="8"/>
    <s v="December"/>
    <x v="0"/>
    <n v="43304.55"/>
    <n v="21"/>
    <x v="2"/>
    <x v="0"/>
    <n v="216522.75"/>
    <n v="0"/>
    <n v="0.2"/>
    <n v="43304.55"/>
    <n v="8660.91"/>
    <n v="12"/>
    <s v="Q4"/>
    <s v="Dec-2024"/>
    <n v="45469.777499999997"/>
    <n v="171052.9725"/>
    <x v="1"/>
  </r>
  <r>
    <s v="ORD00228"/>
    <x v="22"/>
    <x v="0"/>
    <n v="3710.07"/>
    <n v="3"/>
    <n v="11130.21"/>
    <d v="2024-02-20T00:00:00"/>
    <x v="4"/>
    <x v="24"/>
    <s v="February"/>
    <x v="0"/>
    <n v="2226.0419999999999"/>
    <n v="6"/>
    <x v="1"/>
    <x v="0"/>
    <n v="11130.210000000001"/>
    <n v="0"/>
    <n v="0.2"/>
    <n v="3710.0699999999997"/>
    <n v="742.01400000000001"/>
    <n v="2"/>
    <s v="Q1"/>
    <s v="Feb-2024"/>
    <n v="667.81259999999997"/>
    <n v="10462.3974"/>
    <x v="10"/>
  </r>
  <r>
    <s v="ORD00229"/>
    <x v="10"/>
    <x v="2"/>
    <n v="34621.21"/>
    <n v="2"/>
    <n v="69242.42"/>
    <d v="2025-01-06T00:00:00"/>
    <x v="2"/>
    <x v="31"/>
    <s v="January"/>
    <x v="1"/>
    <n v="13848.484"/>
    <n v="6"/>
    <x v="0"/>
    <x v="3"/>
    <n v="69242.42"/>
    <n v="0"/>
    <n v="0.2"/>
    <n v="34621.21"/>
    <n v="6924.2420000000002"/>
    <n v="1"/>
    <s v="Q1"/>
    <s v="Jan-2025"/>
    <n v="4154.5452000000005"/>
    <n v="65087.874799999998"/>
    <x v="6"/>
  </r>
  <r>
    <s v="ORD00230"/>
    <x v="20"/>
    <x v="3"/>
    <n v="41742.29"/>
    <n v="5"/>
    <n v="208711.45"/>
    <d v="2024-07-15T00:00:00"/>
    <x v="3"/>
    <x v="8"/>
    <s v="July"/>
    <x v="0"/>
    <n v="41742.290000000008"/>
    <n v="26"/>
    <x v="0"/>
    <x v="0"/>
    <n v="208711.45"/>
    <n v="0"/>
    <n v="0.20000000000000004"/>
    <n v="41742.29"/>
    <n v="8348.4580000000024"/>
    <n v="7"/>
    <s v="Q3"/>
    <s v="Jul-2024"/>
    <n v="54264.976999999999"/>
    <n v="154446.473"/>
    <x v="5"/>
  </r>
  <r>
    <s v="ORD00231"/>
    <x v="16"/>
    <x v="4"/>
    <n v="46858.63"/>
    <n v="1"/>
    <n v="46858.63"/>
    <d v="2024-11-02T00:00:00"/>
    <x v="0"/>
    <x v="0"/>
    <s v="November"/>
    <x v="0"/>
    <n v="9371.7260000000006"/>
    <n v="27"/>
    <x v="0"/>
    <x v="1"/>
    <n v="46858.63"/>
    <n v="0"/>
    <n v="0.2"/>
    <n v="46858.63"/>
    <n v="9371.7260000000006"/>
    <n v="11"/>
    <s v="Q4"/>
    <s v="Nov-2024"/>
    <n v="12651.830099999999"/>
    <n v="34206.799899999998"/>
    <x v="3"/>
  </r>
  <r>
    <s v="ORD00232"/>
    <x v="3"/>
    <x v="3"/>
    <n v="5413.09"/>
    <n v="1"/>
    <n v="5413.09"/>
    <d v="2024-05-20T00:00:00"/>
    <x v="1"/>
    <x v="20"/>
    <s v="May"/>
    <x v="0"/>
    <n v="1082.6180000000002"/>
    <n v="9"/>
    <x v="0"/>
    <x v="1"/>
    <n v="5413.09"/>
    <n v="0"/>
    <n v="0.20000000000000004"/>
    <n v="5413.09"/>
    <n v="1082.6180000000002"/>
    <n v="5"/>
    <s v="Q2"/>
    <s v="May-2024"/>
    <n v="487.17809999999997"/>
    <n v="4925.9119000000001"/>
    <x v="2"/>
  </r>
  <r>
    <s v="ORD00233"/>
    <x v="18"/>
    <x v="3"/>
    <n v="5880.45"/>
    <n v="1"/>
    <n v="5880.45"/>
    <d v="2024-09-09T00:00:00"/>
    <x v="5"/>
    <x v="6"/>
    <s v="September"/>
    <x v="0"/>
    <n v="1176.0899999999999"/>
    <n v="5"/>
    <x v="1"/>
    <x v="0"/>
    <n v="5880.45"/>
    <n v="0"/>
    <n v="0.19999999999999998"/>
    <n v="5880.45"/>
    <n v="1176.0899999999999"/>
    <n v="9"/>
    <s v="Q3"/>
    <s v="Sep-2024"/>
    <n v="294.02249999999998"/>
    <n v="5586.4274999999998"/>
    <x v="0"/>
  </r>
  <r>
    <s v="ORD00234"/>
    <x v="13"/>
    <x v="0"/>
    <n v="35665.26"/>
    <n v="3"/>
    <n v="106995.78"/>
    <d v="2024-03-30T00:00:00"/>
    <x v="2"/>
    <x v="12"/>
    <s v="March"/>
    <x v="0"/>
    <n v="21399.156000000003"/>
    <n v="5"/>
    <x v="0"/>
    <x v="2"/>
    <n v="106995.78"/>
    <n v="0"/>
    <n v="0.20000000000000004"/>
    <n v="35665.26"/>
    <n v="7133.0520000000006"/>
    <n v="3"/>
    <s v="Q1"/>
    <s v="Mar-2024"/>
    <n v="5349.7890000000007"/>
    <n v="101645.99099999999"/>
    <x v="7"/>
  </r>
  <r>
    <s v="ORD00235"/>
    <x v="20"/>
    <x v="3"/>
    <n v="42981.89"/>
    <n v="5"/>
    <n v="214909.45"/>
    <d v="2025-01-02T00:00:00"/>
    <x v="4"/>
    <x v="31"/>
    <s v="January"/>
    <x v="1"/>
    <n v="42981.890000000007"/>
    <n v="23"/>
    <x v="0"/>
    <x v="0"/>
    <n v="214909.45"/>
    <n v="0"/>
    <n v="0.2"/>
    <n v="42981.89"/>
    <n v="8596.3780000000006"/>
    <n v="1"/>
    <s v="Q1"/>
    <s v="Jan-2025"/>
    <n v="49429.173500000004"/>
    <n v="165480.27650000001"/>
    <x v="6"/>
  </r>
  <r>
    <s v="ORD00236"/>
    <x v="13"/>
    <x v="0"/>
    <n v="25629.88"/>
    <n v="3"/>
    <n v="76889.64"/>
    <d v="2024-09-03T00:00:00"/>
    <x v="0"/>
    <x v="36"/>
    <s v="September"/>
    <x v="0"/>
    <n v="15377.928"/>
    <n v="6"/>
    <x v="2"/>
    <x v="0"/>
    <n v="76889.64"/>
    <n v="0"/>
    <n v="0.2"/>
    <n v="25629.88"/>
    <n v="5125.9759999999997"/>
    <n v="9"/>
    <s v="Q3"/>
    <s v="Sep-2024"/>
    <n v="4613.3783999999996"/>
    <n v="72276.261599999998"/>
    <x v="0"/>
  </r>
  <r>
    <s v="ORD00237"/>
    <x v="10"/>
    <x v="2"/>
    <n v="22475.94"/>
    <n v="4"/>
    <n v="89903.76"/>
    <d v="2024-02-13T00:00:00"/>
    <x v="0"/>
    <x v="0"/>
    <s v="February"/>
    <x v="0"/>
    <n v="17980.752"/>
    <n v="25"/>
    <x v="0"/>
    <x v="1"/>
    <n v="89903.76"/>
    <n v="0"/>
    <n v="0.2"/>
    <n v="22475.94"/>
    <n v="4495.1880000000001"/>
    <n v="2"/>
    <s v="Q1"/>
    <s v="Feb-2024"/>
    <n v="22475.94"/>
    <n v="67427.819999999992"/>
    <x v="10"/>
  </r>
  <r>
    <s v="ORD00238"/>
    <x v="23"/>
    <x v="4"/>
    <n v="33250.699999999997"/>
    <n v="5"/>
    <n v="166253.5"/>
    <d v="2024-10-19T00:00:00"/>
    <x v="2"/>
    <x v="17"/>
    <s v="October"/>
    <x v="0"/>
    <n v="33250.700000000004"/>
    <n v="16"/>
    <x v="1"/>
    <x v="3"/>
    <n v="166253.5"/>
    <n v="0"/>
    <n v="0.20000000000000004"/>
    <n v="33250.699999999997"/>
    <n v="6650.1400000000012"/>
    <n v="10"/>
    <s v="Q4"/>
    <s v="Oct-2024"/>
    <n v="26600.560000000001"/>
    <n v="139652.94"/>
    <x v="4"/>
  </r>
  <r>
    <s v="ORD00239"/>
    <x v="14"/>
    <x v="0"/>
    <n v="45045.03"/>
    <n v="5"/>
    <n v="225225.15"/>
    <d v="2025-01-02T00:00:00"/>
    <x v="5"/>
    <x v="28"/>
    <s v="January"/>
    <x v="1"/>
    <n v="45045.03"/>
    <n v="30"/>
    <x v="1"/>
    <x v="1"/>
    <n v="225225.15"/>
    <n v="0"/>
    <n v="0.2"/>
    <n v="45045.03"/>
    <n v="9009.0059999999994"/>
    <n v="1"/>
    <s v="Q1"/>
    <s v="Jan-2025"/>
    <n v="67567.544999999998"/>
    <n v="157657.60499999998"/>
    <x v="6"/>
  </r>
  <r>
    <s v="ORD00240"/>
    <x v="16"/>
    <x v="4"/>
    <n v="3955.86"/>
    <n v="5"/>
    <n v="19779.3"/>
    <d v="2024-06-18T00:00:00"/>
    <x v="5"/>
    <x v="25"/>
    <s v="June"/>
    <x v="0"/>
    <n v="3955.86"/>
    <n v="10"/>
    <x v="1"/>
    <x v="3"/>
    <n v="19779.3"/>
    <n v="0"/>
    <n v="0.2"/>
    <n v="3955.8599999999997"/>
    <n v="791.17200000000003"/>
    <n v="6"/>
    <s v="Q2"/>
    <s v="Jun-2024"/>
    <n v="1977.93"/>
    <n v="17801.37"/>
    <x v="11"/>
  </r>
  <r>
    <s v="ORD00241"/>
    <x v="10"/>
    <x v="2"/>
    <n v="28169.11"/>
    <n v="5"/>
    <n v="140845.54999999999"/>
    <d v="2024-05-04T00:00:00"/>
    <x v="1"/>
    <x v="29"/>
    <s v="May"/>
    <x v="0"/>
    <n v="28169.11"/>
    <n v="27"/>
    <x v="1"/>
    <x v="1"/>
    <n v="140845.54999999999"/>
    <n v="0"/>
    <n v="0.2"/>
    <n v="28169.109999999997"/>
    <n v="5633.8220000000001"/>
    <n v="5"/>
    <s v="Q2"/>
    <s v="May-2024"/>
    <n v="38028.298499999997"/>
    <n v="102817.25149999998"/>
    <x v="2"/>
  </r>
  <r>
    <s v="ORD00242"/>
    <x v="2"/>
    <x v="2"/>
    <n v="42785.51"/>
    <n v="4"/>
    <n v="171142.04"/>
    <d v="2024-11-13T00:00:00"/>
    <x v="3"/>
    <x v="5"/>
    <s v="November"/>
    <x v="0"/>
    <n v="34228.408000000003"/>
    <n v="8"/>
    <x v="0"/>
    <x v="0"/>
    <n v="171142.04"/>
    <n v="0"/>
    <n v="0.2"/>
    <n v="42785.51"/>
    <n v="8557.1020000000008"/>
    <n v="11"/>
    <s v="Q4"/>
    <s v="Nov-2024"/>
    <n v="13691.3632"/>
    <n v="157450.67680000002"/>
    <x v="3"/>
  </r>
  <r>
    <s v="ORD00243"/>
    <x v="12"/>
    <x v="3"/>
    <n v="25614.35"/>
    <n v="2"/>
    <n v="51228.7"/>
    <d v="2024-08-12T00:00:00"/>
    <x v="2"/>
    <x v="0"/>
    <s v="August"/>
    <x v="0"/>
    <n v="10245.74"/>
    <n v="27"/>
    <x v="0"/>
    <x v="1"/>
    <n v="51228.7"/>
    <n v="0"/>
    <n v="0.2"/>
    <n v="25614.35"/>
    <n v="5122.87"/>
    <n v="8"/>
    <s v="Q3"/>
    <s v="Aug-2024"/>
    <n v="13831.749"/>
    <n v="37396.951000000001"/>
    <x v="12"/>
  </r>
  <r>
    <s v="ORD00244"/>
    <x v="5"/>
    <x v="4"/>
    <n v="7771.58"/>
    <n v="5"/>
    <n v="38857.9"/>
    <d v="2024-08-17T00:00:00"/>
    <x v="0"/>
    <x v="22"/>
    <s v="August"/>
    <x v="0"/>
    <n v="7771.5800000000008"/>
    <n v="15"/>
    <x v="1"/>
    <x v="1"/>
    <n v="38857.9"/>
    <n v="0"/>
    <n v="0.2"/>
    <n v="7771.58"/>
    <n v="1554.3160000000003"/>
    <n v="8"/>
    <s v="Q3"/>
    <s v="Aug-2024"/>
    <n v="5828.6850000000004"/>
    <n v="33029.215000000004"/>
    <x v="12"/>
  </r>
  <r>
    <s v="ORD00245"/>
    <x v="14"/>
    <x v="0"/>
    <n v="31059.47"/>
    <n v="3"/>
    <n v="93178.41"/>
    <d v="2024-05-15T00:00:00"/>
    <x v="2"/>
    <x v="38"/>
    <s v="May"/>
    <x v="0"/>
    <n v="18635.682000000001"/>
    <n v="28"/>
    <x v="1"/>
    <x v="1"/>
    <n v="93178.41"/>
    <n v="0"/>
    <n v="0.2"/>
    <n v="31059.47"/>
    <n v="6211.8940000000002"/>
    <n v="5"/>
    <s v="Q2"/>
    <s v="May-2024"/>
    <n v="26089.9548"/>
    <n v="67088.455199999997"/>
    <x v="2"/>
  </r>
  <r>
    <s v="ORD00246"/>
    <x v="0"/>
    <x v="0"/>
    <n v="14506.11"/>
    <n v="5"/>
    <n v="72530.55"/>
    <d v="2024-06-16T00:00:00"/>
    <x v="0"/>
    <x v="0"/>
    <s v="June"/>
    <x v="0"/>
    <n v="14506.11"/>
    <n v="21"/>
    <x v="0"/>
    <x v="0"/>
    <n v="72530.55"/>
    <n v="0"/>
    <n v="0.2"/>
    <n v="14506.11"/>
    <n v="2901.2220000000002"/>
    <n v="6"/>
    <s v="Q2"/>
    <s v="Jun-2024"/>
    <n v="15231.415500000001"/>
    <n v="57299.1345"/>
    <x v="11"/>
  </r>
  <r>
    <s v="ORD00247"/>
    <x v="3"/>
    <x v="3"/>
    <n v="16272.38"/>
    <n v="3"/>
    <n v="48817.14"/>
    <d v="2024-06-15T00:00:00"/>
    <x v="0"/>
    <x v="23"/>
    <s v="June"/>
    <x v="0"/>
    <n v="9763.4279999999999"/>
    <n v="10"/>
    <x v="1"/>
    <x v="0"/>
    <n v="48817.14"/>
    <n v="0"/>
    <n v="0.2"/>
    <n v="16272.38"/>
    <n v="3254.4760000000001"/>
    <n v="6"/>
    <s v="Q2"/>
    <s v="Jun-2024"/>
    <n v="4881.7139999999999"/>
    <n v="43935.425999999999"/>
    <x v="11"/>
  </r>
  <r>
    <s v="ORD00248"/>
    <x v="15"/>
    <x v="1"/>
    <n v="29222.92"/>
    <n v="3"/>
    <n v="87668.76"/>
    <d v="2024-10-16T00:00:00"/>
    <x v="0"/>
    <x v="29"/>
    <s v="October"/>
    <x v="0"/>
    <n v="17533.752"/>
    <n v="28"/>
    <x v="2"/>
    <x v="0"/>
    <n v="87668.76"/>
    <n v="0"/>
    <n v="0.2"/>
    <n v="29222.92"/>
    <n v="5844.5839999999998"/>
    <n v="10"/>
    <s v="Q4"/>
    <s v="Oct-2024"/>
    <n v="24547.252799999998"/>
    <n v="63121.507199999993"/>
    <x v="4"/>
  </r>
  <r>
    <s v="ORD00249"/>
    <x v="0"/>
    <x v="0"/>
    <n v="1483.5"/>
    <n v="5"/>
    <n v="7417.5"/>
    <d v="2024-11-04T00:00:00"/>
    <x v="0"/>
    <x v="17"/>
    <s v="November"/>
    <x v="0"/>
    <n v="1483.5"/>
    <n v="9"/>
    <x v="1"/>
    <x v="0"/>
    <n v="7417.5"/>
    <n v="0"/>
    <n v="0.2"/>
    <n v="1483.5"/>
    <n v="296.7"/>
    <n v="11"/>
    <s v="Q4"/>
    <s v="Nov-2024"/>
    <n v="667.57500000000005"/>
    <n v="6749.9250000000002"/>
    <x v="3"/>
  </r>
  <r>
    <s v="ORD00250"/>
    <x v="22"/>
    <x v="0"/>
    <n v="35629.550000000003"/>
    <n v="2"/>
    <n v="71259.100000000006"/>
    <d v="2025-02-01T00:00:00"/>
    <x v="2"/>
    <x v="6"/>
    <s v="February"/>
    <x v="1"/>
    <n v="14251.820000000002"/>
    <n v="24"/>
    <x v="1"/>
    <x v="3"/>
    <n v="71259.100000000006"/>
    <n v="0"/>
    <n v="0.2"/>
    <n v="35629.550000000003"/>
    <n v="7125.9100000000008"/>
    <n v="2"/>
    <s v="Q1"/>
    <s v="Feb-2025"/>
    <n v="17102.184000000001"/>
    <n v="54156.916000000005"/>
    <x v="8"/>
  </r>
  <r>
    <s v="ORD00251"/>
    <x v="8"/>
    <x v="1"/>
    <n v="1987.98"/>
    <n v="4"/>
    <n v="7951.92"/>
    <d v="2024-02-23T00:00:00"/>
    <x v="1"/>
    <x v="26"/>
    <s v="February"/>
    <x v="0"/>
    <n v="1590.384"/>
    <n v="6"/>
    <x v="2"/>
    <x v="3"/>
    <n v="7951.92"/>
    <n v="0"/>
    <n v="0.2"/>
    <n v="1987.98"/>
    <n v="397.596"/>
    <n v="2"/>
    <s v="Q1"/>
    <s v="Feb-2024"/>
    <n v="477.11520000000002"/>
    <n v="7474.8047999999999"/>
    <x v="10"/>
  </r>
  <r>
    <s v="ORD00252"/>
    <x v="0"/>
    <x v="0"/>
    <n v="37590.44"/>
    <n v="4"/>
    <n v="150361.76"/>
    <d v="2024-03-28T00:00:00"/>
    <x v="2"/>
    <x v="31"/>
    <s v="March"/>
    <x v="0"/>
    <n v="30072.352000000003"/>
    <n v="10"/>
    <x v="2"/>
    <x v="2"/>
    <n v="150361.76"/>
    <n v="0"/>
    <n v="0.2"/>
    <n v="37590.44"/>
    <n v="7518.0880000000006"/>
    <n v="3"/>
    <s v="Q1"/>
    <s v="Mar-2024"/>
    <n v="15036.176000000001"/>
    <n v="135325.584"/>
    <x v="7"/>
  </r>
  <r>
    <s v="ORD00253"/>
    <x v="5"/>
    <x v="4"/>
    <n v="31759.49"/>
    <n v="4"/>
    <n v="127037.96"/>
    <d v="2024-12-11T00:00:00"/>
    <x v="1"/>
    <x v="6"/>
    <s v="December"/>
    <x v="0"/>
    <n v="25407.592000000004"/>
    <n v="26"/>
    <x v="0"/>
    <x v="0"/>
    <n v="127037.96"/>
    <n v="0"/>
    <n v="0.2"/>
    <n v="31759.49"/>
    <n v="6351.898000000001"/>
    <n v="12"/>
    <s v="Q4"/>
    <s v="Dec-2024"/>
    <n v="33029.869599999998"/>
    <n v="94008.090400000016"/>
    <x v="1"/>
  </r>
  <r>
    <s v="ORD00254"/>
    <x v="19"/>
    <x v="2"/>
    <n v="18787.05"/>
    <n v="4"/>
    <n v="75148.2"/>
    <d v="2025-01-27T00:00:00"/>
    <x v="4"/>
    <x v="19"/>
    <s v="January"/>
    <x v="1"/>
    <n v="15029.64"/>
    <n v="15"/>
    <x v="0"/>
    <x v="3"/>
    <n v="75148.2"/>
    <n v="0"/>
    <n v="0.2"/>
    <n v="18787.05"/>
    <n v="3757.41"/>
    <n v="1"/>
    <s v="Q1"/>
    <s v="Jan-2025"/>
    <n v="11272.23"/>
    <n v="63875.97"/>
    <x v="6"/>
  </r>
  <r>
    <s v="ORD00255"/>
    <x v="0"/>
    <x v="0"/>
    <n v="17066.16"/>
    <n v="1"/>
    <n v="17066.16"/>
    <d v="2024-09-15T00:00:00"/>
    <x v="2"/>
    <x v="18"/>
    <s v="September"/>
    <x v="0"/>
    <n v="3413.232"/>
    <n v="20"/>
    <x v="2"/>
    <x v="1"/>
    <n v="17066.16"/>
    <n v="0"/>
    <n v="0.2"/>
    <n v="17066.16"/>
    <n v="3413.232"/>
    <n v="9"/>
    <s v="Q3"/>
    <s v="Sep-2024"/>
    <n v="3413.232"/>
    <n v="13652.928"/>
    <x v="0"/>
  </r>
  <r>
    <s v="ORD00256"/>
    <x v="8"/>
    <x v="1"/>
    <n v="15068.72"/>
    <n v="4"/>
    <n v="60274.879999999997"/>
    <d v="2024-03-23T00:00:00"/>
    <x v="0"/>
    <x v="23"/>
    <s v="March"/>
    <x v="0"/>
    <n v="12054.976000000001"/>
    <n v="20"/>
    <x v="2"/>
    <x v="0"/>
    <n v="60274.879999999997"/>
    <n v="0"/>
    <n v="0.2"/>
    <n v="15068.72"/>
    <n v="3013.7440000000001"/>
    <n v="3"/>
    <s v="Q1"/>
    <s v="Mar-2024"/>
    <n v="12054.975999999999"/>
    <n v="48219.903999999995"/>
    <x v="7"/>
  </r>
  <r>
    <s v="ORD00257"/>
    <x v="12"/>
    <x v="3"/>
    <n v="44334.11"/>
    <n v="3"/>
    <n v="133002.32999999999"/>
    <d v="2024-02-24T00:00:00"/>
    <x v="2"/>
    <x v="8"/>
    <s v="February"/>
    <x v="0"/>
    <n v="26600.466"/>
    <n v="5"/>
    <x v="0"/>
    <x v="2"/>
    <n v="133002.33000000002"/>
    <n v="0"/>
    <n v="0.2"/>
    <n v="44334.109999999993"/>
    <n v="8866.8220000000001"/>
    <n v="2"/>
    <s v="Q1"/>
    <s v="Feb-2024"/>
    <n v="6650.1164999999992"/>
    <n v="126352.21349999998"/>
    <x v="10"/>
  </r>
  <r>
    <s v="ORD00258"/>
    <x v="12"/>
    <x v="3"/>
    <n v="11183.75"/>
    <n v="1"/>
    <n v="11183.75"/>
    <d v="2024-11-15T00:00:00"/>
    <x v="4"/>
    <x v="35"/>
    <s v="November"/>
    <x v="0"/>
    <n v="2236.75"/>
    <n v="13"/>
    <x v="1"/>
    <x v="2"/>
    <n v="11183.75"/>
    <n v="0"/>
    <n v="0.2"/>
    <n v="11183.75"/>
    <n v="2236.75"/>
    <n v="11"/>
    <s v="Q4"/>
    <s v="Nov-2024"/>
    <n v="1453.8875"/>
    <n v="9729.8624999999993"/>
    <x v="3"/>
  </r>
  <r>
    <s v="ORD00259"/>
    <x v="4"/>
    <x v="4"/>
    <n v="2923.95"/>
    <n v="5"/>
    <n v="14619.75"/>
    <d v="2024-08-16T00:00:00"/>
    <x v="5"/>
    <x v="19"/>
    <s v="August"/>
    <x v="0"/>
    <n v="2923.9500000000003"/>
    <n v="10"/>
    <x v="2"/>
    <x v="2"/>
    <n v="14619.75"/>
    <n v="0"/>
    <n v="0.2"/>
    <n v="2923.95"/>
    <n v="584.79000000000008"/>
    <n v="8"/>
    <s v="Q3"/>
    <s v="Aug-2024"/>
    <n v="1461.9749999999999"/>
    <n v="13157.775"/>
    <x v="12"/>
  </r>
  <r>
    <s v="ORD00260"/>
    <x v="19"/>
    <x v="2"/>
    <n v="7339.66"/>
    <n v="2"/>
    <n v="14679.32"/>
    <d v="2024-11-29T00:00:00"/>
    <x v="5"/>
    <x v="19"/>
    <s v="November"/>
    <x v="0"/>
    <n v="2935.864"/>
    <n v="20"/>
    <x v="0"/>
    <x v="1"/>
    <n v="14679.32"/>
    <n v="0"/>
    <n v="0.2"/>
    <n v="7339.66"/>
    <n v="1467.932"/>
    <n v="11"/>
    <s v="Q4"/>
    <s v="Nov-2024"/>
    <n v="2935.864"/>
    <n v="11743.456"/>
    <x v="3"/>
  </r>
  <r>
    <s v="ORD00261"/>
    <x v="7"/>
    <x v="4"/>
    <n v="41405.370000000003"/>
    <n v="2"/>
    <n v="82810.740000000005"/>
    <d v="2024-10-06T00:00:00"/>
    <x v="2"/>
    <x v="33"/>
    <s v="October"/>
    <x v="0"/>
    <n v="16562.148000000001"/>
    <n v="7"/>
    <x v="1"/>
    <x v="3"/>
    <n v="82810.740000000005"/>
    <n v="0"/>
    <n v="0.2"/>
    <n v="41405.370000000003"/>
    <n v="8281.0740000000005"/>
    <n v="10"/>
    <s v="Q4"/>
    <s v="Oct-2024"/>
    <n v="5796.7518000000009"/>
    <n v="77013.988200000007"/>
    <x v="4"/>
  </r>
  <r>
    <s v="ORD00262"/>
    <x v="5"/>
    <x v="4"/>
    <n v="36114.379999999997"/>
    <n v="1"/>
    <n v="36114.379999999997"/>
    <d v="2024-09-01T00:00:00"/>
    <x v="5"/>
    <x v="33"/>
    <s v="September"/>
    <x v="0"/>
    <n v="7222.8760000000002"/>
    <n v="24"/>
    <x v="2"/>
    <x v="1"/>
    <n v="36114.379999999997"/>
    <n v="0"/>
    <n v="0.2"/>
    <n v="36114.379999999997"/>
    <n v="7222.8760000000002"/>
    <n v="9"/>
    <s v="Q3"/>
    <s v="Sep-2024"/>
    <n v="8667.4511999999995"/>
    <n v="27446.928799999998"/>
    <x v="0"/>
  </r>
  <r>
    <s v="ORD00263"/>
    <x v="12"/>
    <x v="3"/>
    <n v="19915.59"/>
    <n v="5"/>
    <n v="99577.95"/>
    <d v="2024-09-06T00:00:00"/>
    <x v="3"/>
    <x v="12"/>
    <s v="September"/>
    <x v="0"/>
    <n v="19915.59"/>
    <n v="8"/>
    <x v="1"/>
    <x v="0"/>
    <n v="99577.95"/>
    <n v="0"/>
    <n v="0.2"/>
    <n v="19915.59"/>
    <n v="3983.1179999999999"/>
    <n v="9"/>
    <s v="Q3"/>
    <s v="Sep-2024"/>
    <n v="7966.2359999999999"/>
    <n v="91611.713999999993"/>
    <x v="0"/>
  </r>
  <r>
    <s v="ORD00264"/>
    <x v="12"/>
    <x v="3"/>
    <n v="18366.97"/>
    <n v="4"/>
    <n v="73467.88"/>
    <d v="2024-05-22T00:00:00"/>
    <x v="3"/>
    <x v="12"/>
    <s v="May"/>
    <x v="0"/>
    <n v="14693.576000000001"/>
    <n v="23"/>
    <x v="0"/>
    <x v="2"/>
    <n v="73467.88"/>
    <n v="0"/>
    <n v="0.2"/>
    <n v="18366.97"/>
    <n v="3673.3940000000002"/>
    <n v="5"/>
    <s v="Q2"/>
    <s v="May-2024"/>
    <n v="16897.612400000002"/>
    <n v="56570.267600000006"/>
    <x v="2"/>
  </r>
  <r>
    <s v="ORD00265"/>
    <x v="12"/>
    <x v="3"/>
    <n v="8563.14"/>
    <n v="2"/>
    <n v="17126.28"/>
    <d v="2024-03-03T00:00:00"/>
    <x v="3"/>
    <x v="4"/>
    <s v="March"/>
    <x v="0"/>
    <n v="3425.2559999999999"/>
    <n v="30"/>
    <x v="2"/>
    <x v="1"/>
    <n v="17126.28"/>
    <n v="0"/>
    <n v="0.2"/>
    <n v="8563.14"/>
    <n v="1712.6279999999999"/>
    <n v="3"/>
    <s v="Q1"/>
    <s v="Mar-2024"/>
    <n v="5137.884"/>
    <n v="11988.395999999999"/>
    <x v="7"/>
  </r>
  <r>
    <s v="ORD00266"/>
    <x v="17"/>
    <x v="2"/>
    <n v="40461.79"/>
    <n v="1"/>
    <n v="40461.79"/>
    <d v="2024-05-19T00:00:00"/>
    <x v="4"/>
    <x v="35"/>
    <s v="May"/>
    <x v="0"/>
    <n v="8092.3580000000002"/>
    <n v="7"/>
    <x v="1"/>
    <x v="1"/>
    <n v="40461.79"/>
    <n v="0"/>
    <n v="0.2"/>
    <n v="40461.79"/>
    <n v="8092.3580000000002"/>
    <n v="5"/>
    <s v="Q2"/>
    <s v="May-2024"/>
    <n v="2832.3253000000004"/>
    <n v="37629.464699999997"/>
    <x v="2"/>
  </r>
  <r>
    <s v="ORD00267"/>
    <x v="8"/>
    <x v="1"/>
    <n v="6943.4"/>
    <n v="5"/>
    <n v="34717"/>
    <d v="2024-07-16T00:00:00"/>
    <x v="0"/>
    <x v="39"/>
    <s v="July"/>
    <x v="0"/>
    <n v="6943.4000000000015"/>
    <n v="23"/>
    <x v="2"/>
    <x v="3"/>
    <n v="34717"/>
    <n v="0"/>
    <n v="0.20000000000000004"/>
    <n v="6943.4"/>
    <n v="1388.6800000000003"/>
    <n v="7"/>
    <s v="Q3"/>
    <s v="Jul-2024"/>
    <n v="7984.91"/>
    <n v="26732.09"/>
    <x v="5"/>
  </r>
  <r>
    <s v="ORD00268"/>
    <x v="19"/>
    <x v="2"/>
    <n v="14517.08"/>
    <n v="1"/>
    <n v="14517.08"/>
    <d v="2024-05-19T00:00:00"/>
    <x v="1"/>
    <x v="32"/>
    <s v="May"/>
    <x v="0"/>
    <n v="2903.4160000000002"/>
    <n v="24"/>
    <x v="1"/>
    <x v="3"/>
    <n v="14517.08"/>
    <n v="0"/>
    <n v="0.2"/>
    <n v="14517.08"/>
    <n v="2903.4160000000002"/>
    <n v="5"/>
    <s v="Q2"/>
    <s v="May-2024"/>
    <n v="3484.0991999999997"/>
    <n v="11032.980800000001"/>
    <x v="2"/>
  </r>
  <r>
    <s v="ORD00269"/>
    <x v="9"/>
    <x v="3"/>
    <n v="4248.25"/>
    <n v="5"/>
    <n v="21241.25"/>
    <d v="2024-07-19T00:00:00"/>
    <x v="2"/>
    <x v="27"/>
    <s v="July"/>
    <x v="0"/>
    <n v="4248.25"/>
    <n v="11"/>
    <x v="0"/>
    <x v="2"/>
    <n v="21241.25"/>
    <n v="0"/>
    <n v="0.2"/>
    <n v="4248.25"/>
    <n v="849.65"/>
    <n v="7"/>
    <s v="Q3"/>
    <s v="Jul-2024"/>
    <n v="2336.5374999999999"/>
    <n v="18904.712500000001"/>
    <x v="5"/>
  </r>
  <r>
    <s v="ORD00270"/>
    <x v="5"/>
    <x v="4"/>
    <n v="43118.73"/>
    <n v="5"/>
    <n v="215593.65"/>
    <d v="2024-12-12T00:00:00"/>
    <x v="0"/>
    <x v="4"/>
    <s v="December"/>
    <x v="0"/>
    <n v="43118.73"/>
    <n v="24"/>
    <x v="0"/>
    <x v="1"/>
    <n v="215593.65000000002"/>
    <n v="0"/>
    <n v="0.2"/>
    <n v="43118.729999999996"/>
    <n v="8623.746000000001"/>
    <n v="12"/>
    <s v="Q4"/>
    <s v="Dec-2024"/>
    <n v="51742.475999999995"/>
    <n v="163851.174"/>
    <x v="1"/>
  </r>
  <r>
    <s v="ORD00271"/>
    <x v="24"/>
    <x v="1"/>
    <n v="10086.76"/>
    <n v="2"/>
    <n v="20173.52"/>
    <d v="2024-03-26T00:00:00"/>
    <x v="2"/>
    <x v="30"/>
    <s v="March"/>
    <x v="0"/>
    <n v="4034.7040000000002"/>
    <n v="13"/>
    <x v="2"/>
    <x v="1"/>
    <n v="20173.52"/>
    <n v="0"/>
    <n v="0.2"/>
    <n v="10086.76"/>
    <n v="2017.3520000000001"/>
    <n v="3"/>
    <s v="Q1"/>
    <s v="Mar-2024"/>
    <n v="2622.5576000000001"/>
    <n v="17550.9624"/>
    <x v="7"/>
  </r>
  <r>
    <s v="ORD00272"/>
    <x v="2"/>
    <x v="2"/>
    <n v="35373.5"/>
    <n v="4"/>
    <n v="141494"/>
    <d v="2024-08-09T00:00:00"/>
    <x v="4"/>
    <x v="36"/>
    <s v="August"/>
    <x v="0"/>
    <n v="28298.800000000003"/>
    <n v="5"/>
    <x v="1"/>
    <x v="3"/>
    <n v="141494"/>
    <n v="0"/>
    <n v="0.2"/>
    <n v="35373.5"/>
    <n v="7074.7000000000007"/>
    <n v="8"/>
    <s v="Q3"/>
    <s v="Aug-2024"/>
    <n v="7074.7"/>
    <n v="134419.29999999999"/>
    <x v="12"/>
  </r>
  <r>
    <s v="ORD00273"/>
    <x v="7"/>
    <x v="4"/>
    <n v="43002.68"/>
    <n v="3"/>
    <n v="129008.04"/>
    <d v="2024-04-05T00:00:00"/>
    <x v="1"/>
    <x v="24"/>
    <s v="April"/>
    <x v="0"/>
    <n v="25801.608"/>
    <n v="12"/>
    <x v="2"/>
    <x v="1"/>
    <n v="129008.04000000001"/>
    <n v="0"/>
    <n v="0.2"/>
    <n v="43002.68"/>
    <n v="8600.5360000000001"/>
    <n v="4"/>
    <s v="Q2"/>
    <s v="Apr-2024"/>
    <n v="15480.9648"/>
    <n v="113527.07519999999"/>
    <x v="9"/>
  </r>
  <r>
    <s v="ORD00274"/>
    <x v="18"/>
    <x v="3"/>
    <n v="46388.81"/>
    <n v="1"/>
    <n v="46388.81"/>
    <d v="2024-02-21T00:00:00"/>
    <x v="3"/>
    <x v="2"/>
    <s v="February"/>
    <x v="0"/>
    <n v="9277.7620000000006"/>
    <n v="11"/>
    <x v="2"/>
    <x v="1"/>
    <n v="46388.81"/>
    <n v="0"/>
    <n v="0.2"/>
    <n v="46388.81"/>
    <n v="9277.7620000000006"/>
    <n v="2"/>
    <s v="Q1"/>
    <s v="Feb-2024"/>
    <n v="5102.7690999999995"/>
    <n v="41286.0409"/>
    <x v="10"/>
  </r>
  <r>
    <s v="ORD00275"/>
    <x v="14"/>
    <x v="0"/>
    <n v="47384.51"/>
    <n v="3"/>
    <n v="142153.53"/>
    <d v="2024-05-29T00:00:00"/>
    <x v="5"/>
    <x v="39"/>
    <s v="May"/>
    <x v="0"/>
    <n v="28430.706000000002"/>
    <n v="22"/>
    <x v="1"/>
    <x v="1"/>
    <n v="142153.53"/>
    <n v="0"/>
    <n v="0.2"/>
    <n v="47384.51"/>
    <n v="9476.902"/>
    <n v="5"/>
    <s v="Q2"/>
    <s v="May-2024"/>
    <n v="31273.776600000001"/>
    <n v="110879.7534"/>
    <x v="2"/>
  </r>
  <r>
    <s v="ORD00276"/>
    <x v="8"/>
    <x v="1"/>
    <n v="15826.47"/>
    <n v="2"/>
    <n v="31652.94"/>
    <d v="2024-07-13T00:00:00"/>
    <x v="5"/>
    <x v="2"/>
    <s v="July"/>
    <x v="0"/>
    <n v="6330.5879999999997"/>
    <n v="12"/>
    <x v="1"/>
    <x v="3"/>
    <n v="31652.94"/>
    <n v="0"/>
    <n v="0.2"/>
    <n v="15826.47"/>
    <n v="3165.2939999999999"/>
    <n v="7"/>
    <s v="Q3"/>
    <s v="Jul-2024"/>
    <n v="3798.3527999999997"/>
    <n v="27854.587199999998"/>
    <x v="5"/>
  </r>
  <r>
    <s v="ORD00277"/>
    <x v="19"/>
    <x v="2"/>
    <n v="33927.57"/>
    <n v="5"/>
    <n v="169637.85"/>
    <d v="2025-02-02T00:00:00"/>
    <x v="2"/>
    <x v="8"/>
    <s v="February"/>
    <x v="1"/>
    <n v="33927.57"/>
    <n v="5"/>
    <x v="1"/>
    <x v="2"/>
    <n v="169637.85"/>
    <n v="0"/>
    <n v="0.19999999999999998"/>
    <n v="33927.57"/>
    <n v="6785.5140000000001"/>
    <n v="2"/>
    <s v="Q1"/>
    <s v="Feb-2025"/>
    <n v="8481.8924999999999"/>
    <n v="161155.95750000002"/>
    <x v="8"/>
  </r>
  <r>
    <s v="ORD00278"/>
    <x v="9"/>
    <x v="3"/>
    <n v="27400.84"/>
    <n v="1"/>
    <n v="27400.84"/>
    <d v="2025-02-07T00:00:00"/>
    <x v="5"/>
    <x v="22"/>
    <s v="February"/>
    <x v="1"/>
    <n v="5480.1680000000006"/>
    <n v="15"/>
    <x v="0"/>
    <x v="0"/>
    <n v="27400.84"/>
    <n v="0"/>
    <n v="0.2"/>
    <n v="27400.84"/>
    <n v="5480.1680000000006"/>
    <n v="2"/>
    <s v="Q1"/>
    <s v="Feb-2025"/>
    <n v="4110.1260000000002"/>
    <n v="23290.714"/>
    <x v="8"/>
  </r>
  <r>
    <s v="ORD00279"/>
    <x v="9"/>
    <x v="3"/>
    <n v="37684.28"/>
    <n v="4"/>
    <n v="150737.12"/>
    <d v="2024-04-02T00:00:00"/>
    <x v="3"/>
    <x v="3"/>
    <s v="April"/>
    <x v="0"/>
    <n v="30147.423999999999"/>
    <n v="29"/>
    <x v="2"/>
    <x v="2"/>
    <n v="150737.12"/>
    <n v="0"/>
    <n v="0.2"/>
    <n v="37684.28"/>
    <n v="7536.8559999999998"/>
    <n v="4"/>
    <s v="Q2"/>
    <s v="Apr-2024"/>
    <n v="43713.764799999997"/>
    <n v="107023.35519999999"/>
    <x v="9"/>
  </r>
  <r>
    <s v="ORD00280"/>
    <x v="6"/>
    <x v="1"/>
    <n v="22968.18"/>
    <n v="4"/>
    <n v="91872.72"/>
    <d v="2025-01-23T00:00:00"/>
    <x v="5"/>
    <x v="27"/>
    <s v="January"/>
    <x v="1"/>
    <n v="18374.544000000002"/>
    <n v="29"/>
    <x v="2"/>
    <x v="0"/>
    <n v="91872.72"/>
    <n v="0"/>
    <n v="0.2"/>
    <n v="22968.18"/>
    <n v="4593.6360000000004"/>
    <n v="1"/>
    <s v="Q1"/>
    <s v="Jan-2025"/>
    <n v="26643.088799999998"/>
    <n v="65229.631200000003"/>
    <x v="6"/>
  </r>
  <r>
    <s v="ORD00281"/>
    <x v="23"/>
    <x v="4"/>
    <n v="43444.93"/>
    <n v="1"/>
    <n v="43444.93"/>
    <d v="2025-01-10T00:00:00"/>
    <x v="2"/>
    <x v="9"/>
    <s v="January"/>
    <x v="1"/>
    <n v="8688.9860000000008"/>
    <n v="22"/>
    <x v="0"/>
    <x v="1"/>
    <n v="43444.93"/>
    <n v="0"/>
    <n v="0.2"/>
    <n v="43444.93"/>
    <n v="8688.9860000000008"/>
    <n v="1"/>
    <s v="Q1"/>
    <s v="Jan-2025"/>
    <n v="9557.8845999999994"/>
    <n v="33887.045400000003"/>
    <x v="6"/>
  </r>
  <r>
    <s v="ORD00282"/>
    <x v="20"/>
    <x v="3"/>
    <n v="36083.22"/>
    <n v="3"/>
    <n v="108249.66"/>
    <d v="2024-07-25T00:00:00"/>
    <x v="4"/>
    <x v="36"/>
    <s v="July"/>
    <x v="0"/>
    <n v="21649.932000000001"/>
    <n v="27"/>
    <x v="1"/>
    <x v="2"/>
    <n v="108249.66"/>
    <n v="0"/>
    <n v="0.2"/>
    <n v="36083.22"/>
    <n v="7216.6440000000002"/>
    <n v="7"/>
    <s v="Q3"/>
    <s v="Jul-2024"/>
    <n v="29227.408200000002"/>
    <n v="79022.251799999998"/>
    <x v="5"/>
  </r>
  <r>
    <s v="ORD00283"/>
    <x v="4"/>
    <x v="4"/>
    <n v="43043.82"/>
    <n v="5"/>
    <n v="215219.1"/>
    <d v="2024-11-09T00:00:00"/>
    <x v="2"/>
    <x v="27"/>
    <s v="November"/>
    <x v="0"/>
    <n v="43043.820000000007"/>
    <n v="14"/>
    <x v="0"/>
    <x v="0"/>
    <n v="215219.1"/>
    <n v="0"/>
    <n v="0.20000000000000004"/>
    <n v="43043.82"/>
    <n v="8608.764000000001"/>
    <n v="11"/>
    <s v="Q4"/>
    <s v="Nov-2024"/>
    <n v="30130.673999999999"/>
    <n v="185088.42600000001"/>
    <x v="3"/>
  </r>
  <r>
    <s v="ORD00284"/>
    <x v="3"/>
    <x v="3"/>
    <n v="1517.63"/>
    <n v="4"/>
    <n v="6070.52"/>
    <d v="2024-11-10T00:00:00"/>
    <x v="3"/>
    <x v="6"/>
    <s v="November"/>
    <x v="0"/>
    <n v="1214.104"/>
    <n v="7"/>
    <x v="0"/>
    <x v="3"/>
    <n v="6070.52"/>
    <n v="0"/>
    <n v="0.19999999999999998"/>
    <n v="1517.63"/>
    <n v="303.52600000000001"/>
    <n v="11"/>
    <s v="Q4"/>
    <s v="Nov-2024"/>
    <n v="424.93639999999999"/>
    <n v="5645.5836000000008"/>
    <x v="3"/>
  </r>
  <r>
    <s v="ORD00285"/>
    <x v="21"/>
    <x v="0"/>
    <n v="1626.1"/>
    <n v="5"/>
    <n v="8130.5"/>
    <d v="2024-11-15T00:00:00"/>
    <x v="4"/>
    <x v="18"/>
    <s v="November"/>
    <x v="0"/>
    <n v="1626.1000000000001"/>
    <n v="11"/>
    <x v="0"/>
    <x v="3"/>
    <n v="8130.5"/>
    <n v="0"/>
    <n v="0.2"/>
    <n v="1626.1"/>
    <n v="325.22000000000003"/>
    <n v="11"/>
    <s v="Q4"/>
    <s v="Nov-2024"/>
    <n v="894.35500000000002"/>
    <n v="7236.1450000000004"/>
    <x v="3"/>
  </r>
  <r>
    <s v="ORD00286"/>
    <x v="15"/>
    <x v="1"/>
    <n v="40384.620000000003"/>
    <n v="1"/>
    <n v="40384.620000000003"/>
    <d v="2024-04-27T00:00:00"/>
    <x v="1"/>
    <x v="24"/>
    <s v="April"/>
    <x v="0"/>
    <n v="8076.9240000000009"/>
    <n v="20"/>
    <x v="2"/>
    <x v="2"/>
    <n v="40384.620000000003"/>
    <n v="0"/>
    <n v="0.2"/>
    <n v="40384.620000000003"/>
    <n v="8076.9240000000009"/>
    <n v="4"/>
    <s v="Q2"/>
    <s v="Apr-2024"/>
    <n v="8076.924"/>
    <n v="32307.696000000004"/>
    <x v="9"/>
  </r>
  <r>
    <s v="ORD00287"/>
    <x v="15"/>
    <x v="1"/>
    <n v="37295.08"/>
    <n v="1"/>
    <n v="37295.08"/>
    <d v="2025-02-06T00:00:00"/>
    <x v="1"/>
    <x v="9"/>
    <s v="February"/>
    <x v="1"/>
    <n v="7459.0160000000005"/>
    <n v="30"/>
    <x v="0"/>
    <x v="2"/>
    <n v="37295.08"/>
    <n v="0"/>
    <n v="0.2"/>
    <n v="37295.08"/>
    <n v="7459.0160000000005"/>
    <n v="2"/>
    <s v="Q1"/>
    <s v="Feb-2025"/>
    <n v="11188.524000000001"/>
    <n v="26106.556"/>
    <x v="8"/>
  </r>
  <r>
    <s v="ORD00288"/>
    <x v="6"/>
    <x v="1"/>
    <n v="13915.5"/>
    <n v="3"/>
    <n v="41746.5"/>
    <d v="2024-07-02T00:00:00"/>
    <x v="5"/>
    <x v="1"/>
    <s v="July"/>
    <x v="0"/>
    <n v="8349.3000000000011"/>
    <n v="20"/>
    <x v="2"/>
    <x v="1"/>
    <n v="41746.5"/>
    <n v="0"/>
    <n v="0.20000000000000004"/>
    <n v="13915.5"/>
    <n v="2783.1000000000004"/>
    <n v="7"/>
    <s v="Q3"/>
    <s v="Jul-2024"/>
    <n v="8349.2999999999993"/>
    <n v="33397.199999999997"/>
    <x v="5"/>
  </r>
  <r>
    <s v="ORD00289"/>
    <x v="12"/>
    <x v="3"/>
    <n v="23625.05"/>
    <n v="2"/>
    <n v="47250.1"/>
    <d v="2024-07-07T00:00:00"/>
    <x v="0"/>
    <x v="6"/>
    <s v="July"/>
    <x v="0"/>
    <n v="9450.02"/>
    <n v="29"/>
    <x v="2"/>
    <x v="2"/>
    <n v="47250.1"/>
    <n v="0"/>
    <n v="0.2"/>
    <n v="23625.05"/>
    <n v="4725.01"/>
    <n v="7"/>
    <s v="Q3"/>
    <s v="Jul-2024"/>
    <n v="13702.528999999999"/>
    <n v="33547.570999999996"/>
    <x v="5"/>
  </r>
  <r>
    <s v="ORD00290"/>
    <x v="5"/>
    <x v="4"/>
    <n v="464.18"/>
    <n v="3"/>
    <n v="1392.54"/>
    <d v="2024-08-02T00:00:00"/>
    <x v="0"/>
    <x v="27"/>
    <s v="August"/>
    <x v="0"/>
    <n v="278.50799999999998"/>
    <n v="24"/>
    <x v="2"/>
    <x v="1"/>
    <n v="1392.54"/>
    <n v="0"/>
    <n v="0.19999999999999998"/>
    <n v="464.18"/>
    <n v="92.835999999999999"/>
    <n v="8"/>
    <s v="Q3"/>
    <s v="Aug-2024"/>
    <n v="334.20959999999997"/>
    <n v="1058.3304000000001"/>
    <x v="12"/>
  </r>
  <r>
    <s v="ORD00291"/>
    <x v="15"/>
    <x v="1"/>
    <n v="26667.15"/>
    <n v="2"/>
    <n v="53334.3"/>
    <d v="2024-11-05T00:00:00"/>
    <x v="4"/>
    <x v="30"/>
    <s v="November"/>
    <x v="0"/>
    <n v="10666.86"/>
    <n v="21"/>
    <x v="1"/>
    <x v="1"/>
    <n v="53334.3"/>
    <n v="0"/>
    <n v="0.2"/>
    <n v="26667.15"/>
    <n v="5333.43"/>
    <n v="11"/>
    <s v="Q4"/>
    <s v="Nov-2024"/>
    <n v="11200.203000000001"/>
    <n v="42134.097000000002"/>
    <x v="3"/>
  </r>
  <r>
    <s v="ORD00292"/>
    <x v="21"/>
    <x v="0"/>
    <n v="29093.02"/>
    <n v="2"/>
    <n v="58186.04"/>
    <d v="2024-11-01T00:00:00"/>
    <x v="0"/>
    <x v="13"/>
    <s v="November"/>
    <x v="0"/>
    <n v="11637.208000000001"/>
    <n v="6"/>
    <x v="2"/>
    <x v="3"/>
    <n v="58186.04"/>
    <n v="0"/>
    <n v="0.2"/>
    <n v="29093.02"/>
    <n v="5818.6040000000003"/>
    <n v="11"/>
    <s v="Q4"/>
    <s v="Nov-2024"/>
    <n v="3491.1623999999997"/>
    <n v="54694.8776"/>
    <x v="3"/>
  </r>
  <r>
    <s v="ORD00293"/>
    <x v="8"/>
    <x v="1"/>
    <n v="44770.65"/>
    <n v="3"/>
    <n v="134311.95000000001"/>
    <d v="2024-12-12T00:00:00"/>
    <x v="2"/>
    <x v="0"/>
    <s v="December"/>
    <x v="0"/>
    <n v="26862.390000000003"/>
    <n v="5"/>
    <x v="2"/>
    <x v="3"/>
    <n v="134311.95000000001"/>
    <n v="0"/>
    <n v="0.2"/>
    <n v="44770.65"/>
    <n v="8954.130000000001"/>
    <n v="12"/>
    <s v="Q4"/>
    <s v="Dec-2024"/>
    <n v="6715.5974999999999"/>
    <n v="127596.35250000001"/>
    <x v="1"/>
  </r>
  <r>
    <s v="ORD00294"/>
    <x v="16"/>
    <x v="4"/>
    <n v="32749.9"/>
    <n v="1"/>
    <n v="32749.9"/>
    <d v="2024-08-02T00:00:00"/>
    <x v="5"/>
    <x v="28"/>
    <s v="August"/>
    <x v="0"/>
    <n v="6549.9800000000005"/>
    <n v="20"/>
    <x v="1"/>
    <x v="0"/>
    <n v="32749.9"/>
    <n v="0"/>
    <n v="0.2"/>
    <n v="32749.9"/>
    <n v="6549.9800000000005"/>
    <n v="8"/>
    <s v="Q3"/>
    <s v="Aug-2024"/>
    <n v="6549.98"/>
    <n v="26199.920000000002"/>
    <x v="12"/>
  </r>
  <r>
    <s v="ORD00295"/>
    <x v="0"/>
    <x v="0"/>
    <n v="4990.66"/>
    <n v="3"/>
    <n v="14971.98"/>
    <d v="2024-05-30T00:00:00"/>
    <x v="2"/>
    <x v="33"/>
    <s v="May"/>
    <x v="0"/>
    <n v="2994.3960000000002"/>
    <n v="16"/>
    <x v="2"/>
    <x v="3"/>
    <n v="14971.98"/>
    <n v="0"/>
    <n v="0.2"/>
    <n v="4990.66"/>
    <n v="998.13200000000006"/>
    <n v="5"/>
    <s v="Q2"/>
    <s v="May-2024"/>
    <n v="2395.5167999999999"/>
    <n v="12576.4632"/>
    <x v="2"/>
  </r>
  <r>
    <s v="ORD00296"/>
    <x v="15"/>
    <x v="1"/>
    <n v="11044.89"/>
    <n v="3"/>
    <n v="33134.67"/>
    <d v="2024-11-25T00:00:00"/>
    <x v="2"/>
    <x v="39"/>
    <s v="November"/>
    <x v="0"/>
    <n v="6626.9340000000002"/>
    <n v="9"/>
    <x v="0"/>
    <x v="3"/>
    <n v="33134.67"/>
    <n v="0"/>
    <n v="0.2"/>
    <n v="11044.89"/>
    <n v="2208.9780000000001"/>
    <n v="11"/>
    <s v="Q4"/>
    <s v="Nov-2024"/>
    <n v="2982.1202999999996"/>
    <n v="30152.5497"/>
    <x v="3"/>
  </r>
  <r>
    <s v="ORD00297"/>
    <x v="21"/>
    <x v="0"/>
    <n v="46032.160000000003"/>
    <n v="5"/>
    <n v="230160.8"/>
    <d v="2024-12-08T00:00:00"/>
    <x v="0"/>
    <x v="2"/>
    <s v="December"/>
    <x v="0"/>
    <n v="46032.160000000003"/>
    <n v="9"/>
    <x v="0"/>
    <x v="2"/>
    <n v="230160.80000000002"/>
    <n v="0"/>
    <n v="0.20000000000000004"/>
    <n v="46032.159999999996"/>
    <n v="9206.4320000000007"/>
    <n v="12"/>
    <s v="Q4"/>
    <s v="Dec-2024"/>
    <n v="20714.471999999998"/>
    <n v="209446.32799999998"/>
    <x v="1"/>
  </r>
  <r>
    <s v="ORD00298"/>
    <x v="0"/>
    <x v="0"/>
    <n v="43965.67"/>
    <n v="3"/>
    <n v="131897.01"/>
    <d v="2024-08-25T00:00:00"/>
    <x v="0"/>
    <x v="19"/>
    <s v="August"/>
    <x v="0"/>
    <n v="26379.402000000002"/>
    <n v="27"/>
    <x v="2"/>
    <x v="3"/>
    <n v="131897.01"/>
    <n v="0"/>
    <n v="0.2"/>
    <n v="43965.670000000006"/>
    <n v="8793.134"/>
    <n v="8"/>
    <s v="Q3"/>
    <s v="Aug-2024"/>
    <n v="35612.192700000007"/>
    <n v="96284.817299999995"/>
    <x v="12"/>
  </r>
  <r>
    <s v="ORD00299"/>
    <x v="15"/>
    <x v="1"/>
    <n v="6037.98"/>
    <n v="2"/>
    <n v="12075.96"/>
    <d v="2024-05-25T00:00:00"/>
    <x v="3"/>
    <x v="22"/>
    <s v="May"/>
    <x v="0"/>
    <n v="2415.192"/>
    <n v="13"/>
    <x v="1"/>
    <x v="0"/>
    <n v="12075.96"/>
    <n v="0"/>
    <n v="0.2"/>
    <n v="6037.98"/>
    <n v="1207.596"/>
    <n v="5"/>
    <s v="Q2"/>
    <s v="May-2024"/>
    <n v="1569.8747999999998"/>
    <n v="10506.0852"/>
    <x v="2"/>
  </r>
  <r>
    <s v="ORD00300"/>
    <x v="13"/>
    <x v="0"/>
    <n v="22747.82"/>
    <n v="3"/>
    <n v="68243.460000000006"/>
    <d v="2024-09-20T00:00:00"/>
    <x v="0"/>
    <x v="16"/>
    <s v="September"/>
    <x v="0"/>
    <n v="13648.692000000003"/>
    <n v="13"/>
    <x v="0"/>
    <x v="2"/>
    <n v="68243.459999999992"/>
    <n v="0"/>
    <n v="0.2"/>
    <n v="22747.820000000003"/>
    <n v="4549.5640000000012"/>
    <n v="9"/>
    <s v="Q3"/>
    <s v="Sep-2024"/>
    <n v="8871.6498000000011"/>
    <n v="59371.810200000007"/>
    <x v="0"/>
  </r>
  <r>
    <s v="ORD00301"/>
    <x v="20"/>
    <x v="3"/>
    <n v="26615.919999999998"/>
    <n v="2"/>
    <n v="53231.839999999997"/>
    <d v="2024-06-21T00:00:00"/>
    <x v="3"/>
    <x v="10"/>
    <s v="June"/>
    <x v="0"/>
    <n v="10646.368"/>
    <n v="7"/>
    <x v="1"/>
    <x v="0"/>
    <n v="53231.839999999997"/>
    <n v="0"/>
    <n v="0.2"/>
    <n v="26615.919999999998"/>
    <n v="5323.1840000000002"/>
    <n v="6"/>
    <s v="Q2"/>
    <s v="Jun-2024"/>
    <n v="3726.2287999999999"/>
    <n v="49505.611199999999"/>
    <x v="11"/>
  </r>
  <r>
    <s v="ORD00302"/>
    <x v="2"/>
    <x v="2"/>
    <n v="48234.31"/>
    <n v="2"/>
    <n v="96468.62"/>
    <d v="2024-07-08T00:00:00"/>
    <x v="0"/>
    <x v="31"/>
    <s v="July"/>
    <x v="0"/>
    <n v="19293.723999999998"/>
    <n v="23"/>
    <x v="1"/>
    <x v="3"/>
    <n v="96468.62"/>
    <n v="0"/>
    <n v="0.19999999999999998"/>
    <n v="48234.31"/>
    <n v="9646.8619999999992"/>
    <n v="7"/>
    <s v="Q3"/>
    <s v="Jul-2024"/>
    <n v="22187.782599999999"/>
    <n v="74280.837399999989"/>
    <x v="5"/>
  </r>
  <r>
    <s v="ORD00303"/>
    <x v="7"/>
    <x v="4"/>
    <n v="24172.560000000001"/>
    <n v="1"/>
    <n v="24172.560000000001"/>
    <d v="2024-12-20T00:00:00"/>
    <x v="1"/>
    <x v="4"/>
    <s v="December"/>
    <x v="0"/>
    <n v="4834.5120000000006"/>
    <n v="20"/>
    <x v="0"/>
    <x v="0"/>
    <n v="24172.560000000001"/>
    <n v="0"/>
    <n v="0.2"/>
    <n v="24172.560000000001"/>
    <n v="4834.5120000000006"/>
    <n v="12"/>
    <s v="Q4"/>
    <s v="Dec-2024"/>
    <n v="4834.5119999999997"/>
    <n v="19338.048000000003"/>
    <x v="1"/>
  </r>
  <r>
    <s v="ORD00304"/>
    <x v="21"/>
    <x v="0"/>
    <n v="16385.37"/>
    <n v="3"/>
    <n v="49156.11"/>
    <d v="2024-02-24T00:00:00"/>
    <x v="2"/>
    <x v="14"/>
    <s v="February"/>
    <x v="0"/>
    <n v="9831.2220000000016"/>
    <n v="20"/>
    <x v="1"/>
    <x v="2"/>
    <n v="49156.11"/>
    <n v="0"/>
    <n v="0.20000000000000004"/>
    <n v="16385.37"/>
    <n v="3277.0740000000005"/>
    <n v="2"/>
    <s v="Q1"/>
    <s v="Feb-2024"/>
    <n v="9831.2219999999998"/>
    <n v="39324.887999999999"/>
    <x v="10"/>
  </r>
  <r>
    <s v="ORD00305"/>
    <x v="15"/>
    <x v="1"/>
    <n v="29527.22"/>
    <n v="3"/>
    <n v="88581.66"/>
    <d v="2024-03-30T00:00:00"/>
    <x v="3"/>
    <x v="12"/>
    <s v="March"/>
    <x v="0"/>
    <n v="17716.332000000002"/>
    <n v="7"/>
    <x v="0"/>
    <x v="1"/>
    <n v="88581.66"/>
    <n v="0"/>
    <n v="0.2"/>
    <n v="29527.22"/>
    <n v="5905.4440000000004"/>
    <n v="3"/>
    <s v="Q1"/>
    <s v="Mar-2024"/>
    <n v="6200.7161999999998"/>
    <n v="82380.943800000008"/>
    <x v="7"/>
  </r>
  <r>
    <s v="ORD00306"/>
    <x v="7"/>
    <x v="4"/>
    <n v="42516.65"/>
    <n v="3"/>
    <n v="127549.95"/>
    <d v="2024-04-28T00:00:00"/>
    <x v="5"/>
    <x v="31"/>
    <s v="April"/>
    <x v="0"/>
    <n v="25509.99"/>
    <n v="24"/>
    <x v="1"/>
    <x v="0"/>
    <n v="127549.95000000001"/>
    <n v="0"/>
    <n v="0.2"/>
    <n v="42516.65"/>
    <n v="8503.33"/>
    <n v="4"/>
    <s v="Q2"/>
    <s v="Apr-2024"/>
    <n v="30611.987999999998"/>
    <n v="96937.962"/>
    <x v="9"/>
  </r>
  <r>
    <s v="ORD00307"/>
    <x v="13"/>
    <x v="0"/>
    <n v="27175.37"/>
    <n v="5"/>
    <n v="135876.85"/>
    <d v="2024-08-02T00:00:00"/>
    <x v="3"/>
    <x v="1"/>
    <s v="August"/>
    <x v="0"/>
    <n v="27175.370000000003"/>
    <n v="28"/>
    <x v="0"/>
    <x v="0"/>
    <n v="135876.85"/>
    <n v="0"/>
    <n v="0.2"/>
    <n v="27175.370000000003"/>
    <n v="5435.0740000000005"/>
    <n v="8"/>
    <s v="Q3"/>
    <s v="Aug-2024"/>
    <n v="38045.518000000004"/>
    <n v="97831.331999999995"/>
    <x v="12"/>
  </r>
  <r>
    <s v="ORD00308"/>
    <x v="24"/>
    <x v="1"/>
    <n v="25379.68"/>
    <n v="4"/>
    <n v="101518.72"/>
    <d v="2024-10-06T00:00:00"/>
    <x v="2"/>
    <x v="0"/>
    <s v="October"/>
    <x v="0"/>
    <n v="20303.744000000002"/>
    <n v="26"/>
    <x v="2"/>
    <x v="2"/>
    <n v="101518.72"/>
    <n v="0"/>
    <n v="0.2"/>
    <n v="25379.68"/>
    <n v="5075.9360000000006"/>
    <n v="10"/>
    <s v="Q4"/>
    <s v="Oct-2024"/>
    <n v="26394.867200000001"/>
    <n v="75123.852799999993"/>
    <x v="4"/>
  </r>
  <r>
    <s v="ORD00309"/>
    <x v="0"/>
    <x v="0"/>
    <n v="29568.18"/>
    <n v="3"/>
    <n v="88704.54"/>
    <d v="2025-01-12T00:00:00"/>
    <x v="4"/>
    <x v="11"/>
    <s v="January"/>
    <x v="1"/>
    <n v="17740.907999999999"/>
    <n v="28"/>
    <x v="0"/>
    <x v="2"/>
    <n v="88704.540000000008"/>
    <n v="0"/>
    <n v="0.2"/>
    <n v="29568.179999999997"/>
    <n v="5913.6359999999995"/>
    <n v="1"/>
    <s v="Q1"/>
    <s v="Jan-2025"/>
    <n v="24837.271199999996"/>
    <n v="63867.268799999998"/>
    <x v="6"/>
  </r>
  <r>
    <s v="ORD00310"/>
    <x v="21"/>
    <x v="0"/>
    <n v="23562.27"/>
    <n v="2"/>
    <n v="47124.54"/>
    <d v="2024-12-23T00:00:00"/>
    <x v="4"/>
    <x v="35"/>
    <s v="December"/>
    <x v="0"/>
    <n v="9424.9080000000013"/>
    <n v="5"/>
    <x v="0"/>
    <x v="0"/>
    <n v="47124.54"/>
    <n v="0"/>
    <n v="0.2"/>
    <n v="23562.27"/>
    <n v="4712.4540000000006"/>
    <n v="12"/>
    <s v="Q4"/>
    <s v="Dec-2024"/>
    <n v="2356.2270000000003"/>
    <n v="44768.313000000002"/>
    <x v="1"/>
  </r>
  <r>
    <s v="ORD00311"/>
    <x v="24"/>
    <x v="1"/>
    <n v="19134.259999999998"/>
    <n v="2"/>
    <n v="38268.519999999997"/>
    <d v="2024-02-12T00:00:00"/>
    <x v="3"/>
    <x v="33"/>
    <s v="February"/>
    <x v="0"/>
    <n v="7653.7039999999997"/>
    <n v="28"/>
    <x v="0"/>
    <x v="3"/>
    <n v="38268.519999999997"/>
    <n v="0"/>
    <n v="0.2"/>
    <n v="19134.259999999998"/>
    <n v="3826.8519999999999"/>
    <n v="2"/>
    <s v="Q1"/>
    <s v="Feb-2024"/>
    <n v="10715.185599999999"/>
    <n v="27553.3344"/>
    <x v="10"/>
  </r>
  <r>
    <s v="ORD00312"/>
    <x v="21"/>
    <x v="0"/>
    <n v="10176.11"/>
    <n v="5"/>
    <n v="50880.55"/>
    <d v="2024-08-17T00:00:00"/>
    <x v="5"/>
    <x v="37"/>
    <s v="August"/>
    <x v="0"/>
    <n v="10176.11"/>
    <n v="24"/>
    <x v="0"/>
    <x v="0"/>
    <n v="50880.55"/>
    <n v="0"/>
    <n v="0.2"/>
    <n v="10176.11"/>
    <n v="2035.2220000000002"/>
    <n v="8"/>
    <s v="Q3"/>
    <s v="Aug-2024"/>
    <n v="12211.332000000002"/>
    <n v="38669.218000000001"/>
    <x v="12"/>
  </r>
  <r>
    <s v="ORD00313"/>
    <x v="18"/>
    <x v="3"/>
    <n v="48177.16"/>
    <n v="3"/>
    <n v="144531.48000000001"/>
    <d v="2024-03-05T00:00:00"/>
    <x v="5"/>
    <x v="5"/>
    <s v="March"/>
    <x v="0"/>
    <n v="28906.296000000002"/>
    <n v="15"/>
    <x v="1"/>
    <x v="2"/>
    <n v="144531.48000000001"/>
    <n v="0"/>
    <n v="0.2"/>
    <n v="48177.16"/>
    <n v="9635.4320000000007"/>
    <n v="3"/>
    <s v="Q1"/>
    <s v="Mar-2024"/>
    <n v="21679.722000000002"/>
    <n v="122851.758"/>
    <x v="7"/>
  </r>
  <r>
    <s v="ORD00314"/>
    <x v="5"/>
    <x v="4"/>
    <n v="6119.31"/>
    <n v="5"/>
    <n v="30596.55"/>
    <d v="2024-03-07T00:00:00"/>
    <x v="5"/>
    <x v="39"/>
    <s v="March"/>
    <x v="0"/>
    <n v="6119.31"/>
    <n v="21"/>
    <x v="2"/>
    <x v="1"/>
    <n v="30596.550000000003"/>
    <n v="0"/>
    <n v="0.2"/>
    <n v="6119.3099999999995"/>
    <n v="1223.8620000000001"/>
    <n v="3"/>
    <s v="Q1"/>
    <s v="Mar-2024"/>
    <n v="6425.2754999999997"/>
    <n v="24171.2745"/>
    <x v="7"/>
  </r>
  <r>
    <s v="ORD00315"/>
    <x v="19"/>
    <x v="2"/>
    <n v="6015.13"/>
    <n v="1"/>
    <n v="6015.13"/>
    <d v="2024-08-26T00:00:00"/>
    <x v="4"/>
    <x v="30"/>
    <s v="August"/>
    <x v="0"/>
    <n v="1203.0260000000001"/>
    <n v="12"/>
    <x v="0"/>
    <x v="1"/>
    <n v="6015.13"/>
    <n v="0"/>
    <n v="0.2"/>
    <n v="6015.13"/>
    <n v="1203.0260000000001"/>
    <n v="8"/>
    <s v="Q3"/>
    <s v="Aug-2024"/>
    <n v="721.81560000000002"/>
    <n v="5293.3144000000002"/>
    <x v="12"/>
  </r>
  <r>
    <s v="ORD00316"/>
    <x v="15"/>
    <x v="1"/>
    <n v="41198.839999999997"/>
    <n v="4"/>
    <n v="164795.35999999999"/>
    <d v="2024-04-08T00:00:00"/>
    <x v="4"/>
    <x v="32"/>
    <s v="April"/>
    <x v="0"/>
    <n v="32959.072"/>
    <n v="8"/>
    <x v="1"/>
    <x v="3"/>
    <n v="164795.35999999999"/>
    <n v="0"/>
    <n v="0.2"/>
    <n v="41198.839999999997"/>
    <n v="8239.768"/>
    <n v="4"/>
    <s v="Q2"/>
    <s v="Apr-2024"/>
    <n v="13183.628799999999"/>
    <n v="151611.73119999998"/>
    <x v="9"/>
  </r>
  <r>
    <s v="ORD00317"/>
    <x v="14"/>
    <x v="0"/>
    <n v="11527.7"/>
    <n v="3"/>
    <n v="34583.1"/>
    <d v="2024-11-30T00:00:00"/>
    <x v="5"/>
    <x v="31"/>
    <s v="November"/>
    <x v="0"/>
    <n v="6916.62"/>
    <n v="10"/>
    <x v="2"/>
    <x v="0"/>
    <n v="34583.100000000006"/>
    <n v="0"/>
    <n v="0.2"/>
    <n v="11527.699999999999"/>
    <n v="2305.54"/>
    <n v="11"/>
    <s v="Q4"/>
    <s v="Nov-2024"/>
    <n v="3458.31"/>
    <n v="31124.789999999997"/>
    <x v="3"/>
  </r>
  <r>
    <s v="ORD00318"/>
    <x v="3"/>
    <x v="3"/>
    <n v="27749.19"/>
    <n v="4"/>
    <n v="110996.76"/>
    <d v="2025-01-22T00:00:00"/>
    <x v="2"/>
    <x v="15"/>
    <s v="January"/>
    <x v="1"/>
    <n v="22199.351999999999"/>
    <n v="12"/>
    <x v="2"/>
    <x v="1"/>
    <n v="110996.76"/>
    <n v="0"/>
    <n v="0.2"/>
    <n v="27749.19"/>
    <n v="5549.8379999999997"/>
    <n v="1"/>
    <s v="Q1"/>
    <s v="Jan-2025"/>
    <n v="13319.611199999999"/>
    <n v="97677.148799999995"/>
    <x v="6"/>
  </r>
  <r>
    <s v="ORD00319"/>
    <x v="12"/>
    <x v="3"/>
    <n v="14014.82"/>
    <n v="1"/>
    <n v="14014.82"/>
    <d v="2024-11-23T00:00:00"/>
    <x v="4"/>
    <x v="33"/>
    <s v="November"/>
    <x v="0"/>
    <n v="2802.9639999999999"/>
    <n v="24"/>
    <x v="2"/>
    <x v="0"/>
    <n v="14014.82"/>
    <n v="0"/>
    <n v="0.2"/>
    <n v="14014.82"/>
    <n v="2802.9639999999999"/>
    <n v="11"/>
    <s v="Q4"/>
    <s v="Nov-2024"/>
    <n v="3363.5567999999998"/>
    <n v="10651.263199999999"/>
    <x v="3"/>
  </r>
  <r>
    <s v="ORD00320"/>
    <x v="12"/>
    <x v="3"/>
    <n v="23293.14"/>
    <n v="2"/>
    <n v="46586.28"/>
    <d v="2024-06-08T00:00:00"/>
    <x v="1"/>
    <x v="27"/>
    <s v="June"/>
    <x v="0"/>
    <n v="9317.2559999999994"/>
    <n v="7"/>
    <x v="2"/>
    <x v="2"/>
    <n v="46586.28"/>
    <n v="0"/>
    <n v="0.19999999999999998"/>
    <n v="23293.14"/>
    <n v="4658.6279999999997"/>
    <n v="6"/>
    <s v="Q2"/>
    <s v="Jun-2024"/>
    <n v="3261.0395999999996"/>
    <n v="43325.240400000002"/>
    <x v="11"/>
  </r>
  <r>
    <s v="ORD00321"/>
    <x v="6"/>
    <x v="1"/>
    <n v="38592.49"/>
    <n v="5"/>
    <n v="192962.45"/>
    <d v="2024-10-13T00:00:00"/>
    <x v="2"/>
    <x v="3"/>
    <s v="October"/>
    <x v="0"/>
    <n v="38592.490000000005"/>
    <n v="20"/>
    <x v="0"/>
    <x v="1"/>
    <n v="192962.44999999998"/>
    <n v="0"/>
    <n v="0.2"/>
    <n v="38592.490000000005"/>
    <n v="7718.4980000000014"/>
    <n v="10"/>
    <s v="Q4"/>
    <s v="Oct-2024"/>
    <n v="38592.49"/>
    <n v="154369.96000000002"/>
    <x v="4"/>
  </r>
  <r>
    <s v="ORD00322"/>
    <x v="12"/>
    <x v="3"/>
    <n v="39898.86"/>
    <n v="1"/>
    <n v="39898.86"/>
    <d v="2024-06-03T00:00:00"/>
    <x v="2"/>
    <x v="31"/>
    <s v="June"/>
    <x v="0"/>
    <n v="7979.7720000000008"/>
    <n v="29"/>
    <x v="0"/>
    <x v="3"/>
    <n v="39898.86"/>
    <n v="0"/>
    <n v="0.2"/>
    <n v="39898.86"/>
    <n v="7979.7720000000008"/>
    <n v="6"/>
    <s v="Q2"/>
    <s v="Jun-2024"/>
    <n v="11570.669399999999"/>
    <n v="28328.190600000002"/>
    <x v="11"/>
  </r>
  <r>
    <s v="ORD00323"/>
    <x v="0"/>
    <x v="0"/>
    <n v="39842.5"/>
    <n v="2"/>
    <n v="79685"/>
    <d v="2024-10-10T00:00:00"/>
    <x v="0"/>
    <x v="2"/>
    <s v="October"/>
    <x v="0"/>
    <n v="15937"/>
    <n v="7"/>
    <x v="1"/>
    <x v="2"/>
    <n v="79685"/>
    <n v="0"/>
    <n v="0.2"/>
    <n v="39842.5"/>
    <n v="7968.5"/>
    <n v="10"/>
    <s v="Q4"/>
    <s v="Oct-2024"/>
    <n v="5577.95"/>
    <n v="74107.05"/>
    <x v="4"/>
  </r>
  <r>
    <s v="ORD00324"/>
    <x v="21"/>
    <x v="0"/>
    <n v="30395.25"/>
    <n v="1"/>
    <n v="30395.25"/>
    <d v="2024-04-07T00:00:00"/>
    <x v="3"/>
    <x v="19"/>
    <s v="April"/>
    <x v="0"/>
    <n v="6079.05"/>
    <n v="29"/>
    <x v="1"/>
    <x v="3"/>
    <n v="30395.25"/>
    <n v="0"/>
    <n v="0.2"/>
    <n v="30395.25"/>
    <n v="6079.05"/>
    <n v="4"/>
    <s v="Q2"/>
    <s v="Apr-2024"/>
    <n v="8814.6224999999995"/>
    <n v="21580.627500000002"/>
    <x v="9"/>
  </r>
  <r>
    <s v="ORD00325"/>
    <x v="2"/>
    <x v="2"/>
    <n v="36560.32"/>
    <n v="5"/>
    <n v="182801.6"/>
    <d v="2025-01-01T00:00:00"/>
    <x v="5"/>
    <x v="15"/>
    <s v="January"/>
    <x v="1"/>
    <n v="36560.32"/>
    <n v="22"/>
    <x v="1"/>
    <x v="2"/>
    <n v="182801.6"/>
    <n v="0"/>
    <n v="0.19999999999999998"/>
    <n v="36560.32"/>
    <n v="7312.0640000000003"/>
    <n v="1"/>
    <s v="Q1"/>
    <s v="Jan-2025"/>
    <n v="40216.351999999999"/>
    <n v="142585.24800000002"/>
    <x v="6"/>
  </r>
  <r>
    <s v="ORD00326"/>
    <x v="4"/>
    <x v="4"/>
    <n v="44248.09"/>
    <n v="1"/>
    <n v="44248.09"/>
    <d v="2024-02-19T00:00:00"/>
    <x v="5"/>
    <x v="4"/>
    <s v="February"/>
    <x v="0"/>
    <n v="8849.6180000000004"/>
    <n v="18"/>
    <x v="2"/>
    <x v="1"/>
    <n v="44248.09"/>
    <n v="0"/>
    <n v="0.2"/>
    <n v="44248.09"/>
    <n v="8849.6180000000004"/>
    <n v="2"/>
    <s v="Q1"/>
    <s v="Feb-2024"/>
    <n v="7964.6561999999985"/>
    <n v="36283.433799999999"/>
    <x v="10"/>
  </r>
  <r>
    <s v="ORD00327"/>
    <x v="9"/>
    <x v="3"/>
    <n v="18386.259999999998"/>
    <n v="1"/>
    <n v="18386.259999999998"/>
    <d v="2024-10-06T00:00:00"/>
    <x v="4"/>
    <x v="23"/>
    <s v="October"/>
    <x v="0"/>
    <n v="3677.252"/>
    <n v="22"/>
    <x v="2"/>
    <x v="3"/>
    <n v="18386.259999999998"/>
    <n v="0"/>
    <n v="0.2"/>
    <n v="18386.259999999998"/>
    <n v="3677.252"/>
    <n v="10"/>
    <s v="Q4"/>
    <s v="Oct-2024"/>
    <n v="4044.9771999999998"/>
    <n v="14341.282799999999"/>
    <x v="4"/>
  </r>
  <r>
    <s v="ORD00328"/>
    <x v="8"/>
    <x v="1"/>
    <n v="33683.4"/>
    <n v="1"/>
    <n v="33683.4"/>
    <d v="2025-01-08T00:00:00"/>
    <x v="0"/>
    <x v="28"/>
    <s v="January"/>
    <x v="1"/>
    <n v="6736.68"/>
    <n v="6"/>
    <x v="0"/>
    <x v="3"/>
    <n v="33683.4"/>
    <n v="0"/>
    <n v="0.2"/>
    <n v="33683.4"/>
    <n v="6736.68"/>
    <n v="1"/>
    <s v="Q1"/>
    <s v="Jan-2025"/>
    <n v="2021.0040000000001"/>
    <n v="31662.396000000001"/>
    <x v="6"/>
  </r>
  <r>
    <s v="ORD00329"/>
    <x v="17"/>
    <x v="2"/>
    <n v="49561.57"/>
    <n v="3"/>
    <n v="148684.71"/>
    <d v="2024-04-03T00:00:00"/>
    <x v="5"/>
    <x v="0"/>
    <s v="April"/>
    <x v="0"/>
    <n v="29736.941999999999"/>
    <n v="26"/>
    <x v="2"/>
    <x v="2"/>
    <n v="148684.71"/>
    <n v="0"/>
    <n v="0.2"/>
    <n v="49561.57"/>
    <n v="9912.3140000000003"/>
    <n v="4"/>
    <s v="Q2"/>
    <s v="Apr-2024"/>
    <n v="38658.024599999997"/>
    <n v="110026.68539999999"/>
    <x v="9"/>
  </r>
  <r>
    <s v="ORD00330"/>
    <x v="2"/>
    <x v="2"/>
    <n v="18551.650000000001"/>
    <n v="2"/>
    <n v="37103.300000000003"/>
    <d v="2024-03-30T00:00:00"/>
    <x v="4"/>
    <x v="8"/>
    <s v="March"/>
    <x v="0"/>
    <n v="7420.6600000000008"/>
    <n v="7"/>
    <x v="2"/>
    <x v="3"/>
    <n v="37103.300000000003"/>
    <n v="0"/>
    <n v="0.2"/>
    <n v="18551.650000000001"/>
    <n v="3710.3300000000004"/>
    <n v="3"/>
    <s v="Q1"/>
    <s v="Mar-2024"/>
    <n v="2597.2310000000002"/>
    <n v="34506.069000000003"/>
    <x v="7"/>
  </r>
  <r>
    <s v="ORD00331"/>
    <x v="20"/>
    <x v="3"/>
    <n v="12249.35"/>
    <n v="5"/>
    <n v="61246.75"/>
    <d v="2025-01-29T00:00:00"/>
    <x v="2"/>
    <x v="36"/>
    <s v="January"/>
    <x v="1"/>
    <n v="12249.35"/>
    <n v="20"/>
    <x v="2"/>
    <x v="2"/>
    <n v="61246.75"/>
    <n v="0"/>
    <n v="0.2"/>
    <n v="12249.35"/>
    <n v="2449.87"/>
    <n v="1"/>
    <s v="Q1"/>
    <s v="Jan-2025"/>
    <n v="12249.35"/>
    <n v="48997.4"/>
    <x v="6"/>
  </r>
  <r>
    <s v="ORD00332"/>
    <x v="1"/>
    <x v="1"/>
    <n v="35305.39"/>
    <n v="1"/>
    <n v="35305.39"/>
    <d v="2024-06-10T00:00:00"/>
    <x v="1"/>
    <x v="21"/>
    <s v="June"/>
    <x v="0"/>
    <n v="7061.0780000000004"/>
    <n v="13"/>
    <x v="1"/>
    <x v="2"/>
    <n v="35305.39"/>
    <n v="0"/>
    <n v="0.2"/>
    <n v="35305.39"/>
    <n v="7061.0780000000004"/>
    <n v="6"/>
    <s v="Q2"/>
    <s v="Jun-2024"/>
    <n v="4589.7007000000003"/>
    <n v="30715.689299999998"/>
    <x v="11"/>
  </r>
  <r>
    <s v="ORD00333"/>
    <x v="3"/>
    <x v="3"/>
    <n v="16790.46"/>
    <n v="5"/>
    <n v="83952.3"/>
    <d v="2024-08-27T00:00:00"/>
    <x v="5"/>
    <x v="17"/>
    <s v="August"/>
    <x v="0"/>
    <n v="16790.460000000003"/>
    <n v="8"/>
    <x v="1"/>
    <x v="2"/>
    <n v="83952.299999999988"/>
    <n v="0"/>
    <n v="0.20000000000000004"/>
    <n v="16790.46"/>
    <n v="3358.0920000000006"/>
    <n v="8"/>
    <s v="Q3"/>
    <s v="Aug-2024"/>
    <n v="6716.1840000000002"/>
    <n v="77236.116000000009"/>
    <x v="12"/>
  </r>
  <r>
    <s v="ORD00334"/>
    <x v="8"/>
    <x v="1"/>
    <n v="26096.959999999999"/>
    <n v="4"/>
    <n v="104387.84"/>
    <d v="2024-03-28T00:00:00"/>
    <x v="0"/>
    <x v="0"/>
    <s v="March"/>
    <x v="0"/>
    <n v="20877.567999999999"/>
    <n v="5"/>
    <x v="0"/>
    <x v="2"/>
    <n v="104387.84"/>
    <n v="0"/>
    <n v="0.2"/>
    <n v="26096.959999999999"/>
    <n v="5219.3919999999998"/>
    <n v="3"/>
    <s v="Q1"/>
    <s v="Mar-2024"/>
    <n v="5219.3919999999998"/>
    <n v="99168.448000000004"/>
    <x v="7"/>
  </r>
  <r>
    <s v="ORD00335"/>
    <x v="22"/>
    <x v="0"/>
    <n v="34361.96"/>
    <n v="5"/>
    <n v="171809.8"/>
    <d v="2024-03-22T00:00:00"/>
    <x v="5"/>
    <x v="2"/>
    <s v="March"/>
    <x v="0"/>
    <n v="34361.96"/>
    <n v="8"/>
    <x v="2"/>
    <x v="1"/>
    <n v="171809.8"/>
    <n v="0"/>
    <n v="0.2"/>
    <n v="34361.96"/>
    <n v="6872.3919999999998"/>
    <n v="3"/>
    <s v="Q1"/>
    <s v="Mar-2024"/>
    <n v="13744.784"/>
    <n v="158065.016"/>
    <x v="7"/>
  </r>
  <r>
    <s v="ORD00336"/>
    <x v="7"/>
    <x v="4"/>
    <n v="46079.49"/>
    <n v="5"/>
    <n v="230397.45"/>
    <d v="2024-02-28T00:00:00"/>
    <x v="5"/>
    <x v="13"/>
    <s v="February"/>
    <x v="0"/>
    <n v="46079.490000000005"/>
    <n v="5"/>
    <x v="2"/>
    <x v="2"/>
    <n v="230397.44999999998"/>
    <n v="0"/>
    <n v="0.2"/>
    <n v="46079.490000000005"/>
    <n v="9215.898000000001"/>
    <n v="2"/>
    <s v="Q1"/>
    <s v="Feb-2024"/>
    <n v="11519.872499999999"/>
    <n v="218877.57750000001"/>
    <x v="10"/>
  </r>
  <r>
    <s v="ORD00337"/>
    <x v="5"/>
    <x v="4"/>
    <n v="47053.440000000002"/>
    <n v="2"/>
    <n v="94106.880000000005"/>
    <d v="2024-06-05T00:00:00"/>
    <x v="3"/>
    <x v="32"/>
    <s v="June"/>
    <x v="0"/>
    <n v="18821.376"/>
    <n v="18"/>
    <x v="0"/>
    <x v="0"/>
    <n v="94106.880000000005"/>
    <n v="0"/>
    <n v="0.19999999999999998"/>
    <n v="47053.440000000002"/>
    <n v="9410.6880000000001"/>
    <n v="6"/>
    <s v="Q2"/>
    <s v="Jun-2024"/>
    <n v="16939.238400000002"/>
    <n v="77167.641600000003"/>
    <x v="11"/>
  </r>
  <r>
    <s v="ORD00338"/>
    <x v="9"/>
    <x v="3"/>
    <n v="18905.939999999999"/>
    <n v="3"/>
    <n v="56717.82"/>
    <d v="2024-08-14T00:00:00"/>
    <x v="1"/>
    <x v="16"/>
    <s v="August"/>
    <x v="0"/>
    <n v="11343.564"/>
    <n v="25"/>
    <x v="2"/>
    <x v="3"/>
    <n v="56717.819999999992"/>
    <n v="0"/>
    <n v="0.2"/>
    <n v="18905.939999999999"/>
    <n v="3781.1880000000001"/>
    <n v="8"/>
    <s v="Q3"/>
    <s v="Aug-2024"/>
    <n v="14179.455"/>
    <n v="42538.364999999998"/>
    <x v="12"/>
  </r>
  <r>
    <s v="ORD00339"/>
    <x v="17"/>
    <x v="2"/>
    <n v="30977.18"/>
    <n v="3"/>
    <n v="92931.54"/>
    <d v="2024-11-08T00:00:00"/>
    <x v="1"/>
    <x v="26"/>
    <s v="November"/>
    <x v="0"/>
    <n v="18586.308000000001"/>
    <n v="20"/>
    <x v="2"/>
    <x v="0"/>
    <n v="92931.540000000008"/>
    <n v="0"/>
    <n v="0.2"/>
    <n v="30977.179999999997"/>
    <n v="6195.4360000000006"/>
    <n v="11"/>
    <s v="Q4"/>
    <s v="Nov-2024"/>
    <n v="18586.307999999997"/>
    <n v="74345.231999999989"/>
    <x v="3"/>
  </r>
  <r>
    <s v="ORD00340"/>
    <x v="7"/>
    <x v="4"/>
    <n v="41841.57"/>
    <n v="2"/>
    <n v="83683.14"/>
    <d v="2024-05-27T00:00:00"/>
    <x v="3"/>
    <x v="19"/>
    <s v="May"/>
    <x v="0"/>
    <n v="16736.628000000001"/>
    <n v="24"/>
    <x v="1"/>
    <x v="1"/>
    <n v="83683.14"/>
    <n v="0"/>
    <n v="0.2"/>
    <n v="41841.57"/>
    <n v="8368.3140000000003"/>
    <n v="5"/>
    <s v="Q2"/>
    <s v="May-2024"/>
    <n v="20083.953599999997"/>
    <n v="63599.186400000006"/>
    <x v="2"/>
  </r>
  <r>
    <s v="ORD00341"/>
    <x v="18"/>
    <x v="3"/>
    <n v="4277.1499999999996"/>
    <n v="4"/>
    <n v="17108.599999999999"/>
    <d v="2024-08-12T00:00:00"/>
    <x v="3"/>
    <x v="37"/>
    <s v="August"/>
    <x v="0"/>
    <n v="3421.72"/>
    <n v="28"/>
    <x v="0"/>
    <x v="0"/>
    <n v="17108.599999999999"/>
    <n v="0"/>
    <n v="0.2"/>
    <n v="4277.1499999999996"/>
    <n v="855.43"/>
    <n v="8"/>
    <s v="Q3"/>
    <s v="Aug-2024"/>
    <n v="4790.4079999999994"/>
    <n v="12318.191999999999"/>
    <x v="12"/>
  </r>
  <r>
    <s v="ORD00342"/>
    <x v="23"/>
    <x v="4"/>
    <n v="15648.85"/>
    <n v="2"/>
    <n v="31297.7"/>
    <d v="2025-02-03T00:00:00"/>
    <x v="4"/>
    <x v="2"/>
    <s v="February"/>
    <x v="1"/>
    <n v="6259.5400000000009"/>
    <n v="12"/>
    <x v="0"/>
    <x v="3"/>
    <n v="31297.7"/>
    <n v="0"/>
    <n v="0.2"/>
    <n v="15648.85"/>
    <n v="3129.7700000000004"/>
    <n v="2"/>
    <s v="Q1"/>
    <s v="Feb-2025"/>
    <n v="3755.7240000000002"/>
    <n v="27541.976000000002"/>
    <x v="8"/>
  </r>
  <r>
    <s v="ORD00343"/>
    <x v="20"/>
    <x v="3"/>
    <n v="26992.720000000001"/>
    <n v="3"/>
    <n v="80978.16"/>
    <d v="2024-02-15T00:00:00"/>
    <x v="2"/>
    <x v="19"/>
    <s v="February"/>
    <x v="0"/>
    <n v="16195.632000000001"/>
    <n v="11"/>
    <x v="0"/>
    <x v="0"/>
    <n v="80978.16"/>
    <n v="0"/>
    <n v="0.2"/>
    <n v="26992.720000000001"/>
    <n v="5398.5440000000008"/>
    <n v="2"/>
    <s v="Q1"/>
    <s v="Feb-2024"/>
    <n v="8907.597600000001"/>
    <n v="72070.562399999995"/>
    <x v="10"/>
  </r>
  <r>
    <s v="ORD00344"/>
    <x v="20"/>
    <x v="3"/>
    <n v="49586.31"/>
    <n v="4"/>
    <n v="198345.24"/>
    <d v="2024-05-03T00:00:00"/>
    <x v="1"/>
    <x v="17"/>
    <s v="May"/>
    <x v="0"/>
    <n v="39669.048000000003"/>
    <n v="7"/>
    <x v="0"/>
    <x v="1"/>
    <n v="198345.24"/>
    <n v="0"/>
    <n v="0.2"/>
    <n v="49586.31"/>
    <n v="9917.2620000000006"/>
    <n v="5"/>
    <s v="Q2"/>
    <s v="May-2024"/>
    <n v="13884.166799999999"/>
    <n v="184461.07319999998"/>
    <x v="2"/>
  </r>
  <r>
    <s v="ORD00345"/>
    <x v="9"/>
    <x v="3"/>
    <n v="37181.040000000001"/>
    <n v="1"/>
    <n v="37181.040000000001"/>
    <d v="2024-03-21T00:00:00"/>
    <x v="2"/>
    <x v="12"/>
    <s v="March"/>
    <x v="0"/>
    <n v="7436.2080000000005"/>
    <n v="21"/>
    <x v="1"/>
    <x v="2"/>
    <n v="37181.040000000001"/>
    <n v="0"/>
    <n v="0.2"/>
    <n v="37181.040000000001"/>
    <n v="7436.2080000000005"/>
    <n v="3"/>
    <s v="Q1"/>
    <s v="Mar-2024"/>
    <n v="7808.0183999999999"/>
    <n v="29373.0216"/>
    <x v="7"/>
  </r>
  <r>
    <s v="ORD00346"/>
    <x v="6"/>
    <x v="1"/>
    <n v="46090.65"/>
    <n v="4"/>
    <n v="184362.6"/>
    <d v="2025-01-25T00:00:00"/>
    <x v="1"/>
    <x v="26"/>
    <s v="January"/>
    <x v="1"/>
    <n v="36872.520000000004"/>
    <n v="5"/>
    <x v="1"/>
    <x v="0"/>
    <n v="184362.6"/>
    <n v="0"/>
    <n v="0.2"/>
    <n v="46090.65"/>
    <n v="9218.130000000001"/>
    <n v="1"/>
    <s v="Q1"/>
    <s v="Jan-2025"/>
    <n v="9218.1299999999992"/>
    <n v="175144.47"/>
    <x v="6"/>
  </r>
  <r>
    <s v="ORD00347"/>
    <x v="0"/>
    <x v="0"/>
    <n v="48151.09"/>
    <n v="4"/>
    <n v="192604.36"/>
    <d v="2024-07-23T00:00:00"/>
    <x v="1"/>
    <x v="36"/>
    <s v="July"/>
    <x v="0"/>
    <n v="38520.871999999996"/>
    <n v="20"/>
    <x v="2"/>
    <x v="1"/>
    <n v="192604.36"/>
    <n v="0"/>
    <n v="0.19999999999999998"/>
    <n v="48151.09"/>
    <n v="9630.2179999999989"/>
    <n v="7"/>
    <s v="Q3"/>
    <s v="Jul-2024"/>
    <n v="38520.871999999996"/>
    <n v="154083.48799999998"/>
    <x v="5"/>
  </r>
  <r>
    <s v="ORD00348"/>
    <x v="3"/>
    <x v="3"/>
    <n v="8197.4699999999993"/>
    <n v="2"/>
    <n v="16394.939999999999"/>
    <d v="2024-09-28T00:00:00"/>
    <x v="2"/>
    <x v="32"/>
    <s v="September"/>
    <x v="0"/>
    <n v="3278.9879999999998"/>
    <n v="16"/>
    <x v="2"/>
    <x v="1"/>
    <n v="16394.939999999999"/>
    <n v="0"/>
    <n v="0.2"/>
    <n v="8197.4699999999993"/>
    <n v="1639.4939999999999"/>
    <n v="9"/>
    <s v="Q3"/>
    <s v="Sep-2024"/>
    <n v="2623.1904"/>
    <n v="13771.749599999999"/>
    <x v="0"/>
  </r>
  <r>
    <s v="ORD00349"/>
    <x v="4"/>
    <x v="4"/>
    <n v="40679.29"/>
    <n v="2"/>
    <n v="81358.58"/>
    <d v="2024-07-13T00:00:00"/>
    <x v="2"/>
    <x v="39"/>
    <s v="July"/>
    <x v="0"/>
    <n v="16271.716"/>
    <n v="23"/>
    <x v="2"/>
    <x v="3"/>
    <n v="81358.58"/>
    <n v="0"/>
    <n v="0.2"/>
    <n v="40679.29"/>
    <n v="8135.8580000000002"/>
    <n v="7"/>
    <s v="Q3"/>
    <s v="Jul-2024"/>
    <n v="18712.473400000003"/>
    <n v="62646.106599999999"/>
    <x v="5"/>
  </r>
  <r>
    <s v="ORD00350"/>
    <x v="10"/>
    <x v="2"/>
    <n v="45012.71"/>
    <n v="3"/>
    <n v="135038.13"/>
    <d v="2024-10-15T00:00:00"/>
    <x v="1"/>
    <x v="35"/>
    <s v="October"/>
    <x v="0"/>
    <n v="27007.626000000004"/>
    <n v="26"/>
    <x v="2"/>
    <x v="3"/>
    <n v="135038.13"/>
    <n v="0"/>
    <n v="0.2"/>
    <n v="45012.71"/>
    <n v="9002.5420000000013"/>
    <n v="10"/>
    <s v="Q4"/>
    <s v="Oct-2024"/>
    <n v="35109.913800000002"/>
    <n v="99928.216199999995"/>
    <x v="4"/>
  </r>
  <r>
    <s v="ORD00351"/>
    <x v="10"/>
    <x v="2"/>
    <n v="5127.0200000000004"/>
    <n v="3"/>
    <n v="15381.06"/>
    <d v="2025-02-07T00:00:00"/>
    <x v="0"/>
    <x v="16"/>
    <s v="February"/>
    <x v="1"/>
    <n v="3076.212"/>
    <n v="27"/>
    <x v="1"/>
    <x v="0"/>
    <n v="15381.060000000001"/>
    <n v="0"/>
    <n v="0.2"/>
    <n v="5127.0199999999995"/>
    <n v="1025.404"/>
    <n v="2"/>
    <s v="Q1"/>
    <s v="Feb-2025"/>
    <n v="4152.8861999999999"/>
    <n v="11228.1738"/>
    <x v="8"/>
  </r>
  <r>
    <s v="ORD00352"/>
    <x v="18"/>
    <x v="3"/>
    <n v="13954.48"/>
    <n v="3"/>
    <n v="41863.440000000002"/>
    <d v="2025-01-12T00:00:00"/>
    <x v="1"/>
    <x v="39"/>
    <s v="January"/>
    <x v="1"/>
    <n v="8372.6880000000001"/>
    <n v="26"/>
    <x v="0"/>
    <x v="2"/>
    <n v="41863.440000000002"/>
    <n v="0"/>
    <n v="0.19999999999999998"/>
    <n v="13954.480000000001"/>
    <n v="2790.8960000000002"/>
    <n v="1"/>
    <s v="Q1"/>
    <s v="Jan-2025"/>
    <n v="10884.4944"/>
    <n v="30978.945600000003"/>
    <x v="6"/>
  </r>
  <r>
    <s v="ORD00353"/>
    <x v="15"/>
    <x v="1"/>
    <n v="26166.89"/>
    <n v="4"/>
    <n v="104667.56"/>
    <d v="2024-09-06T00:00:00"/>
    <x v="4"/>
    <x v="13"/>
    <s v="September"/>
    <x v="0"/>
    <n v="20933.512000000002"/>
    <n v="18"/>
    <x v="1"/>
    <x v="1"/>
    <n v="104667.56"/>
    <n v="0"/>
    <n v="0.20000000000000004"/>
    <n v="26166.89"/>
    <n v="5233.3780000000006"/>
    <n v="9"/>
    <s v="Q3"/>
    <s v="Sep-2024"/>
    <n v="18840.160800000001"/>
    <n v="85827.3992"/>
    <x v="0"/>
  </r>
  <r>
    <s v="ORD00354"/>
    <x v="17"/>
    <x v="2"/>
    <n v="45072.69"/>
    <n v="2"/>
    <n v="90145.38"/>
    <d v="2024-12-30T00:00:00"/>
    <x v="2"/>
    <x v="8"/>
    <s v="December"/>
    <x v="0"/>
    <n v="18029.076000000001"/>
    <n v="10"/>
    <x v="2"/>
    <x v="0"/>
    <n v="90145.38"/>
    <n v="0"/>
    <n v="0.2"/>
    <n v="45072.69"/>
    <n v="9014.5380000000005"/>
    <n v="12"/>
    <s v="Q4"/>
    <s v="Dec-2024"/>
    <n v="9014.5380000000005"/>
    <n v="81130.842000000004"/>
    <x v="1"/>
  </r>
  <r>
    <s v="ORD00355"/>
    <x v="15"/>
    <x v="1"/>
    <n v="33543.19"/>
    <n v="2"/>
    <n v="67086.38"/>
    <d v="2024-03-09T00:00:00"/>
    <x v="1"/>
    <x v="13"/>
    <s v="March"/>
    <x v="0"/>
    <n v="13417.276000000002"/>
    <n v="10"/>
    <x v="1"/>
    <x v="1"/>
    <n v="67086.38"/>
    <n v="0"/>
    <n v="0.2"/>
    <n v="33543.19"/>
    <n v="6708.6380000000008"/>
    <n v="3"/>
    <s v="Q1"/>
    <s v="Mar-2024"/>
    <n v="6708.6380000000008"/>
    <n v="60377.742000000006"/>
    <x v="7"/>
  </r>
  <r>
    <s v="ORD00356"/>
    <x v="22"/>
    <x v="0"/>
    <n v="34116.230000000003"/>
    <n v="3"/>
    <n v="102348.69"/>
    <d v="2024-03-20T00:00:00"/>
    <x v="2"/>
    <x v="23"/>
    <s v="March"/>
    <x v="0"/>
    <n v="20469.738000000001"/>
    <n v="17"/>
    <x v="0"/>
    <x v="1"/>
    <n v="102348.69"/>
    <n v="0"/>
    <n v="0.2"/>
    <n v="34116.230000000003"/>
    <n v="6823.2460000000001"/>
    <n v="3"/>
    <s v="Q1"/>
    <s v="Mar-2024"/>
    <n v="17399.277300000002"/>
    <n v="84949.412700000001"/>
    <x v="7"/>
  </r>
  <r>
    <s v="ORD00357"/>
    <x v="22"/>
    <x v="0"/>
    <n v="15466.4"/>
    <n v="5"/>
    <n v="77332"/>
    <d v="2024-07-29T00:00:00"/>
    <x v="2"/>
    <x v="36"/>
    <s v="July"/>
    <x v="0"/>
    <n v="15466.400000000001"/>
    <n v="23"/>
    <x v="0"/>
    <x v="2"/>
    <n v="77332"/>
    <n v="0"/>
    <n v="0.2"/>
    <n v="15466.4"/>
    <n v="3093.28"/>
    <n v="7"/>
    <s v="Q3"/>
    <s v="Jul-2024"/>
    <n v="17786.36"/>
    <n v="59545.64"/>
    <x v="5"/>
  </r>
  <r>
    <s v="ORD00358"/>
    <x v="18"/>
    <x v="3"/>
    <n v="19879.400000000001"/>
    <n v="4"/>
    <n v="79517.600000000006"/>
    <d v="2024-03-15T00:00:00"/>
    <x v="0"/>
    <x v="3"/>
    <s v="March"/>
    <x v="0"/>
    <n v="15903.520000000002"/>
    <n v="26"/>
    <x v="1"/>
    <x v="2"/>
    <n v="79517.600000000006"/>
    <n v="0"/>
    <n v="0.2"/>
    <n v="19879.400000000001"/>
    <n v="3975.8800000000006"/>
    <n v="3"/>
    <s v="Q1"/>
    <s v="Mar-2024"/>
    <n v="20674.576000000001"/>
    <n v="58843.024000000005"/>
    <x v="7"/>
  </r>
  <r>
    <s v="ORD00359"/>
    <x v="23"/>
    <x v="4"/>
    <n v="11914.15"/>
    <n v="2"/>
    <n v="23828.3"/>
    <d v="2024-06-10T00:00:00"/>
    <x v="2"/>
    <x v="7"/>
    <s v="June"/>
    <x v="0"/>
    <n v="4765.66"/>
    <n v="12"/>
    <x v="1"/>
    <x v="0"/>
    <n v="23828.3"/>
    <n v="0"/>
    <n v="0.2"/>
    <n v="11914.15"/>
    <n v="2382.83"/>
    <n v="6"/>
    <s v="Q2"/>
    <s v="Jun-2024"/>
    <n v="2859.3959999999997"/>
    <n v="20968.903999999999"/>
    <x v="11"/>
  </r>
  <r>
    <s v="ORD00360"/>
    <x v="24"/>
    <x v="1"/>
    <n v="7936.32"/>
    <n v="4"/>
    <n v="31745.279999999999"/>
    <d v="2024-09-21T00:00:00"/>
    <x v="4"/>
    <x v="39"/>
    <s v="September"/>
    <x v="0"/>
    <n v="6349.0560000000005"/>
    <n v="6"/>
    <x v="1"/>
    <x v="2"/>
    <n v="31745.279999999999"/>
    <n v="0"/>
    <n v="0.2"/>
    <n v="7936.32"/>
    <n v="1587.2640000000001"/>
    <n v="9"/>
    <s v="Q3"/>
    <s v="Sep-2024"/>
    <n v="1904.7167999999999"/>
    <n v="29840.563200000001"/>
    <x v="0"/>
  </r>
  <r>
    <s v="ORD00361"/>
    <x v="0"/>
    <x v="0"/>
    <n v="7633.85"/>
    <n v="2"/>
    <n v="15267.7"/>
    <d v="2024-09-01T00:00:00"/>
    <x v="5"/>
    <x v="28"/>
    <s v="September"/>
    <x v="0"/>
    <n v="3053.5400000000004"/>
    <n v="25"/>
    <x v="2"/>
    <x v="2"/>
    <n v="15267.7"/>
    <n v="0"/>
    <n v="0.2"/>
    <n v="7633.85"/>
    <n v="1526.7700000000002"/>
    <n v="9"/>
    <s v="Q3"/>
    <s v="Sep-2024"/>
    <n v="3816.9250000000002"/>
    <n v="11450.775000000001"/>
    <x v="0"/>
  </r>
  <r>
    <s v="ORD00362"/>
    <x v="2"/>
    <x v="2"/>
    <n v="2470.8200000000002"/>
    <n v="4"/>
    <n v="9883.2800000000007"/>
    <d v="2024-05-26T00:00:00"/>
    <x v="1"/>
    <x v="6"/>
    <s v="May"/>
    <x v="0"/>
    <n v="1976.6560000000002"/>
    <n v="5"/>
    <x v="1"/>
    <x v="0"/>
    <n v="9883.2800000000007"/>
    <n v="0"/>
    <n v="0.2"/>
    <n v="2470.8200000000002"/>
    <n v="494.16400000000004"/>
    <n v="5"/>
    <s v="Q2"/>
    <s v="May-2024"/>
    <n v="494.16399999999999"/>
    <n v="9389.116"/>
    <x v="2"/>
  </r>
  <r>
    <s v="ORD00363"/>
    <x v="23"/>
    <x v="4"/>
    <n v="908.47"/>
    <n v="3"/>
    <n v="2725.41"/>
    <d v="2024-09-27T00:00:00"/>
    <x v="3"/>
    <x v="33"/>
    <s v="September"/>
    <x v="0"/>
    <n v="545.08199999999999"/>
    <n v="19"/>
    <x v="1"/>
    <x v="2"/>
    <n v="2725.41"/>
    <n v="0"/>
    <n v="0.2"/>
    <n v="908.46999999999991"/>
    <n v="181.69399999999999"/>
    <n v="9"/>
    <s v="Q3"/>
    <s v="Sep-2024"/>
    <n v="517.82789999999989"/>
    <n v="2207.5821000000001"/>
    <x v="0"/>
  </r>
  <r>
    <s v="ORD00364"/>
    <x v="7"/>
    <x v="4"/>
    <n v="14102.56"/>
    <n v="4"/>
    <n v="56410.239999999998"/>
    <d v="2024-09-20T00:00:00"/>
    <x v="3"/>
    <x v="36"/>
    <s v="September"/>
    <x v="0"/>
    <n v="11282.048000000001"/>
    <n v="5"/>
    <x v="1"/>
    <x v="3"/>
    <n v="56410.239999999998"/>
    <n v="0"/>
    <n v="0.2"/>
    <n v="14102.56"/>
    <n v="2820.5120000000002"/>
    <n v="9"/>
    <s v="Q3"/>
    <s v="Sep-2024"/>
    <n v="2820.5120000000002"/>
    <n v="53589.727999999996"/>
    <x v="0"/>
  </r>
  <r>
    <s v="ORD00365"/>
    <x v="18"/>
    <x v="3"/>
    <n v="23287.93"/>
    <n v="4"/>
    <n v="93151.72"/>
    <d v="2024-08-14T00:00:00"/>
    <x v="0"/>
    <x v="6"/>
    <s v="August"/>
    <x v="0"/>
    <n v="18630.344000000001"/>
    <n v="9"/>
    <x v="0"/>
    <x v="1"/>
    <n v="93151.72"/>
    <n v="0"/>
    <n v="0.2"/>
    <n v="23287.93"/>
    <n v="4657.5860000000002"/>
    <n v="8"/>
    <s v="Q3"/>
    <s v="Aug-2024"/>
    <n v="8383.6548000000003"/>
    <n v="84768.065199999997"/>
    <x v="12"/>
  </r>
  <r>
    <s v="ORD00366"/>
    <x v="5"/>
    <x v="4"/>
    <n v="41333.21"/>
    <n v="1"/>
    <n v="41333.21"/>
    <d v="2025-01-28T00:00:00"/>
    <x v="5"/>
    <x v="9"/>
    <s v="January"/>
    <x v="1"/>
    <n v="8266.6419999999998"/>
    <n v="20"/>
    <x v="0"/>
    <x v="1"/>
    <n v="41333.21"/>
    <n v="0"/>
    <n v="0.2"/>
    <n v="41333.21"/>
    <n v="8266.6419999999998"/>
    <n v="1"/>
    <s v="Q1"/>
    <s v="Jan-2025"/>
    <n v="8266.6419999999998"/>
    <n v="33066.567999999999"/>
    <x v="6"/>
  </r>
  <r>
    <s v="ORD00367"/>
    <x v="0"/>
    <x v="0"/>
    <n v="35304.99"/>
    <n v="1"/>
    <n v="35304.99"/>
    <d v="2024-08-06T00:00:00"/>
    <x v="3"/>
    <x v="6"/>
    <s v="August"/>
    <x v="0"/>
    <n v="7060.9979999999996"/>
    <n v="23"/>
    <x v="2"/>
    <x v="1"/>
    <n v="35304.99"/>
    <n v="0"/>
    <n v="0.2"/>
    <n v="35304.99"/>
    <n v="7060.9979999999996"/>
    <n v="8"/>
    <s v="Q3"/>
    <s v="Aug-2024"/>
    <n v="8120.1476999999986"/>
    <n v="27184.8423"/>
    <x v="12"/>
  </r>
  <r>
    <s v="ORD00368"/>
    <x v="1"/>
    <x v="1"/>
    <n v="22335.58"/>
    <n v="2"/>
    <n v="44671.16"/>
    <d v="2024-07-31T00:00:00"/>
    <x v="2"/>
    <x v="28"/>
    <s v="July"/>
    <x v="0"/>
    <n v="8934.2320000000018"/>
    <n v="8"/>
    <x v="2"/>
    <x v="1"/>
    <n v="44671.16"/>
    <n v="0"/>
    <n v="0.2"/>
    <n v="22335.58"/>
    <n v="4467.1160000000009"/>
    <n v="7"/>
    <s v="Q3"/>
    <s v="Jul-2024"/>
    <n v="3573.6928000000003"/>
    <n v="41097.467200000006"/>
    <x v="5"/>
  </r>
  <r>
    <s v="ORD00369"/>
    <x v="4"/>
    <x v="4"/>
    <n v="40486.080000000002"/>
    <n v="5"/>
    <n v="202430.4"/>
    <d v="2024-11-26T00:00:00"/>
    <x v="2"/>
    <x v="22"/>
    <s v="November"/>
    <x v="0"/>
    <n v="40486.080000000002"/>
    <n v="7"/>
    <x v="0"/>
    <x v="0"/>
    <n v="202430.40000000002"/>
    <n v="0"/>
    <n v="0.2"/>
    <n v="40486.080000000002"/>
    <n v="8097.2160000000003"/>
    <n v="11"/>
    <s v="Q4"/>
    <s v="Nov-2024"/>
    <n v="14170.128000000001"/>
    <n v="188260.272"/>
    <x v="3"/>
  </r>
  <r>
    <s v="ORD00370"/>
    <x v="0"/>
    <x v="0"/>
    <n v="20353.400000000001"/>
    <n v="1"/>
    <n v="20353.400000000001"/>
    <d v="2024-07-07T00:00:00"/>
    <x v="1"/>
    <x v="36"/>
    <s v="July"/>
    <x v="0"/>
    <n v="4070.6800000000003"/>
    <n v="21"/>
    <x v="0"/>
    <x v="1"/>
    <n v="20353.400000000001"/>
    <n v="0"/>
    <n v="0.2"/>
    <n v="20353.400000000001"/>
    <n v="4070.6800000000003"/>
    <n v="7"/>
    <s v="Q3"/>
    <s v="Jul-2024"/>
    <n v="4274.2139999999999"/>
    <n v="16079.186000000002"/>
    <x v="5"/>
  </r>
  <r>
    <s v="ORD00371"/>
    <x v="18"/>
    <x v="3"/>
    <n v="2258.27"/>
    <n v="3"/>
    <n v="6774.81"/>
    <d v="2024-10-24T00:00:00"/>
    <x v="2"/>
    <x v="38"/>
    <s v="October"/>
    <x v="0"/>
    <n v="1354.9620000000002"/>
    <n v="21"/>
    <x v="0"/>
    <x v="1"/>
    <n v="6774.8099999999995"/>
    <n v="0"/>
    <n v="0.2"/>
    <n v="2258.27"/>
    <n v="451.65400000000005"/>
    <n v="10"/>
    <s v="Q4"/>
    <s v="Oct-2024"/>
    <n v="1422.7101"/>
    <n v="5352.0999000000002"/>
    <x v="4"/>
  </r>
  <r>
    <s v="ORD00372"/>
    <x v="12"/>
    <x v="3"/>
    <n v="704.55"/>
    <n v="5"/>
    <n v="3522.75"/>
    <d v="2024-05-28T00:00:00"/>
    <x v="0"/>
    <x v="9"/>
    <s v="May"/>
    <x v="0"/>
    <n v="704.55000000000007"/>
    <n v="16"/>
    <x v="1"/>
    <x v="1"/>
    <n v="3522.75"/>
    <n v="0"/>
    <n v="0.2"/>
    <n v="704.55"/>
    <n v="140.91000000000003"/>
    <n v="5"/>
    <s v="Q2"/>
    <s v="May-2024"/>
    <n v="563.64"/>
    <n v="2959.11"/>
    <x v="2"/>
  </r>
  <r>
    <s v="ORD00373"/>
    <x v="7"/>
    <x v="4"/>
    <n v="38629"/>
    <n v="1"/>
    <n v="38629"/>
    <d v="2024-07-15T00:00:00"/>
    <x v="5"/>
    <x v="9"/>
    <s v="July"/>
    <x v="0"/>
    <n v="7725.8"/>
    <n v="18"/>
    <x v="1"/>
    <x v="1"/>
    <n v="38629"/>
    <n v="0"/>
    <n v="0.2"/>
    <n v="38629"/>
    <n v="7725.8"/>
    <n v="7"/>
    <s v="Q3"/>
    <s v="Jul-2024"/>
    <n v="6953.22"/>
    <n v="31675.78"/>
    <x v="5"/>
  </r>
  <r>
    <s v="ORD00374"/>
    <x v="21"/>
    <x v="0"/>
    <n v="37303.26"/>
    <n v="4"/>
    <n v="149213.04"/>
    <d v="2025-01-07T00:00:00"/>
    <x v="3"/>
    <x v="36"/>
    <s v="January"/>
    <x v="1"/>
    <n v="29842.608000000004"/>
    <n v="25"/>
    <x v="0"/>
    <x v="3"/>
    <n v="149213.04"/>
    <n v="0"/>
    <n v="0.2"/>
    <n v="37303.26"/>
    <n v="7460.652000000001"/>
    <n v="1"/>
    <s v="Q1"/>
    <s v="Jan-2025"/>
    <n v="37303.26"/>
    <n v="111909.78"/>
    <x v="6"/>
  </r>
  <r>
    <s v="ORD00375"/>
    <x v="12"/>
    <x v="3"/>
    <n v="11507.22"/>
    <n v="4"/>
    <n v="46028.88"/>
    <d v="2024-04-17T00:00:00"/>
    <x v="0"/>
    <x v="23"/>
    <s v="April"/>
    <x v="0"/>
    <n v="9205.7759999999998"/>
    <n v="10"/>
    <x v="1"/>
    <x v="1"/>
    <n v="46028.88"/>
    <n v="0"/>
    <n v="0.2"/>
    <n v="11507.22"/>
    <n v="2301.444"/>
    <n v="4"/>
    <s v="Q2"/>
    <s v="Apr-2024"/>
    <n v="4602.8879999999999"/>
    <n v="41425.991999999998"/>
    <x v="9"/>
  </r>
  <r>
    <s v="ORD00376"/>
    <x v="7"/>
    <x v="4"/>
    <n v="48710.25"/>
    <n v="1"/>
    <n v="48710.25"/>
    <d v="2024-10-06T00:00:00"/>
    <x v="4"/>
    <x v="5"/>
    <s v="October"/>
    <x v="0"/>
    <n v="9742.0500000000011"/>
    <n v="7"/>
    <x v="1"/>
    <x v="3"/>
    <n v="48710.25"/>
    <n v="0"/>
    <n v="0.2"/>
    <n v="48710.25"/>
    <n v="9742.0500000000011"/>
    <n v="10"/>
    <s v="Q4"/>
    <s v="Oct-2024"/>
    <n v="3409.7175000000002"/>
    <n v="45300.532500000001"/>
    <x v="4"/>
  </r>
  <r>
    <s v="ORD00377"/>
    <x v="0"/>
    <x v="0"/>
    <n v="20075.810000000001"/>
    <n v="1"/>
    <n v="20075.810000000001"/>
    <d v="2024-06-12T00:00:00"/>
    <x v="0"/>
    <x v="35"/>
    <s v="June"/>
    <x v="0"/>
    <n v="4015.1620000000003"/>
    <n v="13"/>
    <x v="2"/>
    <x v="0"/>
    <n v="20075.810000000001"/>
    <n v="0"/>
    <n v="0.2"/>
    <n v="20075.810000000001"/>
    <n v="4015.1620000000003"/>
    <n v="6"/>
    <s v="Q2"/>
    <s v="Jun-2024"/>
    <n v="2609.8553000000002"/>
    <n v="17465.954700000002"/>
    <x v="11"/>
  </r>
  <r>
    <s v="ORD00378"/>
    <x v="13"/>
    <x v="0"/>
    <n v="8448.77"/>
    <n v="2"/>
    <n v="16897.54"/>
    <d v="2024-05-12T00:00:00"/>
    <x v="1"/>
    <x v="28"/>
    <s v="May"/>
    <x v="0"/>
    <n v="3379.5080000000003"/>
    <n v="9"/>
    <x v="0"/>
    <x v="2"/>
    <n v="16897.54"/>
    <n v="0"/>
    <n v="0.2"/>
    <n v="8448.77"/>
    <n v="1689.7540000000001"/>
    <n v="5"/>
    <s v="Q2"/>
    <s v="May-2024"/>
    <n v="1520.7786000000001"/>
    <n v="15376.761400000001"/>
    <x v="2"/>
  </r>
  <r>
    <s v="ORD00379"/>
    <x v="6"/>
    <x v="1"/>
    <n v="29310.76"/>
    <n v="4"/>
    <n v="117243.04"/>
    <d v="2024-07-03T00:00:00"/>
    <x v="2"/>
    <x v="2"/>
    <s v="July"/>
    <x v="0"/>
    <n v="23448.608"/>
    <n v="28"/>
    <x v="0"/>
    <x v="1"/>
    <n v="117243.04"/>
    <n v="0"/>
    <n v="0.2"/>
    <n v="29310.76"/>
    <n v="5862.152"/>
    <n v="7"/>
    <s v="Q3"/>
    <s v="Jul-2024"/>
    <n v="32828.051199999994"/>
    <n v="84414.988799999992"/>
    <x v="5"/>
  </r>
  <r>
    <s v="ORD00380"/>
    <x v="0"/>
    <x v="0"/>
    <n v="708.78"/>
    <n v="4"/>
    <n v="2835.12"/>
    <d v="2024-11-29T00:00:00"/>
    <x v="3"/>
    <x v="6"/>
    <s v="November"/>
    <x v="0"/>
    <n v="567.024"/>
    <n v="21"/>
    <x v="1"/>
    <x v="2"/>
    <n v="2835.12"/>
    <n v="0"/>
    <n v="0.2"/>
    <n v="708.78"/>
    <n v="141.756"/>
    <n v="11"/>
    <s v="Q4"/>
    <s v="Nov-2024"/>
    <n v="595.37519999999995"/>
    <n v="2239.7447999999999"/>
    <x v="3"/>
  </r>
  <r>
    <s v="ORD00381"/>
    <x v="8"/>
    <x v="1"/>
    <n v="24062.33"/>
    <n v="4"/>
    <n v="96249.32"/>
    <d v="2025-01-19T00:00:00"/>
    <x v="0"/>
    <x v="19"/>
    <s v="January"/>
    <x v="1"/>
    <n v="19249.864000000001"/>
    <n v="18"/>
    <x v="0"/>
    <x v="2"/>
    <n v="96249.32"/>
    <n v="0"/>
    <n v="0.2"/>
    <n v="24062.33"/>
    <n v="4812.4660000000003"/>
    <n v="1"/>
    <s v="Q1"/>
    <s v="Jan-2025"/>
    <n v="17324.877600000003"/>
    <n v="78924.4424"/>
    <x v="6"/>
  </r>
  <r>
    <s v="ORD00382"/>
    <x v="6"/>
    <x v="1"/>
    <n v="27827.66"/>
    <n v="1"/>
    <n v="27827.66"/>
    <d v="2024-06-18T00:00:00"/>
    <x v="3"/>
    <x v="16"/>
    <s v="June"/>
    <x v="0"/>
    <n v="5565.5320000000002"/>
    <n v="25"/>
    <x v="2"/>
    <x v="0"/>
    <n v="27827.66"/>
    <n v="0"/>
    <n v="0.2"/>
    <n v="27827.66"/>
    <n v="5565.5320000000002"/>
    <n v="6"/>
    <s v="Q2"/>
    <s v="Jun-2024"/>
    <n v="6956.915"/>
    <n v="20870.744999999999"/>
    <x v="11"/>
  </r>
  <r>
    <s v="ORD00383"/>
    <x v="3"/>
    <x v="3"/>
    <n v="40862.870000000003"/>
    <n v="2"/>
    <n v="81725.740000000005"/>
    <d v="2024-05-22T00:00:00"/>
    <x v="0"/>
    <x v="23"/>
    <s v="May"/>
    <x v="0"/>
    <n v="16345.148000000001"/>
    <n v="7"/>
    <x v="2"/>
    <x v="2"/>
    <n v="81725.740000000005"/>
    <n v="0"/>
    <n v="0.2"/>
    <n v="40862.870000000003"/>
    <n v="8172.5740000000005"/>
    <n v="5"/>
    <s v="Q2"/>
    <s v="May-2024"/>
    <n v="5720.8018000000002"/>
    <n v="76004.938200000004"/>
    <x v="2"/>
  </r>
  <r>
    <s v="ORD00384"/>
    <x v="6"/>
    <x v="1"/>
    <n v="11399.26"/>
    <n v="2"/>
    <n v="22798.52"/>
    <d v="2024-02-17T00:00:00"/>
    <x v="5"/>
    <x v="34"/>
    <s v="February"/>
    <x v="0"/>
    <n v="4559.7040000000006"/>
    <n v="5"/>
    <x v="2"/>
    <x v="3"/>
    <n v="22798.52"/>
    <n v="0"/>
    <n v="0.2"/>
    <n v="11399.26"/>
    <n v="2279.8520000000003"/>
    <n v="2"/>
    <s v="Q1"/>
    <s v="Feb-2024"/>
    <n v="1139.9260000000002"/>
    <n v="21658.594000000001"/>
    <x v="10"/>
  </r>
  <r>
    <s v="ORD00385"/>
    <x v="17"/>
    <x v="2"/>
    <n v="5463.13"/>
    <n v="1"/>
    <n v="5463.13"/>
    <d v="2024-06-30T00:00:00"/>
    <x v="0"/>
    <x v="1"/>
    <s v="June"/>
    <x v="0"/>
    <n v="1092.626"/>
    <n v="24"/>
    <x v="0"/>
    <x v="2"/>
    <n v="5463.13"/>
    <n v="0"/>
    <n v="0.19999999999999998"/>
    <n v="5463.13"/>
    <n v="1092.626"/>
    <n v="6"/>
    <s v="Q2"/>
    <s v="Jun-2024"/>
    <n v="1311.1512"/>
    <n v="4151.9787999999999"/>
    <x v="11"/>
  </r>
  <r>
    <s v="ORD00386"/>
    <x v="13"/>
    <x v="0"/>
    <n v="8644.99"/>
    <n v="5"/>
    <n v="43224.95"/>
    <d v="2024-07-17T00:00:00"/>
    <x v="0"/>
    <x v="17"/>
    <s v="July"/>
    <x v="0"/>
    <n v="8644.99"/>
    <n v="25"/>
    <x v="0"/>
    <x v="2"/>
    <n v="43224.95"/>
    <n v="0"/>
    <n v="0.2"/>
    <n v="8644.99"/>
    <n v="1728.998"/>
    <n v="7"/>
    <s v="Q3"/>
    <s v="Jul-2024"/>
    <n v="10806.237499999999"/>
    <n v="32418.712499999998"/>
    <x v="5"/>
  </r>
  <r>
    <s v="ORD00387"/>
    <x v="20"/>
    <x v="3"/>
    <n v="27481.15"/>
    <n v="2"/>
    <n v="54962.3"/>
    <d v="2024-10-27T00:00:00"/>
    <x v="3"/>
    <x v="3"/>
    <s v="October"/>
    <x v="0"/>
    <n v="10992.460000000001"/>
    <n v="27"/>
    <x v="0"/>
    <x v="2"/>
    <n v="54962.3"/>
    <n v="0"/>
    <n v="0.2"/>
    <n v="27481.15"/>
    <n v="5496.2300000000005"/>
    <n v="10"/>
    <s v="Q4"/>
    <s v="Oct-2024"/>
    <n v="14839.821000000002"/>
    <n v="40122.478999999999"/>
    <x v="4"/>
  </r>
  <r>
    <s v="ORD00388"/>
    <x v="22"/>
    <x v="0"/>
    <n v="47819.23"/>
    <n v="4"/>
    <n v="191276.92"/>
    <d v="2024-06-03T00:00:00"/>
    <x v="2"/>
    <x v="19"/>
    <s v="June"/>
    <x v="0"/>
    <n v="38255.384000000005"/>
    <n v="5"/>
    <x v="0"/>
    <x v="1"/>
    <n v="191276.92"/>
    <n v="0"/>
    <n v="0.2"/>
    <n v="47819.23"/>
    <n v="9563.8460000000014"/>
    <n v="6"/>
    <s v="Q2"/>
    <s v="Jun-2024"/>
    <n v="9563.8460000000014"/>
    <n v="181713.07400000002"/>
    <x v="11"/>
  </r>
  <r>
    <s v="ORD00389"/>
    <x v="11"/>
    <x v="2"/>
    <n v="7145.81"/>
    <n v="4"/>
    <n v="28583.24"/>
    <d v="2024-03-09T00:00:00"/>
    <x v="2"/>
    <x v="30"/>
    <s v="March"/>
    <x v="0"/>
    <n v="5716.648000000001"/>
    <n v="7"/>
    <x v="0"/>
    <x v="1"/>
    <n v="28583.24"/>
    <n v="0"/>
    <n v="0.20000000000000004"/>
    <n v="7145.81"/>
    <n v="1429.1620000000003"/>
    <n v="3"/>
    <s v="Q1"/>
    <s v="Mar-2024"/>
    <n v="2000.8268000000003"/>
    <n v="26582.413200000003"/>
    <x v="7"/>
  </r>
  <r>
    <s v="ORD00390"/>
    <x v="20"/>
    <x v="3"/>
    <n v="29847.4"/>
    <n v="3"/>
    <n v="89542.2"/>
    <d v="2024-06-04T00:00:00"/>
    <x v="0"/>
    <x v="36"/>
    <s v="June"/>
    <x v="0"/>
    <n v="17908.439999999999"/>
    <n v="22"/>
    <x v="2"/>
    <x v="3"/>
    <n v="89542.200000000012"/>
    <n v="0"/>
    <n v="0.19999999999999998"/>
    <n v="29847.399999999998"/>
    <n v="5969.48"/>
    <n v="6"/>
    <s v="Q2"/>
    <s v="Jun-2024"/>
    <n v="19699.284"/>
    <n v="69842.915999999997"/>
    <x v="11"/>
  </r>
  <r>
    <s v="ORD00391"/>
    <x v="11"/>
    <x v="2"/>
    <n v="11186.35"/>
    <n v="2"/>
    <n v="22372.7"/>
    <d v="2024-10-28T00:00:00"/>
    <x v="3"/>
    <x v="19"/>
    <s v="October"/>
    <x v="0"/>
    <n v="4474.54"/>
    <n v="29"/>
    <x v="1"/>
    <x v="3"/>
    <n v="22372.7"/>
    <n v="0"/>
    <n v="0.19999999999999998"/>
    <n v="11186.35"/>
    <n v="2237.27"/>
    <n v="10"/>
    <s v="Q4"/>
    <s v="Oct-2024"/>
    <n v="6488.0830000000005"/>
    <n v="15884.617"/>
    <x v="4"/>
  </r>
  <r>
    <s v="ORD00392"/>
    <x v="0"/>
    <x v="0"/>
    <n v="36535.74"/>
    <n v="3"/>
    <n v="109607.22"/>
    <d v="2024-07-02T00:00:00"/>
    <x v="1"/>
    <x v="12"/>
    <s v="July"/>
    <x v="0"/>
    <n v="21921.444000000003"/>
    <n v="14"/>
    <x v="2"/>
    <x v="1"/>
    <n v="109607.22"/>
    <n v="0"/>
    <n v="0.20000000000000004"/>
    <n v="36535.74"/>
    <n v="7307.148000000001"/>
    <n v="7"/>
    <s v="Q3"/>
    <s v="Jul-2024"/>
    <n v="15345.0108"/>
    <n v="94262.209199999998"/>
    <x v="5"/>
  </r>
  <r>
    <s v="ORD00393"/>
    <x v="6"/>
    <x v="1"/>
    <n v="12046.9"/>
    <n v="3"/>
    <n v="36140.699999999997"/>
    <d v="2025-01-05T00:00:00"/>
    <x v="3"/>
    <x v="3"/>
    <s v="January"/>
    <x v="1"/>
    <n v="7228.1399999999994"/>
    <n v="26"/>
    <x v="0"/>
    <x v="3"/>
    <n v="36140.699999999997"/>
    <n v="0"/>
    <n v="0.2"/>
    <n v="12046.9"/>
    <n v="2409.3799999999997"/>
    <n v="1"/>
    <s v="Q1"/>
    <s v="Jan-2025"/>
    <n v="9396.5820000000003"/>
    <n v="26744.117999999995"/>
    <x v="6"/>
  </r>
  <r>
    <s v="ORD00394"/>
    <x v="17"/>
    <x v="2"/>
    <n v="7043.51"/>
    <n v="4"/>
    <n v="28174.04"/>
    <d v="2024-03-12T00:00:00"/>
    <x v="1"/>
    <x v="10"/>
    <s v="March"/>
    <x v="0"/>
    <n v="5634.8080000000009"/>
    <n v="30"/>
    <x v="2"/>
    <x v="1"/>
    <n v="28174.04"/>
    <n v="0"/>
    <n v="0.20000000000000004"/>
    <n v="7043.51"/>
    <n v="1408.7020000000002"/>
    <n v="3"/>
    <s v="Q1"/>
    <s v="Mar-2024"/>
    <n v="8452.2120000000014"/>
    <n v="19721.828000000001"/>
    <x v="7"/>
  </r>
  <r>
    <s v="ORD00395"/>
    <x v="6"/>
    <x v="1"/>
    <n v="34369.57"/>
    <n v="4"/>
    <n v="137478.28"/>
    <d v="2024-07-31T00:00:00"/>
    <x v="5"/>
    <x v="14"/>
    <s v="July"/>
    <x v="0"/>
    <n v="27495.656000000003"/>
    <n v="7"/>
    <x v="0"/>
    <x v="0"/>
    <n v="137478.28"/>
    <n v="0"/>
    <n v="0.2"/>
    <n v="34369.57"/>
    <n v="6873.9140000000007"/>
    <n v="7"/>
    <s v="Q3"/>
    <s v="Jul-2024"/>
    <n v="9623.4795999999988"/>
    <n v="127854.80040000001"/>
    <x v="5"/>
  </r>
  <r>
    <s v="ORD00396"/>
    <x v="6"/>
    <x v="1"/>
    <n v="4827.49"/>
    <n v="3"/>
    <n v="14482.47"/>
    <d v="2024-03-10T00:00:00"/>
    <x v="0"/>
    <x v="24"/>
    <s v="March"/>
    <x v="0"/>
    <n v="2896.4940000000001"/>
    <n v="12"/>
    <x v="0"/>
    <x v="2"/>
    <n v="14482.47"/>
    <n v="0"/>
    <n v="0.2"/>
    <n v="4827.49"/>
    <n v="965.49800000000005"/>
    <n v="3"/>
    <s v="Q1"/>
    <s v="Mar-2024"/>
    <n v="1737.8963999999999"/>
    <n v="12744.5736"/>
    <x v="7"/>
  </r>
  <r>
    <s v="ORD00397"/>
    <x v="11"/>
    <x v="2"/>
    <n v="14851.66"/>
    <n v="2"/>
    <n v="29703.32"/>
    <d v="2025-01-08T00:00:00"/>
    <x v="0"/>
    <x v="30"/>
    <s v="January"/>
    <x v="1"/>
    <n v="5940.6640000000007"/>
    <n v="18"/>
    <x v="2"/>
    <x v="2"/>
    <n v="29703.32"/>
    <n v="0"/>
    <n v="0.2"/>
    <n v="14851.66"/>
    <n v="2970.3320000000003"/>
    <n v="1"/>
    <s v="Q1"/>
    <s v="Jan-2025"/>
    <n v="5346.5976000000001"/>
    <n v="24356.722399999999"/>
    <x v="6"/>
  </r>
  <r>
    <s v="ORD00398"/>
    <x v="8"/>
    <x v="1"/>
    <n v="40248.269999999997"/>
    <n v="3"/>
    <n v="120744.81"/>
    <d v="2024-04-19T00:00:00"/>
    <x v="2"/>
    <x v="1"/>
    <s v="April"/>
    <x v="0"/>
    <n v="24148.962"/>
    <n v="28"/>
    <x v="0"/>
    <x v="3"/>
    <n v="120744.81"/>
    <n v="0"/>
    <n v="0.2"/>
    <n v="40248.269999999997"/>
    <n v="8049.6539999999995"/>
    <n v="4"/>
    <s v="Q2"/>
    <s v="Apr-2024"/>
    <n v="33808.546799999996"/>
    <n v="86936.263200000001"/>
    <x v="9"/>
  </r>
  <r>
    <s v="ORD00399"/>
    <x v="1"/>
    <x v="1"/>
    <n v="37135.360000000001"/>
    <n v="2"/>
    <n v="74270.720000000001"/>
    <d v="2024-12-23T00:00:00"/>
    <x v="5"/>
    <x v="32"/>
    <s v="December"/>
    <x v="0"/>
    <n v="14854.144"/>
    <n v="22"/>
    <x v="1"/>
    <x v="1"/>
    <n v="74270.720000000001"/>
    <n v="0"/>
    <n v="0.2"/>
    <n v="37135.360000000001"/>
    <n v="7427.0720000000001"/>
    <n v="12"/>
    <s v="Q4"/>
    <s v="Dec-2024"/>
    <n v="16339.558400000002"/>
    <n v="57931.161599999999"/>
    <x v="1"/>
  </r>
  <r>
    <s v="ORD00400"/>
    <x v="19"/>
    <x v="2"/>
    <n v="25794.78"/>
    <n v="5"/>
    <n v="128973.9"/>
    <d v="2024-08-13T00:00:00"/>
    <x v="0"/>
    <x v="34"/>
    <s v="August"/>
    <x v="0"/>
    <n v="25794.78"/>
    <n v="19"/>
    <x v="0"/>
    <x v="1"/>
    <n v="128973.9"/>
    <n v="0"/>
    <n v="0.2"/>
    <n v="25794.78"/>
    <n v="5158.9560000000001"/>
    <n v="8"/>
    <s v="Q3"/>
    <s v="Aug-2024"/>
    <n v="24505.041000000001"/>
    <n v="104468.859"/>
    <x v="12"/>
  </r>
  <r>
    <s v="ORD00401"/>
    <x v="19"/>
    <x v="2"/>
    <n v="47564.29"/>
    <n v="3"/>
    <n v="142692.87"/>
    <d v="2024-05-23T00:00:00"/>
    <x v="5"/>
    <x v="0"/>
    <s v="May"/>
    <x v="0"/>
    <n v="28538.574000000001"/>
    <n v="26"/>
    <x v="1"/>
    <x v="3"/>
    <n v="142692.87"/>
    <n v="0"/>
    <n v="0.2"/>
    <n v="47564.29"/>
    <n v="9512.8580000000002"/>
    <n v="5"/>
    <s v="Q2"/>
    <s v="May-2024"/>
    <n v="37100.146200000003"/>
    <n v="105592.72379999999"/>
    <x v="2"/>
  </r>
  <r>
    <s v="ORD00402"/>
    <x v="5"/>
    <x v="4"/>
    <n v="5500.92"/>
    <n v="3"/>
    <n v="16502.759999999998"/>
    <d v="2024-07-27T00:00:00"/>
    <x v="0"/>
    <x v="10"/>
    <s v="July"/>
    <x v="0"/>
    <n v="3300.5519999999997"/>
    <n v="27"/>
    <x v="1"/>
    <x v="1"/>
    <n v="16502.760000000002"/>
    <n v="0"/>
    <n v="0.2"/>
    <n v="5500.9199999999992"/>
    <n v="1100.184"/>
    <n v="7"/>
    <s v="Q3"/>
    <s v="Jul-2024"/>
    <n v="4455.7451999999994"/>
    <n v="12047.014799999999"/>
    <x v="5"/>
  </r>
  <r>
    <s v="ORD00403"/>
    <x v="13"/>
    <x v="0"/>
    <n v="904.29"/>
    <n v="2"/>
    <n v="1808.58"/>
    <d v="2024-05-01T00:00:00"/>
    <x v="0"/>
    <x v="0"/>
    <s v="May"/>
    <x v="0"/>
    <n v="361.71600000000001"/>
    <n v="6"/>
    <x v="0"/>
    <x v="0"/>
    <n v="1808.58"/>
    <n v="0"/>
    <n v="0.2"/>
    <n v="904.29"/>
    <n v="180.858"/>
    <n v="5"/>
    <s v="Q2"/>
    <s v="May-2024"/>
    <n v="108.51479999999999"/>
    <n v="1700.0652"/>
    <x v="2"/>
  </r>
  <r>
    <s v="ORD00404"/>
    <x v="3"/>
    <x v="3"/>
    <n v="25035.46"/>
    <n v="2"/>
    <n v="50070.92"/>
    <d v="2024-04-15T00:00:00"/>
    <x v="0"/>
    <x v="16"/>
    <s v="April"/>
    <x v="0"/>
    <n v="10014.184000000001"/>
    <n v="14"/>
    <x v="2"/>
    <x v="2"/>
    <n v="50070.92"/>
    <n v="0"/>
    <n v="0.20000000000000004"/>
    <n v="25035.46"/>
    <n v="5007.0920000000006"/>
    <n v="4"/>
    <s v="Q2"/>
    <s v="Apr-2024"/>
    <n v="7009.9287999999997"/>
    <n v="43060.991199999997"/>
    <x v="9"/>
  </r>
  <r>
    <s v="ORD00405"/>
    <x v="6"/>
    <x v="1"/>
    <n v="30156.36"/>
    <n v="5"/>
    <n v="150781.79999999999"/>
    <d v="2025-01-06T00:00:00"/>
    <x v="1"/>
    <x v="2"/>
    <s v="January"/>
    <x v="1"/>
    <n v="30156.36"/>
    <n v="6"/>
    <x v="1"/>
    <x v="3"/>
    <n v="150781.79999999999"/>
    <n v="0"/>
    <n v="0.2"/>
    <n v="30156.359999999997"/>
    <n v="6031.2719999999999"/>
    <n v="1"/>
    <s v="Q1"/>
    <s v="Jan-2025"/>
    <n v="9046.9079999999994"/>
    <n v="141734.89199999999"/>
    <x v="6"/>
  </r>
  <r>
    <s v="ORD00406"/>
    <x v="8"/>
    <x v="1"/>
    <n v="42189.9"/>
    <n v="1"/>
    <n v="42189.9"/>
    <d v="2025-01-12T00:00:00"/>
    <x v="4"/>
    <x v="20"/>
    <s v="January"/>
    <x v="1"/>
    <n v="8437.9800000000014"/>
    <n v="30"/>
    <x v="2"/>
    <x v="3"/>
    <n v="42189.9"/>
    <n v="0"/>
    <n v="0.20000000000000004"/>
    <n v="42189.9"/>
    <n v="8437.9800000000014"/>
    <n v="1"/>
    <s v="Q1"/>
    <s v="Jan-2025"/>
    <n v="12656.97"/>
    <n v="29532.93"/>
    <x v="6"/>
  </r>
  <r>
    <s v="ORD00407"/>
    <x v="1"/>
    <x v="1"/>
    <n v="41122.81"/>
    <n v="2"/>
    <n v="82245.62"/>
    <d v="2024-12-10T00:00:00"/>
    <x v="5"/>
    <x v="38"/>
    <s v="December"/>
    <x v="0"/>
    <n v="16449.124"/>
    <n v="21"/>
    <x v="1"/>
    <x v="1"/>
    <n v="82245.62"/>
    <n v="0"/>
    <n v="0.2"/>
    <n v="41122.81"/>
    <n v="8224.5619999999999"/>
    <n v="12"/>
    <s v="Q4"/>
    <s v="Dec-2024"/>
    <n v="17271.5802"/>
    <n v="64974.039799999999"/>
    <x v="1"/>
  </r>
  <r>
    <s v="ORD00408"/>
    <x v="15"/>
    <x v="1"/>
    <n v="21705.78"/>
    <n v="1"/>
    <n v="21705.78"/>
    <d v="2024-10-05T00:00:00"/>
    <x v="3"/>
    <x v="19"/>
    <s v="October"/>
    <x v="0"/>
    <n v="4341.1559999999999"/>
    <n v="12"/>
    <x v="0"/>
    <x v="3"/>
    <n v="21705.78"/>
    <n v="0"/>
    <n v="0.2"/>
    <n v="21705.78"/>
    <n v="4341.1559999999999"/>
    <n v="10"/>
    <s v="Q4"/>
    <s v="Oct-2024"/>
    <n v="2604.6936000000001"/>
    <n v="19101.0864"/>
    <x v="4"/>
  </r>
  <r>
    <s v="ORD00409"/>
    <x v="20"/>
    <x v="3"/>
    <n v="28391.65"/>
    <n v="3"/>
    <n v="85174.95"/>
    <d v="2024-12-11T00:00:00"/>
    <x v="0"/>
    <x v="15"/>
    <s v="December"/>
    <x v="0"/>
    <n v="17034.990000000002"/>
    <n v="5"/>
    <x v="0"/>
    <x v="0"/>
    <n v="85174.950000000012"/>
    <n v="0"/>
    <n v="0.20000000000000004"/>
    <n v="28391.649999999998"/>
    <n v="5678.3300000000008"/>
    <n v="12"/>
    <s v="Q4"/>
    <s v="Dec-2024"/>
    <n v="4258.7475000000004"/>
    <n v="80916.202499999999"/>
    <x v="1"/>
  </r>
  <r>
    <s v="ORD00410"/>
    <x v="5"/>
    <x v="4"/>
    <n v="40031.86"/>
    <n v="2"/>
    <n v="80063.72"/>
    <d v="2024-12-16T00:00:00"/>
    <x v="3"/>
    <x v="30"/>
    <s v="December"/>
    <x v="0"/>
    <n v="16012.744000000001"/>
    <n v="13"/>
    <x v="1"/>
    <x v="1"/>
    <n v="80063.72"/>
    <n v="0"/>
    <n v="0.2"/>
    <n v="40031.86"/>
    <n v="8006.3720000000003"/>
    <n v="12"/>
    <s v="Q4"/>
    <s v="Dec-2024"/>
    <n v="10408.283600000001"/>
    <n v="69655.436400000006"/>
    <x v="1"/>
  </r>
  <r>
    <s v="ORD00411"/>
    <x v="5"/>
    <x v="4"/>
    <n v="41248.019999999997"/>
    <n v="4"/>
    <n v="164992.07999999999"/>
    <d v="2025-01-12T00:00:00"/>
    <x v="4"/>
    <x v="8"/>
    <s v="January"/>
    <x v="1"/>
    <n v="32998.415999999997"/>
    <n v="15"/>
    <x v="0"/>
    <x v="1"/>
    <n v="164992.07999999999"/>
    <n v="0"/>
    <n v="0.2"/>
    <n v="41248.019999999997"/>
    <n v="8249.6039999999994"/>
    <n v="1"/>
    <s v="Q1"/>
    <s v="Jan-2025"/>
    <n v="24748.811999999998"/>
    <n v="140243.26799999998"/>
    <x v="6"/>
  </r>
  <r>
    <s v="ORD00412"/>
    <x v="19"/>
    <x v="2"/>
    <n v="35325.379999999997"/>
    <n v="2"/>
    <n v="70650.759999999995"/>
    <d v="2024-05-18T00:00:00"/>
    <x v="1"/>
    <x v="27"/>
    <s v="May"/>
    <x v="0"/>
    <n v="14130.152"/>
    <n v="26"/>
    <x v="1"/>
    <x v="1"/>
    <n v="70650.759999999995"/>
    <n v="0"/>
    <n v="0.2"/>
    <n v="35325.379999999997"/>
    <n v="7065.076"/>
    <n v="5"/>
    <s v="Q2"/>
    <s v="May-2024"/>
    <n v="18369.1976"/>
    <n v="52281.562399999995"/>
    <x v="2"/>
  </r>
  <r>
    <s v="ORD00413"/>
    <x v="5"/>
    <x v="4"/>
    <n v="45866.22"/>
    <n v="1"/>
    <n v="45866.22"/>
    <d v="2024-12-09T00:00:00"/>
    <x v="3"/>
    <x v="1"/>
    <s v="December"/>
    <x v="0"/>
    <n v="9173.2440000000006"/>
    <n v="20"/>
    <x v="0"/>
    <x v="1"/>
    <n v="45866.22"/>
    <n v="0"/>
    <n v="0.2"/>
    <n v="45866.22"/>
    <n v="9173.2440000000006"/>
    <n v="12"/>
    <s v="Q4"/>
    <s v="Dec-2024"/>
    <n v="9173.2440000000006"/>
    <n v="36692.976000000002"/>
    <x v="1"/>
  </r>
  <r>
    <s v="ORD00414"/>
    <x v="24"/>
    <x v="1"/>
    <n v="42975.360000000001"/>
    <n v="4"/>
    <n v="171901.44"/>
    <d v="2024-08-18T00:00:00"/>
    <x v="3"/>
    <x v="26"/>
    <s v="August"/>
    <x v="0"/>
    <n v="34380.288"/>
    <n v="11"/>
    <x v="2"/>
    <x v="0"/>
    <n v="171901.44"/>
    <n v="0"/>
    <n v="0.2"/>
    <n v="42975.360000000001"/>
    <n v="8595.0720000000001"/>
    <n v="8"/>
    <s v="Q3"/>
    <s v="Aug-2024"/>
    <n v="18909.1584"/>
    <n v="152992.28159999999"/>
    <x v="12"/>
  </r>
  <r>
    <s v="ORD00415"/>
    <x v="9"/>
    <x v="3"/>
    <n v="7532.86"/>
    <n v="5"/>
    <n v="37664.300000000003"/>
    <d v="2025-02-07T00:00:00"/>
    <x v="1"/>
    <x v="39"/>
    <s v="February"/>
    <x v="1"/>
    <n v="7532.8600000000006"/>
    <n v="14"/>
    <x v="0"/>
    <x v="1"/>
    <n v="37664.299999999996"/>
    <n v="0"/>
    <n v="0.2"/>
    <n v="7532.8600000000006"/>
    <n v="1506.5720000000001"/>
    <n v="2"/>
    <s v="Q1"/>
    <s v="Feb-2025"/>
    <n v="5273.0020000000004"/>
    <n v="32391.298000000003"/>
    <x v="8"/>
  </r>
  <r>
    <s v="ORD00416"/>
    <x v="2"/>
    <x v="2"/>
    <n v="39931.75"/>
    <n v="4"/>
    <n v="159727"/>
    <d v="2024-04-19T00:00:00"/>
    <x v="4"/>
    <x v="7"/>
    <s v="April"/>
    <x v="0"/>
    <n v="31945.4"/>
    <n v="27"/>
    <x v="2"/>
    <x v="3"/>
    <n v="159727"/>
    <n v="0"/>
    <n v="0.2"/>
    <n v="39931.75"/>
    <n v="7986.35"/>
    <n v="4"/>
    <s v="Q2"/>
    <s v="Apr-2024"/>
    <n v="43126.29"/>
    <n v="116600.70999999999"/>
    <x v="9"/>
  </r>
  <r>
    <s v="ORD00417"/>
    <x v="20"/>
    <x v="3"/>
    <n v="20760.439999999999"/>
    <n v="4"/>
    <n v="83041.759999999995"/>
    <d v="2024-03-10T00:00:00"/>
    <x v="3"/>
    <x v="7"/>
    <s v="March"/>
    <x v="0"/>
    <n v="16608.351999999999"/>
    <n v="30"/>
    <x v="0"/>
    <x v="0"/>
    <n v="83041.759999999995"/>
    <n v="0"/>
    <n v="0.2"/>
    <n v="20760.439999999999"/>
    <n v="4152.0879999999997"/>
    <n v="3"/>
    <s v="Q1"/>
    <s v="Mar-2024"/>
    <n v="24912.527999999998"/>
    <n v="58129.231999999996"/>
    <x v="7"/>
  </r>
  <r>
    <s v="ORD00418"/>
    <x v="15"/>
    <x v="1"/>
    <n v="29466.3"/>
    <n v="5"/>
    <n v="147331.5"/>
    <d v="2024-07-23T00:00:00"/>
    <x v="5"/>
    <x v="11"/>
    <s v="July"/>
    <x v="0"/>
    <n v="29466.300000000003"/>
    <n v="7"/>
    <x v="2"/>
    <x v="2"/>
    <n v="147331.5"/>
    <n v="0"/>
    <n v="0.2"/>
    <n v="29466.3"/>
    <n v="5893.26"/>
    <n v="7"/>
    <s v="Q3"/>
    <s v="Jul-2024"/>
    <n v="10313.205"/>
    <n v="137018.29500000001"/>
    <x v="5"/>
  </r>
  <r>
    <s v="ORD00419"/>
    <x v="2"/>
    <x v="2"/>
    <n v="756.85"/>
    <n v="3"/>
    <n v="2270.5500000000002"/>
    <d v="2024-11-04T00:00:00"/>
    <x v="1"/>
    <x v="38"/>
    <s v="November"/>
    <x v="0"/>
    <n v="454.11000000000007"/>
    <n v="22"/>
    <x v="0"/>
    <x v="2"/>
    <n v="2270.5500000000002"/>
    <n v="0"/>
    <n v="0.2"/>
    <n v="756.85"/>
    <n v="151.37000000000003"/>
    <n v="11"/>
    <s v="Q4"/>
    <s v="Nov-2024"/>
    <n v="499.52100000000007"/>
    <n v="1771.029"/>
    <x v="3"/>
  </r>
  <r>
    <s v="ORD00420"/>
    <x v="3"/>
    <x v="3"/>
    <n v="43711.45"/>
    <n v="4"/>
    <n v="174845.8"/>
    <d v="2024-06-27T00:00:00"/>
    <x v="2"/>
    <x v="16"/>
    <s v="June"/>
    <x v="0"/>
    <n v="34969.159999999996"/>
    <n v="29"/>
    <x v="2"/>
    <x v="3"/>
    <n v="174845.8"/>
    <n v="0"/>
    <n v="0.19999999999999998"/>
    <n v="43711.45"/>
    <n v="8742.2899999999991"/>
    <n v="6"/>
    <s v="Q2"/>
    <s v="Jun-2024"/>
    <n v="50705.281999999992"/>
    <n v="124140.518"/>
    <x v="11"/>
  </r>
  <r>
    <s v="ORD00421"/>
    <x v="13"/>
    <x v="0"/>
    <n v="1134.78"/>
    <n v="2"/>
    <n v="2269.56"/>
    <d v="2024-06-09T00:00:00"/>
    <x v="0"/>
    <x v="1"/>
    <s v="June"/>
    <x v="0"/>
    <n v="453.91200000000003"/>
    <n v="28"/>
    <x v="1"/>
    <x v="3"/>
    <n v="2269.56"/>
    <n v="0"/>
    <n v="0.2"/>
    <n v="1134.78"/>
    <n v="226.95600000000002"/>
    <n v="6"/>
    <s v="Q2"/>
    <s v="Jun-2024"/>
    <n v="635.47680000000003"/>
    <n v="1634.0832"/>
    <x v="11"/>
  </r>
  <r>
    <s v="ORD00422"/>
    <x v="23"/>
    <x v="4"/>
    <n v="6859"/>
    <n v="3"/>
    <n v="20577"/>
    <d v="2024-10-05T00:00:00"/>
    <x v="5"/>
    <x v="14"/>
    <s v="October"/>
    <x v="0"/>
    <n v="4115.4000000000015"/>
    <n v="17"/>
    <x v="1"/>
    <x v="0"/>
    <n v="20577"/>
    <n v="0"/>
    <n v="0.20000000000000007"/>
    <n v="6859"/>
    <n v="1371.8000000000004"/>
    <n v="10"/>
    <s v="Q4"/>
    <s v="Oct-2024"/>
    <n v="3498.09"/>
    <n v="17078.91"/>
    <x v="4"/>
  </r>
  <r>
    <s v="ORD00423"/>
    <x v="22"/>
    <x v="0"/>
    <n v="28818.74"/>
    <n v="3"/>
    <n v="86456.22"/>
    <d v="2024-06-27T00:00:00"/>
    <x v="0"/>
    <x v="23"/>
    <s v="June"/>
    <x v="0"/>
    <n v="17291.244000000002"/>
    <n v="30"/>
    <x v="2"/>
    <x v="2"/>
    <n v="86456.22"/>
    <n v="0"/>
    <n v="0.20000000000000004"/>
    <n v="28818.74"/>
    <n v="5763.7480000000005"/>
    <n v="6"/>
    <s v="Q2"/>
    <s v="Jun-2024"/>
    <n v="25936.866000000002"/>
    <n v="60519.353999999999"/>
    <x v="11"/>
  </r>
  <r>
    <s v="ORD00424"/>
    <x v="18"/>
    <x v="3"/>
    <n v="25233.95"/>
    <n v="4"/>
    <n v="100935.8"/>
    <d v="2024-10-25T00:00:00"/>
    <x v="3"/>
    <x v="27"/>
    <s v="October"/>
    <x v="0"/>
    <n v="20187.160000000003"/>
    <n v="11"/>
    <x v="0"/>
    <x v="2"/>
    <n v="100935.8"/>
    <n v="0"/>
    <n v="0.20000000000000004"/>
    <n v="25233.95"/>
    <n v="5046.7900000000009"/>
    <n v="10"/>
    <s v="Q4"/>
    <s v="Oct-2024"/>
    <n v="11102.938"/>
    <n v="89832.862000000008"/>
    <x v="4"/>
  </r>
  <r>
    <s v="ORD00425"/>
    <x v="0"/>
    <x v="0"/>
    <n v="28577.34"/>
    <n v="1"/>
    <n v="28577.34"/>
    <d v="2024-08-20T00:00:00"/>
    <x v="1"/>
    <x v="29"/>
    <s v="August"/>
    <x v="0"/>
    <n v="5715.4680000000008"/>
    <n v="29"/>
    <x v="2"/>
    <x v="2"/>
    <n v="28577.34"/>
    <n v="0"/>
    <n v="0.20000000000000004"/>
    <n v="28577.34"/>
    <n v="5715.4680000000008"/>
    <n v="8"/>
    <s v="Q3"/>
    <s v="Aug-2024"/>
    <n v="8287.4285999999993"/>
    <n v="20289.911400000001"/>
    <x v="12"/>
  </r>
  <r>
    <s v="ORD00426"/>
    <x v="16"/>
    <x v="4"/>
    <n v="7322.87"/>
    <n v="3"/>
    <n v="21968.61"/>
    <d v="2024-02-22T00:00:00"/>
    <x v="3"/>
    <x v="40"/>
    <s v="February"/>
    <x v="0"/>
    <n v="4393.7220000000007"/>
    <n v="8"/>
    <x v="0"/>
    <x v="2"/>
    <n v="21968.61"/>
    <n v="0"/>
    <n v="0.2"/>
    <n v="7322.87"/>
    <n v="1464.5740000000003"/>
    <n v="2"/>
    <s v="Q1"/>
    <s v="Feb-2024"/>
    <n v="1757.4888000000001"/>
    <n v="20211.121200000001"/>
    <x v="10"/>
  </r>
  <r>
    <s v="ORD00427"/>
    <x v="21"/>
    <x v="0"/>
    <n v="25144.48"/>
    <n v="4"/>
    <n v="100577.92"/>
    <d v="2024-05-05T00:00:00"/>
    <x v="5"/>
    <x v="11"/>
    <s v="May"/>
    <x v="0"/>
    <n v="20115.584000000003"/>
    <n v="17"/>
    <x v="1"/>
    <x v="2"/>
    <n v="100577.92"/>
    <n v="0"/>
    <n v="0.20000000000000004"/>
    <n v="25144.48"/>
    <n v="5028.8960000000006"/>
    <n v="5"/>
    <s v="Q2"/>
    <s v="May-2024"/>
    <n v="17098.2464"/>
    <n v="83479.673599999995"/>
    <x v="2"/>
  </r>
  <r>
    <s v="ORD00428"/>
    <x v="5"/>
    <x v="4"/>
    <n v="16289.17"/>
    <n v="5"/>
    <n v="81445.850000000006"/>
    <d v="2024-11-14T00:00:00"/>
    <x v="5"/>
    <x v="8"/>
    <s v="November"/>
    <x v="0"/>
    <n v="16289.170000000002"/>
    <n v="24"/>
    <x v="0"/>
    <x v="1"/>
    <n v="81445.850000000006"/>
    <n v="0"/>
    <n v="0.2"/>
    <n v="16289.170000000002"/>
    <n v="3257.8340000000003"/>
    <n v="11"/>
    <s v="Q4"/>
    <s v="Nov-2024"/>
    <n v="19547.004000000001"/>
    <n v="61898.846000000005"/>
    <x v="3"/>
  </r>
  <r>
    <s v="ORD00429"/>
    <x v="13"/>
    <x v="0"/>
    <n v="24973.13"/>
    <n v="3"/>
    <n v="74919.39"/>
    <d v="2024-12-08T00:00:00"/>
    <x v="0"/>
    <x v="3"/>
    <s v="December"/>
    <x v="0"/>
    <n v="14983.878000000001"/>
    <n v="5"/>
    <x v="1"/>
    <x v="3"/>
    <n v="74919.39"/>
    <n v="0"/>
    <n v="0.2"/>
    <n v="24973.13"/>
    <n v="4994.6260000000002"/>
    <n v="12"/>
    <s v="Q4"/>
    <s v="Dec-2024"/>
    <n v="3745.9695000000002"/>
    <n v="71173.420499999993"/>
    <x v="1"/>
  </r>
  <r>
    <s v="ORD00430"/>
    <x v="4"/>
    <x v="4"/>
    <n v="5804.38"/>
    <n v="2"/>
    <n v="11608.76"/>
    <d v="2024-05-16T00:00:00"/>
    <x v="3"/>
    <x v="21"/>
    <s v="May"/>
    <x v="0"/>
    <n v="2321.752"/>
    <n v="12"/>
    <x v="0"/>
    <x v="1"/>
    <n v="11608.76"/>
    <n v="0"/>
    <n v="0.19999999999999998"/>
    <n v="5804.38"/>
    <n v="1160.876"/>
    <n v="5"/>
    <s v="Q2"/>
    <s v="May-2024"/>
    <n v="1393.0511999999999"/>
    <n v="10215.7088"/>
    <x v="2"/>
  </r>
  <r>
    <s v="ORD00431"/>
    <x v="1"/>
    <x v="1"/>
    <n v="43502.85"/>
    <n v="1"/>
    <n v="43502.85"/>
    <d v="2024-03-13T00:00:00"/>
    <x v="5"/>
    <x v="24"/>
    <s v="March"/>
    <x v="0"/>
    <n v="8700.57"/>
    <n v="18"/>
    <x v="0"/>
    <x v="2"/>
    <n v="43502.85"/>
    <n v="0"/>
    <n v="0.2"/>
    <n v="43502.85"/>
    <n v="8700.57"/>
    <n v="3"/>
    <s v="Q1"/>
    <s v="Mar-2024"/>
    <n v="7830.512999999999"/>
    <n v="35672.337"/>
    <x v="7"/>
  </r>
  <r>
    <s v="ORD00432"/>
    <x v="12"/>
    <x v="3"/>
    <n v="46770.01"/>
    <n v="5"/>
    <n v="233850.05"/>
    <d v="2024-04-10T00:00:00"/>
    <x v="5"/>
    <x v="36"/>
    <s v="April"/>
    <x v="0"/>
    <n v="46770.01"/>
    <n v="20"/>
    <x v="0"/>
    <x v="0"/>
    <n v="233850.05000000002"/>
    <n v="0"/>
    <n v="0.2"/>
    <n v="46770.009999999995"/>
    <n v="9354.0020000000004"/>
    <n v="4"/>
    <s v="Q2"/>
    <s v="Apr-2024"/>
    <n v="46770.01"/>
    <n v="187080.03999999998"/>
    <x v="9"/>
  </r>
  <r>
    <s v="ORD00433"/>
    <x v="18"/>
    <x v="3"/>
    <n v="38160.980000000003"/>
    <n v="2"/>
    <n v="76321.960000000006"/>
    <d v="2024-03-31T00:00:00"/>
    <x v="0"/>
    <x v="9"/>
    <s v="March"/>
    <x v="0"/>
    <n v="15264.392000000002"/>
    <n v="18"/>
    <x v="2"/>
    <x v="0"/>
    <n v="76321.960000000006"/>
    <n v="0"/>
    <n v="0.2"/>
    <n v="38160.980000000003"/>
    <n v="7632.1960000000008"/>
    <n v="3"/>
    <s v="Q1"/>
    <s v="Mar-2024"/>
    <n v="13737.952800000001"/>
    <n v="62584.007200000007"/>
    <x v="7"/>
  </r>
  <r>
    <s v="ORD00434"/>
    <x v="20"/>
    <x v="3"/>
    <n v="14797.27"/>
    <n v="2"/>
    <n v="29594.54"/>
    <d v="2025-01-25T00:00:00"/>
    <x v="1"/>
    <x v="20"/>
    <s v="January"/>
    <x v="1"/>
    <n v="5918.9080000000004"/>
    <n v="16"/>
    <x v="2"/>
    <x v="2"/>
    <n v="29594.54"/>
    <n v="0"/>
    <n v="0.2"/>
    <n v="14797.27"/>
    <n v="2959.4540000000002"/>
    <n v="1"/>
    <s v="Q1"/>
    <s v="Jan-2025"/>
    <n v="4735.1264000000001"/>
    <n v="24859.4136"/>
    <x v="6"/>
  </r>
  <r>
    <s v="ORD00435"/>
    <x v="19"/>
    <x v="2"/>
    <n v="16951.57"/>
    <n v="5"/>
    <n v="84757.85"/>
    <d v="2024-03-28T00:00:00"/>
    <x v="2"/>
    <x v="6"/>
    <s v="March"/>
    <x v="0"/>
    <n v="16951.570000000003"/>
    <n v="23"/>
    <x v="1"/>
    <x v="2"/>
    <n v="84757.85"/>
    <n v="0"/>
    <n v="0.20000000000000004"/>
    <n v="16951.57"/>
    <n v="3390.3140000000008"/>
    <n v="3"/>
    <s v="Q1"/>
    <s v="Mar-2024"/>
    <n v="19494.305500000002"/>
    <n v="65263.544500000004"/>
    <x v="7"/>
  </r>
  <r>
    <s v="ORD00436"/>
    <x v="12"/>
    <x v="3"/>
    <n v="20087.650000000001"/>
    <n v="2"/>
    <n v="40175.300000000003"/>
    <d v="2024-10-27T00:00:00"/>
    <x v="2"/>
    <x v="29"/>
    <s v="October"/>
    <x v="0"/>
    <n v="8035.0600000000013"/>
    <n v="27"/>
    <x v="1"/>
    <x v="0"/>
    <n v="40175.300000000003"/>
    <n v="0"/>
    <n v="0.2"/>
    <n v="20087.650000000001"/>
    <n v="4017.5300000000007"/>
    <n v="10"/>
    <s v="Q4"/>
    <s v="Oct-2024"/>
    <n v="10847.331"/>
    <n v="29327.969000000005"/>
    <x v="4"/>
  </r>
  <r>
    <s v="ORD00437"/>
    <x v="2"/>
    <x v="2"/>
    <n v="45544.54"/>
    <n v="4"/>
    <n v="182178.16"/>
    <d v="2024-04-23T00:00:00"/>
    <x v="3"/>
    <x v="32"/>
    <s v="April"/>
    <x v="0"/>
    <n v="36435.632000000005"/>
    <n v="19"/>
    <x v="2"/>
    <x v="1"/>
    <n v="182178.16"/>
    <n v="0"/>
    <n v="0.2"/>
    <n v="45544.54"/>
    <n v="9108.9080000000013"/>
    <n v="4"/>
    <s v="Q2"/>
    <s v="Apr-2024"/>
    <n v="34613.850400000003"/>
    <n v="147564.30960000001"/>
    <x v="9"/>
  </r>
  <r>
    <s v="ORD00438"/>
    <x v="19"/>
    <x v="2"/>
    <n v="4986.8999999999996"/>
    <n v="1"/>
    <n v="4986.8999999999996"/>
    <d v="2024-12-23T00:00:00"/>
    <x v="3"/>
    <x v="2"/>
    <s v="December"/>
    <x v="0"/>
    <n v="997.38"/>
    <n v="6"/>
    <x v="1"/>
    <x v="1"/>
    <n v="4986.8999999999996"/>
    <n v="0"/>
    <n v="0.2"/>
    <n v="4986.8999999999996"/>
    <n v="997.38"/>
    <n v="12"/>
    <s v="Q4"/>
    <s v="Dec-2024"/>
    <n v="299.214"/>
    <n v="4687.6859999999997"/>
    <x v="1"/>
  </r>
  <r>
    <s v="ORD00439"/>
    <x v="16"/>
    <x v="4"/>
    <n v="37890.559999999998"/>
    <n v="1"/>
    <n v="37890.559999999998"/>
    <d v="2024-06-30T00:00:00"/>
    <x v="3"/>
    <x v="7"/>
    <s v="June"/>
    <x v="0"/>
    <n v="7578.1120000000001"/>
    <n v="6"/>
    <x v="2"/>
    <x v="2"/>
    <n v="37890.559999999998"/>
    <n v="0"/>
    <n v="0.2"/>
    <n v="37890.559999999998"/>
    <n v="7578.1120000000001"/>
    <n v="6"/>
    <s v="Q2"/>
    <s v="Jun-2024"/>
    <n v="2273.4335999999998"/>
    <n v="35617.126400000001"/>
    <x v="11"/>
  </r>
  <r>
    <s v="ORD00440"/>
    <x v="9"/>
    <x v="3"/>
    <n v="26947.54"/>
    <n v="2"/>
    <n v="53895.08"/>
    <d v="2024-06-05T00:00:00"/>
    <x v="5"/>
    <x v="27"/>
    <s v="June"/>
    <x v="0"/>
    <n v="10779.016000000001"/>
    <n v="27"/>
    <x v="0"/>
    <x v="1"/>
    <n v="53895.08"/>
    <n v="0"/>
    <n v="0.2"/>
    <n v="26947.54"/>
    <n v="5389.5080000000007"/>
    <n v="6"/>
    <s v="Q2"/>
    <s v="Jun-2024"/>
    <n v="14551.671600000001"/>
    <n v="39343.4084"/>
    <x v="11"/>
  </r>
  <r>
    <s v="ORD00441"/>
    <x v="20"/>
    <x v="3"/>
    <n v="16929.740000000002"/>
    <n v="3"/>
    <n v="50789.22"/>
    <d v="2024-03-17T00:00:00"/>
    <x v="2"/>
    <x v="39"/>
    <s v="March"/>
    <x v="0"/>
    <n v="10157.844000000001"/>
    <n v="26"/>
    <x v="1"/>
    <x v="0"/>
    <n v="50789.22"/>
    <n v="0"/>
    <n v="0.2"/>
    <n v="16929.740000000002"/>
    <n v="3385.9480000000003"/>
    <n v="3"/>
    <s v="Q1"/>
    <s v="Mar-2024"/>
    <n v="13205.197200000001"/>
    <n v="37584.022799999999"/>
    <x v="7"/>
  </r>
  <r>
    <s v="ORD00442"/>
    <x v="12"/>
    <x v="3"/>
    <n v="30310.92"/>
    <n v="3"/>
    <n v="90932.76"/>
    <d v="2024-04-20T00:00:00"/>
    <x v="1"/>
    <x v="0"/>
    <s v="April"/>
    <x v="0"/>
    <n v="18186.552"/>
    <n v="23"/>
    <x v="1"/>
    <x v="1"/>
    <n v="90932.76"/>
    <n v="0"/>
    <n v="0.2"/>
    <n v="30310.92"/>
    <n v="6062.1840000000002"/>
    <n v="4"/>
    <s v="Q2"/>
    <s v="Apr-2024"/>
    <n v="20914.534800000001"/>
    <n v="70018.225199999986"/>
    <x v="9"/>
  </r>
  <r>
    <s v="ORD00443"/>
    <x v="0"/>
    <x v="0"/>
    <n v="33643.5"/>
    <n v="5"/>
    <n v="168217.5"/>
    <d v="2024-06-16T00:00:00"/>
    <x v="1"/>
    <x v="24"/>
    <s v="June"/>
    <x v="0"/>
    <n v="33643.5"/>
    <n v="29"/>
    <x v="2"/>
    <x v="2"/>
    <n v="168217.5"/>
    <n v="0"/>
    <n v="0.2"/>
    <n v="33643.5"/>
    <n v="6728.7"/>
    <n v="6"/>
    <s v="Q2"/>
    <s v="Jun-2024"/>
    <n v="48783.074999999997"/>
    <n v="119434.425"/>
    <x v="11"/>
  </r>
  <r>
    <s v="ORD00444"/>
    <x v="14"/>
    <x v="0"/>
    <n v="27847.81"/>
    <n v="3"/>
    <n v="83543.429999999993"/>
    <d v="2024-09-16T00:00:00"/>
    <x v="5"/>
    <x v="17"/>
    <s v="September"/>
    <x v="0"/>
    <n v="16708.685999999998"/>
    <n v="30"/>
    <x v="1"/>
    <x v="0"/>
    <n v="83543.430000000008"/>
    <n v="0"/>
    <n v="0.19999999999999998"/>
    <n v="27847.809999999998"/>
    <n v="5569.561999999999"/>
    <n v="9"/>
    <s v="Q3"/>
    <s v="Sep-2024"/>
    <n v="25063.028999999999"/>
    <n v="58480.400999999998"/>
    <x v="0"/>
  </r>
  <r>
    <s v="ORD00445"/>
    <x v="0"/>
    <x v="0"/>
    <n v="19055.03"/>
    <n v="3"/>
    <n v="57165.09"/>
    <d v="2024-08-25T00:00:00"/>
    <x v="4"/>
    <x v="17"/>
    <s v="August"/>
    <x v="0"/>
    <n v="11433.018"/>
    <n v="26"/>
    <x v="1"/>
    <x v="1"/>
    <n v="57165.09"/>
    <n v="0"/>
    <n v="0.2"/>
    <n v="19055.03"/>
    <n v="3811.0059999999999"/>
    <n v="8"/>
    <s v="Q3"/>
    <s v="Aug-2024"/>
    <n v="14862.923399999998"/>
    <n v="42302.166599999997"/>
    <x v="12"/>
  </r>
  <r>
    <s v="ORD00446"/>
    <x v="22"/>
    <x v="0"/>
    <n v="24012.7"/>
    <n v="1"/>
    <n v="24012.7"/>
    <d v="2024-11-26T00:00:00"/>
    <x v="4"/>
    <x v="38"/>
    <s v="November"/>
    <x v="0"/>
    <n v="4802.54"/>
    <n v="30"/>
    <x v="0"/>
    <x v="3"/>
    <n v="24012.7"/>
    <n v="0"/>
    <n v="0.19999999999999998"/>
    <n v="24012.7"/>
    <n v="4802.54"/>
    <n v="11"/>
    <s v="Q4"/>
    <s v="Nov-2024"/>
    <n v="7203.81"/>
    <n v="16808.89"/>
    <x v="3"/>
  </r>
  <r>
    <s v="ORD00447"/>
    <x v="6"/>
    <x v="1"/>
    <n v="8182.19"/>
    <n v="2"/>
    <n v="16364.38"/>
    <d v="2024-08-04T00:00:00"/>
    <x v="3"/>
    <x v="24"/>
    <s v="August"/>
    <x v="0"/>
    <n v="3272.8760000000002"/>
    <n v="30"/>
    <x v="1"/>
    <x v="0"/>
    <n v="16364.38"/>
    <n v="0"/>
    <n v="0.2"/>
    <n v="8182.19"/>
    <n v="1636.4380000000001"/>
    <n v="8"/>
    <s v="Q3"/>
    <s v="Aug-2024"/>
    <n v="4909.3139999999994"/>
    <n v="11455.065999999999"/>
    <x v="12"/>
  </r>
  <r>
    <s v="ORD00448"/>
    <x v="17"/>
    <x v="2"/>
    <n v="35810.629999999997"/>
    <n v="4"/>
    <n v="143242.51999999999"/>
    <d v="2024-04-06T00:00:00"/>
    <x v="1"/>
    <x v="12"/>
    <s v="April"/>
    <x v="0"/>
    <n v="28648.504000000001"/>
    <n v="26"/>
    <x v="0"/>
    <x v="0"/>
    <n v="143242.51999999999"/>
    <n v="0"/>
    <n v="0.2"/>
    <n v="35810.629999999997"/>
    <n v="7162.1260000000002"/>
    <n v="4"/>
    <s v="Q2"/>
    <s v="Apr-2024"/>
    <n v="37243.055199999995"/>
    <n v="105999.46479999999"/>
    <x v="9"/>
  </r>
  <r>
    <s v="ORD00449"/>
    <x v="15"/>
    <x v="1"/>
    <n v="23433.86"/>
    <n v="1"/>
    <n v="23433.86"/>
    <d v="2024-08-17T00:00:00"/>
    <x v="3"/>
    <x v="28"/>
    <s v="August"/>
    <x v="0"/>
    <n v="4686.7719999999999"/>
    <n v="21"/>
    <x v="2"/>
    <x v="3"/>
    <n v="23433.86"/>
    <n v="0"/>
    <n v="0.19999999999999998"/>
    <n v="23433.86"/>
    <n v="4686.7719999999999"/>
    <n v="8"/>
    <s v="Q3"/>
    <s v="Aug-2024"/>
    <n v="4921.1106"/>
    <n v="18512.749400000001"/>
    <x v="12"/>
  </r>
  <r>
    <s v="ORD00450"/>
    <x v="9"/>
    <x v="3"/>
    <n v="42946.11"/>
    <n v="4"/>
    <n v="171784.44"/>
    <d v="2024-08-31T00:00:00"/>
    <x v="1"/>
    <x v="3"/>
    <s v="August"/>
    <x v="0"/>
    <n v="34356.887999999999"/>
    <n v="24"/>
    <x v="1"/>
    <x v="3"/>
    <n v="171784.44"/>
    <n v="0"/>
    <n v="0.19999999999999998"/>
    <n v="42946.11"/>
    <n v="8589.2219999999998"/>
    <n v="8"/>
    <s v="Q3"/>
    <s v="Aug-2024"/>
    <n v="41228.265599999999"/>
    <n v="130556.1744"/>
    <x v="12"/>
  </r>
  <r>
    <s v="ORD00451"/>
    <x v="6"/>
    <x v="1"/>
    <n v="3995.44"/>
    <n v="4"/>
    <n v="15981.76"/>
    <d v="2024-05-26T00:00:00"/>
    <x v="0"/>
    <x v="9"/>
    <s v="May"/>
    <x v="0"/>
    <n v="3196.3520000000003"/>
    <n v="14"/>
    <x v="0"/>
    <x v="0"/>
    <n v="15981.76"/>
    <n v="0"/>
    <n v="0.2"/>
    <n v="3995.44"/>
    <n v="799.08800000000008"/>
    <n v="5"/>
    <s v="Q2"/>
    <s v="May-2024"/>
    <n v="2237.4464000000003"/>
    <n v="13744.313599999999"/>
    <x v="2"/>
  </r>
  <r>
    <s v="ORD00452"/>
    <x v="2"/>
    <x v="2"/>
    <n v="38728.75"/>
    <n v="1"/>
    <n v="38728.75"/>
    <d v="2024-10-05T00:00:00"/>
    <x v="2"/>
    <x v="9"/>
    <s v="October"/>
    <x v="0"/>
    <n v="7745.75"/>
    <n v="10"/>
    <x v="2"/>
    <x v="3"/>
    <n v="38728.75"/>
    <n v="0"/>
    <n v="0.2"/>
    <n v="38728.75"/>
    <n v="7745.75"/>
    <n v="10"/>
    <s v="Q4"/>
    <s v="Oct-2024"/>
    <n v="3872.875"/>
    <n v="34855.875"/>
    <x v="4"/>
  </r>
  <r>
    <s v="ORD00453"/>
    <x v="8"/>
    <x v="1"/>
    <n v="46205.47"/>
    <n v="3"/>
    <n v="138616.41"/>
    <d v="2024-09-07T00:00:00"/>
    <x v="4"/>
    <x v="29"/>
    <s v="September"/>
    <x v="0"/>
    <n v="27723.282000000003"/>
    <n v="19"/>
    <x v="1"/>
    <x v="2"/>
    <n v="138616.41"/>
    <n v="0"/>
    <n v="0.2"/>
    <n v="46205.47"/>
    <n v="9241.094000000001"/>
    <n v="9"/>
    <s v="Q3"/>
    <s v="Sep-2024"/>
    <n v="26337.117900000001"/>
    <n v="112279.29210000001"/>
    <x v="0"/>
  </r>
  <r>
    <s v="ORD00454"/>
    <x v="1"/>
    <x v="1"/>
    <n v="7631.48"/>
    <n v="3"/>
    <n v="22894.44"/>
    <d v="2024-07-18T00:00:00"/>
    <x v="0"/>
    <x v="32"/>
    <s v="July"/>
    <x v="0"/>
    <n v="4578.8879999999999"/>
    <n v="26"/>
    <x v="2"/>
    <x v="2"/>
    <n v="22894.44"/>
    <n v="0"/>
    <n v="0.2"/>
    <n v="7631.48"/>
    <n v="1526.296"/>
    <n v="7"/>
    <s v="Q3"/>
    <s v="Jul-2024"/>
    <n v="5952.5543999999991"/>
    <n v="16941.885600000001"/>
    <x v="5"/>
  </r>
  <r>
    <s v="ORD00455"/>
    <x v="13"/>
    <x v="0"/>
    <n v="4581.7299999999996"/>
    <n v="4"/>
    <n v="18326.919999999998"/>
    <d v="2024-05-24T00:00:00"/>
    <x v="4"/>
    <x v="20"/>
    <s v="May"/>
    <x v="0"/>
    <n v="3665.384"/>
    <n v="15"/>
    <x v="1"/>
    <x v="2"/>
    <n v="18326.919999999998"/>
    <n v="0"/>
    <n v="0.2"/>
    <n v="4581.7299999999996"/>
    <n v="916.346"/>
    <n v="5"/>
    <s v="Q2"/>
    <s v="May-2024"/>
    <n v="2749.038"/>
    <n v="15577.881999999998"/>
    <x v="2"/>
  </r>
  <r>
    <s v="ORD00456"/>
    <x v="9"/>
    <x v="3"/>
    <n v="9761.64"/>
    <n v="3"/>
    <n v="29284.92"/>
    <d v="2024-08-27T00:00:00"/>
    <x v="2"/>
    <x v="15"/>
    <s v="August"/>
    <x v="0"/>
    <n v="5856.9840000000004"/>
    <n v="9"/>
    <x v="2"/>
    <x v="0"/>
    <n v="29284.92"/>
    <n v="0"/>
    <n v="0.2"/>
    <n v="9761.64"/>
    <n v="1952.3280000000002"/>
    <n v="8"/>
    <s v="Q3"/>
    <s v="Aug-2024"/>
    <n v="2635.6427999999996"/>
    <n v="26649.277199999997"/>
    <x v="12"/>
  </r>
  <r>
    <s v="ORD00457"/>
    <x v="17"/>
    <x v="2"/>
    <n v="1582.84"/>
    <n v="3"/>
    <n v="4748.5200000000004"/>
    <d v="2024-09-10T00:00:00"/>
    <x v="0"/>
    <x v="36"/>
    <s v="September"/>
    <x v="0"/>
    <n v="949.70400000000018"/>
    <n v="5"/>
    <x v="2"/>
    <x v="3"/>
    <n v="4748.5199999999995"/>
    <n v="0"/>
    <n v="0.2"/>
    <n v="1582.8400000000001"/>
    <n v="316.56800000000004"/>
    <n v="9"/>
    <s v="Q3"/>
    <s v="Sep-2024"/>
    <n v="237.42600000000002"/>
    <n v="4511.0940000000001"/>
    <x v="0"/>
  </r>
  <r>
    <s v="ORD00458"/>
    <x v="18"/>
    <x v="3"/>
    <n v="8902.26"/>
    <n v="5"/>
    <n v="44511.3"/>
    <d v="2025-01-08T00:00:00"/>
    <x v="0"/>
    <x v="7"/>
    <s v="January"/>
    <x v="1"/>
    <n v="8902.26"/>
    <n v="12"/>
    <x v="0"/>
    <x v="3"/>
    <n v="44511.3"/>
    <n v="0"/>
    <n v="0.19999999999999998"/>
    <n v="8902.26"/>
    <n v="1780.452"/>
    <n v="1"/>
    <s v="Q1"/>
    <s v="Jan-2025"/>
    <n v="5341.3560000000007"/>
    <n v="39169.944000000003"/>
    <x v="6"/>
  </r>
  <r>
    <s v="ORD00459"/>
    <x v="23"/>
    <x v="4"/>
    <n v="1549.63"/>
    <n v="1"/>
    <n v="1549.63"/>
    <d v="2024-11-27T00:00:00"/>
    <x v="3"/>
    <x v="32"/>
    <s v="November"/>
    <x v="0"/>
    <n v="309.92600000000004"/>
    <n v="25"/>
    <x v="2"/>
    <x v="1"/>
    <n v="1549.63"/>
    <n v="0"/>
    <n v="0.2"/>
    <n v="1549.63"/>
    <n v="309.92600000000004"/>
    <n v="11"/>
    <s v="Q4"/>
    <s v="Nov-2024"/>
    <n v="387.40750000000003"/>
    <n v="1162.2225000000001"/>
    <x v="3"/>
  </r>
  <r>
    <s v="ORD00460"/>
    <x v="0"/>
    <x v="0"/>
    <n v="23520.5"/>
    <n v="5"/>
    <n v="117602.5"/>
    <d v="2024-04-26T00:00:00"/>
    <x v="0"/>
    <x v="12"/>
    <s v="April"/>
    <x v="0"/>
    <n v="23520.5"/>
    <n v="16"/>
    <x v="1"/>
    <x v="1"/>
    <n v="117602.5"/>
    <n v="0"/>
    <n v="0.2"/>
    <n v="23520.5"/>
    <n v="4704.1000000000004"/>
    <n v="4"/>
    <s v="Q2"/>
    <s v="Apr-2024"/>
    <n v="18816.400000000001"/>
    <n v="98786.1"/>
    <x v="9"/>
  </r>
  <r>
    <s v="ORD00461"/>
    <x v="2"/>
    <x v="2"/>
    <n v="18729.61"/>
    <n v="1"/>
    <n v="18729.61"/>
    <d v="2024-04-03T00:00:00"/>
    <x v="3"/>
    <x v="34"/>
    <s v="April"/>
    <x v="0"/>
    <n v="3745.9220000000005"/>
    <n v="16"/>
    <x v="1"/>
    <x v="3"/>
    <n v="18729.61"/>
    <n v="0"/>
    <n v="0.2"/>
    <n v="18729.61"/>
    <n v="3745.9220000000005"/>
    <n v="4"/>
    <s v="Q2"/>
    <s v="Apr-2024"/>
    <n v="2996.7375999999999"/>
    <n v="15732.8724"/>
    <x v="9"/>
  </r>
  <r>
    <s v="ORD00462"/>
    <x v="22"/>
    <x v="0"/>
    <n v="18085.73"/>
    <n v="3"/>
    <n v="54257.19"/>
    <d v="2024-07-12T00:00:00"/>
    <x v="5"/>
    <x v="27"/>
    <s v="July"/>
    <x v="0"/>
    <n v="10851.438000000002"/>
    <n v="9"/>
    <x v="0"/>
    <x v="3"/>
    <n v="54257.19"/>
    <n v="0"/>
    <n v="0.20000000000000004"/>
    <n v="18085.73"/>
    <n v="3617.1460000000006"/>
    <n v="7"/>
    <s v="Q3"/>
    <s v="Jul-2024"/>
    <n v="4883.1471000000001"/>
    <n v="49374.0429"/>
    <x v="5"/>
  </r>
  <r>
    <s v="ORD00463"/>
    <x v="11"/>
    <x v="2"/>
    <n v="29844.59"/>
    <n v="3"/>
    <n v="89533.77"/>
    <d v="2024-06-28T00:00:00"/>
    <x v="4"/>
    <x v="1"/>
    <s v="June"/>
    <x v="0"/>
    <n v="17906.754000000001"/>
    <n v="11"/>
    <x v="1"/>
    <x v="3"/>
    <n v="89533.77"/>
    <n v="0"/>
    <n v="0.2"/>
    <n v="29844.59"/>
    <n v="5968.9180000000006"/>
    <n v="6"/>
    <s v="Q2"/>
    <s v="Jun-2024"/>
    <n v="9848.7147000000004"/>
    <n v="79685.055300000007"/>
    <x v="11"/>
  </r>
  <r>
    <s v="ORD00464"/>
    <x v="9"/>
    <x v="3"/>
    <n v="12964.52"/>
    <n v="2"/>
    <n v="25929.040000000001"/>
    <d v="2024-11-23T00:00:00"/>
    <x v="2"/>
    <x v="29"/>
    <s v="November"/>
    <x v="0"/>
    <n v="5185.8080000000009"/>
    <n v="8"/>
    <x v="1"/>
    <x v="0"/>
    <n v="25929.040000000001"/>
    <n v="0"/>
    <n v="0.20000000000000004"/>
    <n v="12964.52"/>
    <n v="2592.9040000000005"/>
    <n v="11"/>
    <s v="Q4"/>
    <s v="Nov-2024"/>
    <n v="2074.3232000000003"/>
    <n v="23854.716800000002"/>
    <x v="3"/>
  </r>
  <r>
    <s v="ORD00465"/>
    <x v="9"/>
    <x v="3"/>
    <n v="43431.64"/>
    <n v="5"/>
    <n v="217158.2"/>
    <d v="2024-06-20T00:00:00"/>
    <x v="4"/>
    <x v="2"/>
    <s v="June"/>
    <x v="0"/>
    <n v="43431.640000000007"/>
    <n v="10"/>
    <x v="1"/>
    <x v="3"/>
    <n v="217158.2"/>
    <n v="0"/>
    <n v="0.2"/>
    <n v="43431.64"/>
    <n v="8686.3280000000013"/>
    <n v="6"/>
    <s v="Q2"/>
    <s v="Jun-2024"/>
    <n v="21715.82"/>
    <n v="195442.38"/>
    <x v="11"/>
  </r>
  <r>
    <s v="ORD00466"/>
    <x v="3"/>
    <x v="3"/>
    <n v="31005.06"/>
    <n v="4"/>
    <n v="124020.24"/>
    <d v="2024-07-22T00:00:00"/>
    <x v="5"/>
    <x v="9"/>
    <s v="July"/>
    <x v="0"/>
    <n v="24804.048000000003"/>
    <n v="17"/>
    <x v="2"/>
    <x v="1"/>
    <n v="124020.24"/>
    <n v="0"/>
    <n v="0.2"/>
    <n v="31005.06"/>
    <n v="6201.0120000000006"/>
    <n v="7"/>
    <s v="Q3"/>
    <s v="Jul-2024"/>
    <n v="21083.4408"/>
    <n v="102936.79920000001"/>
    <x v="5"/>
  </r>
  <r>
    <s v="ORD00467"/>
    <x v="2"/>
    <x v="2"/>
    <n v="16010.24"/>
    <n v="3"/>
    <n v="48030.720000000001"/>
    <d v="2024-11-21T00:00:00"/>
    <x v="5"/>
    <x v="14"/>
    <s v="November"/>
    <x v="0"/>
    <n v="9606.1440000000002"/>
    <n v="24"/>
    <x v="2"/>
    <x v="0"/>
    <n v="48030.720000000001"/>
    <n v="0"/>
    <n v="0.2"/>
    <n v="16010.24"/>
    <n v="3202.0480000000002"/>
    <n v="11"/>
    <s v="Q4"/>
    <s v="Nov-2024"/>
    <n v="11527.372800000001"/>
    <n v="36503.347200000004"/>
    <x v="3"/>
  </r>
  <r>
    <s v="ORD00468"/>
    <x v="20"/>
    <x v="3"/>
    <n v="18451.91"/>
    <n v="5"/>
    <n v="92259.55"/>
    <d v="2024-09-12T00:00:00"/>
    <x v="1"/>
    <x v="35"/>
    <s v="September"/>
    <x v="0"/>
    <n v="18451.91"/>
    <n v="19"/>
    <x v="1"/>
    <x v="3"/>
    <n v="92259.55"/>
    <n v="0"/>
    <n v="0.19999999999999998"/>
    <n v="18451.91"/>
    <n v="3690.3820000000001"/>
    <n v="9"/>
    <s v="Q3"/>
    <s v="Sep-2024"/>
    <n v="17529.3145"/>
    <n v="74730.23550000001"/>
    <x v="0"/>
  </r>
  <r>
    <s v="ORD00469"/>
    <x v="3"/>
    <x v="3"/>
    <n v="31793.09"/>
    <n v="4"/>
    <n v="127172.36"/>
    <d v="2024-02-19T00:00:00"/>
    <x v="3"/>
    <x v="38"/>
    <s v="February"/>
    <x v="0"/>
    <n v="25434.472000000002"/>
    <n v="7"/>
    <x v="0"/>
    <x v="1"/>
    <n v="127172.36"/>
    <n v="0"/>
    <n v="0.2"/>
    <n v="31793.09"/>
    <n v="6358.6180000000004"/>
    <n v="2"/>
    <s v="Q1"/>
    <s v="Feb-2024"/>
    <n v="8902.0652000000009"/>
    <n v="118270.2948"/>
    <x v="10"/>
  </r>
  <r>
    <s v="ORD00470"/>
    <x v="15"/>
    <x v="1"/>
    <n v="36666.620000000003"/>
    <n v="4"/>
    <n v="146666.48000000001"/>
    <d v="2024-09-28T00:00:00"/>
    <x v="5"/>
    <x v="37"/>
    <s v="September"/>
    <x v="0"/>
    <n v="29333.296000000002"/>
    <n v="27"/>
    <x v="2"/>
    <x v="0"/>
    <n v="146666.48000000001"/>
    <n v="0"/>
    <n v="0.2"/>
    <n v="36666.620000000003"/>
    <n v="7333.3240000000005"/>
    <n v="9"/>
    <s v="Q3"/>
    <s v="Sep-2024"/>
    <n v="39599.949600000007"/>
    <n v="107066.5304"/>
    <x v="0"/>
  </r>
  <r>
    <s v="ORD00471"/>
    <x v="12"/>
    <x v="3"/>
    <n v="38681.26"/>
    <n v="1"/>
    <n v="38681.26"/>
    <d v="2024-07-17T00:00:00"/>
    <x v="3"/>
    <x v="6"/>
    <s v="July"/>
    <x v="0"/>
    <n v="7736.2520000000004"/>
    <n v="12"/>
    <x v="0"/>
    <x v="3"/>
    <n v="38681.26"/>
    <n v="0"/>
    <n v="0.2"/>
    <n v="38681.26"/>
    <n v="7736.2520000000004"/>
    <n v="7"/>
    <s v="Q3"/>
    <s v="Jul-2024"/>
    <n v="4641.7511999999997"/>
    <n v="34039.508800000003"/>
    <x v="5"/>
  </r>
  <r>
    <s v="ORD00472"/>
    <x v="4"/>
    <x v="4"/>
    <n v="29493.06"/>
    <n v="3"/>
    <n v="88479.18"/>
    <d v="2024-07-24T00:00:00"/>
    <x v="4"/>
    <x v="24"/>
    <s v="July"/>
    <x v="0"/>
    <n v="17695.835999999999"/>
    <n v="24"/>
    <x v="1"/>
    <x v="3"/>
    <n v="88479.180000000008"/>
    <n v="0"/>
    <n v="0.2"/>
    <n v="29493.059999999998"/>
    <n v="5898.6120000000001"/>
    <n v="7"/>
    <s v="Q3"/>
    <s v="Jul-2024"/>
    <n v="21235.003199999999"/>
    <n v="67244.176799999987"/>
    <x v="5"/>
  </r>
  <r>
    <s v="ORD00473"/>
    <x v="16"/>
    <x v="4"/>
    <n v="30009.200000000001"/>
    <n v="2"/>
    <n v="60018.400000000001"/>
    <d v="2024-06-13T00:00:00"/>
    <x v="0"/>
    <x v="32"/>
    <s v="June"/>
    <x v="0"/>
    <n v="12003.68"/>
    <n v="20"/>
    <x v="1"/>
    <x v="3"/>
    <n v="60018.400000000001"/>
    <n v="0"/>
    <n v="0.2"/>
    <n v="30009.200000000001"/>
    <n v="6001.84"/>
    <n v="6"/>
    <s v="Q2"/>
    <s v="Jun-2024"/>
    <n v="12003.68"/>
    <n v="48014.720000000001"/>
    <x v="11"/>
  </r>
  <r>
    <s v="ORD00474"/>
    <x v="15"/>
    <x v="1"/>
    <n v="23089.32"/>
    <n v="2"/>
    <n v="46178.64"/>
    <d v="2024-09-29T00:00:00"/>
    <x v="5"/>
    <x v="4"/>
    <s v="September"/>
    <x v="0"/>
    <n v="9235.728000000001"/>
    <n v="17"/>
    <x v="2"/>
    <x v="0"/>
    <n v="46178.64"/>
    <n v="0"/>
    <n v="0.2"/>
    <n v="23089.32"/>
    <n v="4617.8640000000005"/>
    <n v="9"/>
    <s v="Q3"/>
    <s v="Sep-2024"/>
    <n v="7850.3688000000002"/>
    <n v="38328.271200000003"/>
    <x v="0"/>
  </r>
  <r>
    <s v="ORD00475"/>
    <x v="23"/>
    <x v="4"/>
    <n v="32460.13"/>
    <n v="4"/>
    <n v="129840.52"/>
    <d v="2024-04-28T00:00:00"/>
    <x v="4"/>
    <x v="13"/>
    <s v="April"/>
    <x v="0"/>
    <n v="25968.104000000003"/>
    <n v="22"/>
    <x v="1"/>
    <x v="1"/>
    <n v="129840.52"/>
    <n v="0"/>
    <n v="0.2"/>
    <n v="32460.13"/>
    <n v="6492.0260000000007"/>
    <n v="4"/>
    <s v="Q2"/>
    <s v="Apr-2024"/>
    <n v="28564.914399999998"/>
    <n v="101275.60560000001"/>
    <x v="9"/>
  </r>
  <r>
    <s v="ORD00476"/>
    <x v="3"/>
    <x v="3"/>
    <n v="29509.14"/>
    <n v="3"/>
    <n v="88527.42"/>
    <d v="2024-12-15T00:00:00"/>
    <x v="5"/>
    <x v="27"/>
    <s v="December"/>
    <x v="0"/>
    <n v="17705.484"/>
    <n v="14"/>
    <x v="2"/>
    <x v="1"/>
    <n v="88527.42"/>
    <n v="0"/>
    <n v="0.2"/>
    <n v="29509.14"/>
    <n v="5901.8280000000004"/>
    <n v="12"/>
    <s v="Q4"/>
    <s v="Dec-2024"/>
    <n v="12393.8388"/>
    <n v="76133.581200000001"/>
    <x v="1"/>
  </r>
  <r>
    <s v="ORD00477"/>
    <x v="0"/>
    <x v="0"/>
    <n v="5528.69"/>
    <n v="3"/>
    <n v="16586.07"/>
    <d v="2024-09-11T00:00:00"/>
    <x v="0"/>
    <x v="24"/>
    <s v="September"/>
    <x v="0"/>
    <n v="3317.2139999999999"/>
    <n v="23"/>
    <x v="1"/>
    <x v="2"/>
    <n v="16586.07"/>
    <n v="0"/>
    <n v="0.2"/>
    <n v="5528.69"/>
    <n v="1105.7380000000001"/>
    <n v="9"/>
    <s v="Q3"/>
    <s v="Sep-2024"/>
    <n v="3814.7961"/>
    <n v="12771.2739"/>
    <x v="0"/>
  </r>
  <r>
    <s v="ORD00478"/>
    <x v="21"/>
    <x v="0"/>
    <n v="11864.67"/>
    <n v="5"/>
    <n v="59323.35"/>
    <d v="2024-09-13T00:00:00"/>
    <x v="5"/>
    <x v="18"/>
    <s v="September"/>
    <x v="0"/>
    <n v="11864.67"/>
    <n v="21"/>
    <x v="1"/>
    <x v="3"/>
    <n v="59323.35"/>
    <n v="0"/>
    <n v="0.2"/>
    <n v="11864.67"/>
    <n v="2372.9340000000002"/>
    <n v="9"/>
    <s v="Q3"/>
    <s v="Sep-2024"/>
    <n v="12457.903499999999"/>
    <n v="46865.446499999998"/>
    <x v="0"/>
  </r>
  <r>
    <s v="ORD00479"/>
    <x v="23"/>
    <x v="4"/>
    <n v="14273.74"/>
    <n v="2"/>
    <n v="28547.48"/>
    <d v="2024-12-19T00:00:00"/>
    <x v="5"/>
    <x v="28"/>
    <s v="December"/>
    <x v="0"/>
    <n v="5709.4960000000001"/>
    <n v="28"/>
    <x v="2"/>
    <x v="2"/>
    <n v="28547.48"/>
    <n v="0"/>
    <n v="0.2"/>
    <n v="14273.74"/>
    <n v="2854.748"/>
    <n v="12"/>
    <s v="Q4"/>
    <s v="Dec-2024"/>
    <n v="7993.2943999999998"/>
    <n v="20554.185600000001"/>
    <x v="1"/>
  </r>
  <r>
    <s v="ORD00480"/>
    <x v="0"/>
    <x v="0"/>
    <n v="26806.06"/>
    <n v="3"/>
    <n v="80418.179999999993"/>
    <d v="2024-07-19T00:00:00"/>
    <x v="2"/>
    <x v="17"/>
    <s v="July"/>
    <x v="0"/>
    <n v="16083.635999999999"/>
    <n v="23"/>
    <x v="2"/>
    <x v="2"/>
    <n v="80418.180000000008"/>
    <n v="0"/>
    <n v="0.2"/>
    <n v="26806.059999999998"/>
    <n v="5361.2119999999995"/>
    <n v="7"/>
    <s v="Q3"/>
    <s v="Jul-2024"/>
    <n v="18496.181399999998"/>
    <n v="61921.998599999992"/>
    <x v="5"/>
  </r>
  <r>
    <s v="ORD00481"/>
    <x v="8"/>
    <x v="1"/>
    <n v="18757.07"/>
    <n v="4"/>
    <n v="75028.28"/>
    <d v="2024-11-16T00:00:00"/>
    <x v="1"/>
    <x v="24"/>
    <s v="November"/>
    <x v="0"/>
    <n v="15005.656000000001"/>
    <n v="30"/>
    <x v="2"/>
    <x v="1"/>
    <n v="75028.28"/>
    <n v="0"/>
    <n v="0.2"/>
    <n v="18757.07"/>
    <n v="3751.4140000000002"/>
    <n v="11"/>
    <s v="Q4"/>
    <s v="Nov-2024"/>
    <n v="22508.484"/>
    <n v="52519.796000000002"/>
    <x v="3"/>
  </r>
  <r>
    <s v="ORD00482"/>
    <x v="22"/>
    <x v="0"/>
    <n v="19661.09"/>
    <n v="4"/>
    <n v="78644.36"/>
    <d v="2024-06-01T00:00:00"/>
    <x v="5"/>
    <x v="15"/>
    <s v="June"/>
    <x v="0"/>
    <n v="15728.872000000001"/>
    <n v="27"/>
    <x v="1"/>
    <x v="0"/>
    <n v="78644.36"/>
    <n v="0"/>
    <n v="0.2"/>
    <n v="19661.09"/>
    <n v="3932.2180000000003"/>
    <n v="6"/>
    <s v="Q2"/>
    <s v="Jun-2024"/>
    <n v="21233.977200000001"/>
    <n v="57410.382799999999"/>
    <x v="11"/>
  </r>
  <r>
    <s v="ORD00483"/>
    <x v="22"/>
    <x v="0"/>
    <n v="27434.25"/>
    <n v="1"/>
    <n v="27434.25"/>
    <d v="2024-03-02T00:00:00"/>
    <x v="3"/>
    <x v="28"/>
    <s v="March"/>
    <x v="0"/>
    <n v="5486.85"/>
    <n v="30"/>
    <x v="1"/>
    <x v="0"/>
    <n v="27434.25"/>
    <n v="0"/>
    <n v="0.2"/>
    <n v="27434.25"/>
    <n v="5486.85"/>
    <n v="3"/>
    <s v="Q1"/>
    <s v="Mar-2024"/>
    <n v="8230.2749999999996"/>
    <n v="19203.974999999999"/>
    <x v="7"/>
  </r>
  <r>
    <s v="ORD00484"/>
    <x v="0"/>
    <x v="0"/>
    <n v="6322.42"/>
    <n v="4"/>
    <n v="25289.68"/>
    <d v="2024-08-30T00:00:00"/>
    <x v="1"/>
    <x v="9"/>
    <s v="August"/>
    <x v="0"/>
    <n v="5057.9360000000006"/>
    <n v="9"/>
    <x v="0"/>
    <x v="1"/>
    <n v="25289.68"/>
    <n v="0"/>
    <n v="0.2"/>
    <n v="6322.42"/>
    <n v="1264.4840000000002"/>
    <n v="8"/>
    <s v="Q3"/>
    <s v="Aug-2024"/>
    <n v="2276.0711999999999"/>
    <n v="23013.608800000002"/>
    <x v="12"/>
  </r>
  <r>
    <s v="ORD00485"/>
    <x v="13"/>
    <x v="0"/>
    <n v="4316.82"/>
    <n v="2"/>
    <n v="8633.64"/>
    <d v="2024-05-02T00:00:00"/>
    <x v="4"/>
    <x v="22"/>
    <s v="May"/>
    <x v="0"/>
    <n v="1726.7280000000001"/>
    <n v="30"/>
    <x v="2"/>
    <x v="0"/>
    <n v="8633.64"/>
    <n v="0"/>
    <n v="0.2"/>
    <n v="4316.82"/>
    <n v="863.36400000000003"/>
    <n v="5"/>
    <s v="Q2"/>
    <s v="May-2024"/>
    <n v="2590.0919999999996"/>
    <n v="6043.5479999999998"/>
    <x v="2"/>
  </r>
  <r>
    <s v="ORD00486"/>
    <x v="24"/>
    <x v="1"/>
    <n v="45426.39"/>
    <n v="4"/>
    <n v="181705.56"/>
    <d v="2024-10-31T00:00:00"/>
    <x v="5"/>
    <x v="18"/>
    <s v="October"/>
    <x v="0"/>
    <n v="36341.112000000001"/>
    <n v="25"/>
    <x v="1"/>
    <x v="2"/>
    <n v="181705.56"/>
    <n v="0"/>
    <n v="0.2"/>
    <n v="45426.39"/>
    <n v="9085.2780000000002"/>
    <n v="10"/>
    <s v="Q4"/>
    <s v="Oct-2024"/>
    <n v="45426.39"/>
    <n v="136279.16999999998"/>
    <x v="4"/>
  </r>
  <r>
    <s v="ORD00487"/>
    <x v="18"/>
    <x v="3"/>
    <n v="14971.45"/>
    <n v="3"/>
    <n v="44914.35"/>
    <d v="2024-06-02T00:00:00"/>
    <x v="1"/>
    <x v="16"/>
    <s v="June"/>
    <x v="0"/>
    <n v="8982.8700000000008"/>
    <n v="27"/>
    <x v="1"/>
    <x v="3"/>
    <n v="44914.350000000006"/>
    <n v="0"/>
    <n v="0.2"/>
    <n v="14971.449999999999"/>
    <n v="2994.2900000000004"/>
    <n v="6"/>
    <s v="Q2"/>
    <s v="Jun-2024"/>
    <n v="12126.8745"/>
    <n v="32787.4755"/>
    <x v="11"/>
  </r>
  <r>
    <s v="ORD00488"/>
    <x v="16"/>
    <x v="4"/>
    <n v="12245.12"/>
    <n v="2"/>
    <n v="24490.240000000002"/>
    <d v="2024-08-27T00:00:00"/>
    <x v="3"/>
    <x v="16"/>
    <s v="August"/>
    <x v="0"/>
    <n v="4898.0480000000007"/>
    <n v="13"/>
    <x v="2"/>
    <x v="1"/>
    <n v="24490.240000000002"/>
    <n v="0"/>
    <n v="0.2"/>
    <n v="12245.12"/>
    <n v="2449.0240000000003"/>
    <n v="8"/>
    <s v="Q3"/>
    <s v="Aug-2024"/>
    <n v="3183.7312000000002"/>
    <n v="21306.508800000003"/>
    <x v="12"/>
  </r>
  <r>
    <s v="ORD00489"/>
    <x v="14"/>
    <x v="0"/>
    <n v="48405.89"/>
    <n v="4"/>
    <n v="193623.56"/>
    <d v="2024-03-31T00:00:00"/>
    <x v="2"/>
    <x v="35"/>
    <s v="March"/>
    <x v="0"/>
    <n v="38724.712"/>
    <n v="16"/>
    <x v="0"/>
    <x v="3"/>
    <n v="193623.56"/>
    <n v="0"/>
    <n v="0.2"/>
    <n v="48405.89"/>
    <n v="9681.1779999999999"/>
    <n v="3"/>
    <s v="Q1"/>
    <s v="Mar-2024"/>
    <n v="30979.7696"/>
    <n v="162643.7904"/>
    <x v="7"/>
  </r>
  <r>
    <s v="ORD00490"/>
    <x v="17"/>
    <x v="2"/>
    <n v="12757.67"/>
    <n v="5"/>
    <n v="63788.35"/>
    <d v="2024-11-19T00:00:00"/>
    <x v="1"/>
    <x v="26"/>
    <s v="November"/>
    <x v="0"/>
    <n v="12757.67"/>
    <n v="25"/>
    <x v="2"/>
    <x v="0"/>
    <n v="63788.35"/>
    <n v="0"/>
    <n v="0.2"/>
    <n v="12757.67"/>
    <n v="2551.5340000000001"/>
    <n v="11"/>
    <s v="Q4"/>
    <s v="Nov-2024"/>
    <n v="15947.0875"/>
    <n v="47841.262499999997"/>
    <x v="3"/>
  </r>
  <r>
    <s v="ORD00491"/>
    <x v="24"/>
    <x v="1"/>
    <n v="33071.089999999997"/>
    <n v="2"/>
    <n v="66142.179999999993"/>
    <d v="2024-10-05T00:00:00"/>
    <x v="3"/>
    <x v="0"/>
    <s v="October"/>
    <x v="0"/>
    <n v="13228.436"/>
    <n v="5"/>
    <x v="0"/>
    <x v="3"/>
    <n v="66142.179999999993"/>
    <n v="0"/>
    <n v="0.2"/>
    <n v="33071.089999999997"/>
    <n v="6614.2179999999998"/>
    <n v="10"/>
    <s v="Q4"/>
    <s v="Oct-2024"/>
    <n v="3307.1089999999995"/>
    <n v="62835.070999999996"/>
    <x v="4"/>
  </r>
  <r>
    <s v="ORD00492"/>
    <x v="17"/>
    <x v="2"/>
    <n v="4869.5600000000004"/>
    <n v="1"/>
    <n v="4869.5600000000004"/>
    <d v="2024-04-04T00:00:00"/>
    <x v="1"/>
    <x v="30"/>
    <s v="April"/>
    <x v="0"/>
    <n v="973.91200000000015"/>
    <n v="30"/>
    <x v="1"/>
    <x v="0"/>
    <n v="4869.5600000000004"/>
    <n v="0"/>
    <n v="0.2"/>
    <n v="4869.5600000000004"/>
    <n v="973.91200000000015"/>
    <n v="4"/>
    <s v="Q2"/>
    <s v="Apr-2024"/>
    <n v="1460.8680000000002"/>
    <n v="3408.692"/>
    <x v="9"/>
  </r>
  <r>
    <s v="ORD00493"/>
    <x v="15"/>
    <x v="1"/>
    <n v="45127.31"/>
    <n v="4"/>
    <n v="180509.24"/>
    <d v="2025-01-15T00:00:00"/>
    <x v="3"/>
    <x v="24"/>
    <s v="January"/>
    <x v="1"/>
    <n v="36101.847999999998"/>
    <n v="30"/>
    <x v="0"/>
    <x v="0"/>
    <n v="180509.24"/>
    <n v="0"/>
    <n v="0.2"/>
    <n v="45127.31"/>
    <n v="9025.4619999999995"/>
    <n v="1"/>
    <s v="Q1"/>
    <s v="Jan-2025"/>
    <n v="54152.77199999999"/>
    <n v="126356.46799999999"/>
    <x v="6"/>
  </r>
  <r>
    <s v="ORD00494"/>
    <x v="16"/>
    <x v="4"/>
    <n v="8867.7199999999993"/>
    <n v="1"/>
    <n v="8867.7199999999993"/>
    <d v="2024-10-01T00:00:00"/>
    <x v="5"/>
    <x v="17"/>
    <s v="October"/>
    <x v="0"/>
    <n v="1773.5439999999999"/>
    <n v="5"/>
    <x v="1"/>
    <x v="2"/>
    <n v="8867.7199999999993"/>
    <n v="0"/>
    <n v="0.2"/>
    <n v="8867.7199999999993"/>
    <n v="1773.5439999999999"/>
    <n v="10"/>
    <s v="Q4"/>
    <s v="Oct-2024"/>
    <n v="443.38599999999997"/>
    <n v="8424.3339999999989"/>
    <x v="4"/>
  </r>
  <r>
    <s v="ORD00495"/>
    <x v="4"/>
    <x v="4"/>
    <n v="31749.94"/>
    <n v="1"/>
    <n v="31749.94"/>
    <d v="2024-05-25T00:00:00"/>
    <x v="3"/>
    <x v="4"/>
    <s v="May"/>
    <x v="0"/>
    <n v="6349.9880000000003"/>
    <n v="19"/>
    <x v="2"/>
    <x v="0"/>
    <n v="31749.94"/>
    <n v="0"/>
    <n v="0.2"/>
    <n v="31749.94"/>
    <n v="6349.9880000000003"/>
    <n v="5"/>
    <s v="Q2"/>
    <s v="May-2024"/>
    <n v="6032.4885999999997"/>
    <n v="25717.451399999998"/>
    <x v="2"/>
  </r>
  <r>
    <s v="ORD00496"/>
    <x v="19"/>
    <x v="2"/>
    <n v="40944.769999999997"/>
    <n v="2"/>
    <n v="81889.539999999994"/>
    <d v="2024-11-03T00:00:00"/>
    <x v="4"/>
    <x v="36"/>
    <s v="November"/>
    <x v="0"/>
    <n v="16377.907999999999"/>
    <n v="6"/>
    <x v="2"/>
    <x v="2"/>
    <n v="81889.539999999994"/>
    <n v="0"/>
    <n v="0.2"/>
    <n v="40944.769999999997"/>
    <n v="8188.9539999999997"/>
    <n v="11"/>
    <s v="Q4"/>
    <s v="Nov-2024"/>
    <n v="4913.3724000000002"/>
    <n v="76976.167599999986"/>
    <x v="3"/>
  </r>
  <r>
    <s v="ORD00497"/>
    <x v="7"/>
    <x v="4"/>
    <n v="20859.61"/>
    <n v="4"/>
    <n v="83438.44"/>
    <d v="2024-04-24T00:00:00"/>
    <x v="2"/>
    <x v="35"/>
    <s v="April"/>
    <x v="0"/>
    <n v="16687.688000000002"/>
    <n v="26"/>
    <x v="2"/>
    <x v="2"/>
    <n v="83438.44"/>
    <n v="0"/>
    <n v="0.2"/>
    <n v="20859.61"/>
    <n v="4171.9220000000005"/>
    <n v="4"/>
    <s v="Q2"/>
    <s v="Apr-2024"/>
    <n v="21693.9944"/>
    <n v="61744.445600000006"/>
    <x v="9"/>
  </r>
  <r>
    <s v="ORD00498"/>
    <x v="0"/>
    <x v="0"/>
    <n v="6884.74"/>
    <n v="5"/>
    <n v="34423.699999999997"/>
    <d v="2024-08-12T00:00:00"/>
    <x v="5"/>
    <x v="23"/>
    <s v="August"/>
    <x v="0"/>
    <n v="6884.74"/>
    <n v="20"/>
    <x v="0"/>
    <x v="2"/>
    <n v="34423.699999999997"/>
    <n v="0"/>
    <n v="0.2"/>
    <n v="6884.74"/>
    <n v="1376.9479999999999"/>
    <n v="8"/>
    <s v="Q3"/>
    <s v="Aug-2024"/>
    <n v="6884.74"/>
    <n v="27538.959999999999"/>
    <x v="12"/>
  </r>
  <r>
    <s v="ORD00499"/>
    <x v="1"/>
    <x v="1"/>
    <n v="40238.5"/>
    <n v="3"/>
    <n v="120715.5"/>
    <d v="2024-07-21T00:00:00"/>
    <x v="2"/>
    <x v="1"/>
    <s v="July"/>
    <x v="0"/>
    <n v="24143.100000000002"/>
    <n v="29"/>
    <x v="1"/>
    <x v="1"/>
    <n v="120715.5"/>
    <n v="0"/>
    <n v="0.2"/>
    <n v="40238.5"/>
    <n v="8047.7000000000007"/>
    <n v="7"/>
    <s v="Q3"/>
    <s v="Jul-2024"/>
    <n v="35007.495000000003"/>
    <n v="85708.005000000005"/>
    <x v="5"/>
  </r>
  <r>
    <s v="ORD00500"/>
    <x v="12"/>
    <x v="3"/>
    <n v="10422.280000000001"/>
    <n v="5"/>
    <n v="52111.4"/>
    <d v="2024-06-26T00:00:00"/>
    <x v="5"/>
    <x v="0"/>
    <s v="June"/>
    <x v="0"/>
    <n v="10422.280000000001"/>
    <n v="12"/>
    <x v="2"/>
    <x v="1"/>
    <n v="52111.4"/>
    <n v="0"/>
    <n v="0.2"/>
    <n v="10422.280000000001"/>
    <n v="2084.4560000000001"/>
    <n v="6"/>
    <s v="Q2"/>
    <s v="Jun-2024"/>
    <n v="6253.3680000000004"/>
    <n v="45858.031999999999"/>
    <x v="11"/>
  </r>
  <r>
    <s v="ORD00501"/>
    <x v="22"/>
    <x v="0"/>
    <n v="13862.56"/>
    <n v="1"/>
    <n v="13862.56"/>
    <d v="2024-12-31T00:00:00"/>
    <x v="2"/>
    <x v="14"/>
    <s v="December"/>
    <x v="0"/>
    <n v="2772.5120000000002"/>
    <n v="17"/>
    <x v="2"/>
    <x v="0"/>
    <n v="13862.56"/>
    <n v="0"/>
    <n v="0.2"/>
    <n v="13862.56"/>
    <n v="2772.5120000000002"/>
    <n v="12"/>
    <s v="Q4"/>
    <s v="Dec-2024"/>
    <n v="2356.6351999999997"/>
    <n v="11505.924800000001"/>
    <x v="1"/>
  </r>
  <r>
    <s v="ORD00502"/>
    <x v="2"/>
    <x v="2"/>
    <n v="35911.22"/>
    <n v="4"/>
    <n v="143644.88"/>
    <d v="2024-09-12T00:00:00"/>
    <x v="4"/>
    <x v="27"/>
    <s v="September"/>
    <x v="0"/>
    <n v="28728.976000000002"/>
    <n v="25"/>
    <x v="1"/>
    <x v="2"/>
    <n v="143644.88"/>
    <n v="0"/>
    <n v="0.2"/>
    <n v="35911.22"/>
    <n v="7182.2440000000006"/>
    <n v="9"/>
    <s v="Q3"/>
    <s v="Sep-2024"/>
    <n v="35911.22"/>
    <n v="107733.66"/>
    <x v="0"/>
  </r>
  <r>
    <s v="ORD00503"/>
    <x v="8"/>
    <x v="1"/>
    <n v="16523.689999999999"/>
    <n v="3"/>
    <n v="49571.07"/>
    <d v="2024-08-17T00:00:00"/>
    <x v="4"/>
    <x v="18"/>
    <s v="August"/>
    <x v="0"/>
    <n v="9914.2139999999999"/>
    <n v="5"/>
    <x v="2"/>
    <x v="1"/>
    <n v="49571.069999999992"/>
    <n v="0"/>
    <n v="0.2"/>
    <n v="16523.689999999999"/>
    <n v="3304.7379999999998"/>
    <n v="8"/>
    <s v="Q3"/>
    <s v="Aug-2024"/>
    <n v="2478.5535"/>
    <n v="47092.516499999998"/>
    <x v="12"/>
  </r>
  <r>
    <s v="ORD00504"/>
    <x v="11"/>
    <x v="2"/>
    <n v="6566.03"/>
    <n v="5"/>
    <n v="32830.15"/>
    <d v="2024-04-20T00:00:00"/>
    <x v="3"/>
    <x v="8"/>
    <s v="April"/>
    <x v="0"/>
    <n v="6566.0300000000007"/>
    <n v="20"/>
    <x v="1"/>
    <x v="2"/>
    <n v="32830.15"/>
    <n v="0"/>
    <n v="0.2"/>
    <n v="6566.0300000000007"/>
    <n v="1313.2060000000001"/>
    <n v="4"/>
    <s v="Q2"/>
    <s v="Apr-2024"/>
    <n v="6566.03"/>
    <n v="26264.120000000003"/>
    <x v="9"/>
  </r>
  <r>
    <s v="ORD00505"/>
    <x v="16"/>
    <x v="4"/>
    <n v="18799.05"/>
    <n v="3"/>
    <n v="56397.15"/>
    <d v="2025-02-01T00:00:00"/>
    <x v="1"/>
    <x v="17"/>
    <s v="February"/>
    <x v="1"/>
    <n v="11279.43"/>
    <n v="11"/>
    <x v="1"/>
    <x v="3"/>
    <n v="56397.149999999994"/>
    <n v="0"/>
    <n v="0.2"/>
    <n v="18799.05"/>
    <n v="3759.81"/>
    <n v="2"/>
    <s v="Q1"/>
    <s v="Feb-2025"/>
    <n v="6203.6864999999998"/>
    <n v="50193.463499999998"/>
    <x v="8"/>
  </r>
  <r>
    <s v="ORD00506"/>
    <x v="20"/>
    <x v="3"/>
    <n v="8436.7099999999991"/>
    <n v="5"/>
    <n v="42183.55"/>
    <d v="2024-04-13T00:00:00"/>
    <x v="2"/>
    <x v="35"/>
    <s v="April"/>
    <x v="0"/>
    <n v="8436.7100000000009"/>
    <n v="9"/>
    <x v="1"/>
    <x v="3"/>
    <n v="42183.549999999996"/>
    <n v="0"/>
    <n v="0.2"/>
    <n v="8436.7100000000009"/>
    <n v="1687.3420000000001"/>
    <n v="4"/>
    <s v="Q2"/>
    <s v="Apr-2024"/>
    <n v="3796.5195000000003"/>
    <n v="38387.030500000001"/>
    <x v="9"/>
  </r>
  <r>
    <s v="ORD00507"/>
    <x v="4"/>
    <x v="4"/>
    <n v="19380.5"/>
    <n v="4"/>
    <n v="77522"/>
    <d v="2024-06-23T00:00:00"/>
    <x v="1"/>
    <x v="26"/>
    <s v="June"/>
    <x v="0"/>
    <n v="15504.400000000001"/>
    <n v="26"/>
    <x v="1"/>
    <x v="3"/>
    <n v="77522"/>
    <n v="0"/>
    <n v="0.2"/>
    <n v="19380.5"/>
    <n v="3876.1000000000004"/>
    <n v="6"/>
    <s v="Q2"/>
    <s v="Jun-2024"/>
    <n v="20155.72"/>
    <n v="57366.28"/>
    <x v="11"/>
  </r>
  <r>
    <s v="ORD00508"/>
    <x v="11"/>
    <x v="2"/>
    <n v="20228.05"/>
    <n v="3"/>
    <n v="60684.15"/>
    <d v="2025-02-01T00:00:00"/>
    <x v="1"/>
    <x v="12"/>
    <s v="February"/>
    <x v="1"/>
    <n v="12136.830000000002"/>
    <n v="27"/>
    <x v="1"/>
    <x v="0"/>
    <n v="60684.149999999994"/>
    <n v="0"/>
    <n v="0.2"/>
    <n v="20228.05"/>
    <n v="4045.6100000000006"/>
    <n v="2"/>
    <s v="Q1"/>
    <s v="Feb-2025"/>
    <n v="16384.720499999999"/>
    <n v="44299.429499999998"/>
    <x v="8"/>
  </r>
  <r>
    <s v="ORD00509"/>
    <x v="18"/>
    <x v="3"/>
    <n v="28606.86"/>
    <n v="5"/>
    <n v="143034.29999999999"/>
    <d v="2024-08-16T00:00:00"/>
    <x v="1"/>
    <x v="38"/>
    <s v="August"/>
    <x v="0"/>
    <n v="28606.86"/>
    <n v="7"/>
    <x v="0"/>
    <x v="2"/>
    <n v="143034.29999999999"/>
    <n v="0"/>
    <n v="0.2"/>
    <n v="28606.859999999997"/>
    <n v="5721.3720000000003"/>
    <n v="8"/>
    <s v="Q3"/>
    <s v="Aug-2024"/>
    <n v="10012.400999999998"/>
    <n v="133021.89899999998"/>
    <x v="12"/>
  </r>
  <r>
    <s v="ORD00510"/>
    <x v="21"/>
    <x v="0"/>
    <n v="16803.759999999998"/>
    <n v="4"/>
    <n v="67215.039999999994"/>
    <d v="2024-05-26T00:00:00"/>
    <x v="2"/>
    <x v="9"/>
    <s v="May"/>
    <x v="0"/>
    <n v="13443.008"/>
    <n v="16"/>
    <x v="2"/>
    <x v="3"/>
    <n v="67215.039999999994"/>
    <n v="0"/>
    <n v="0.2"/>
    <n v="16803.759999999998"/>
    <n v="3360.752"/>
    <n v="5"/>
    <s v="Q2"/>
    <s v="May-2024"/>
    <n v="10754.4064"/>
    <n v="56460.633599999994"/>
    <x v="2"/>
  </r>
  <r>
    <s v="ORD00511"/>
    <x v="2"/>
    <x v="2"/>
    <n v="18093.34"/>
    <n v="5"/>
    <n v="90466.7"/>
    <d v="2025-01-21T00:00:00"/>
    <x v="4"/>
    <x v="24"/>
    <s v="January"/>
    <x v="1"/>
    <n v="18093.34"/>
    <n v="30"/>
    <x v="0"/>
    <x v="1"/>
    <n v="90466.7"/>
    <n v="0"/>
    <n v="0.2"/>
    <n v="18093.34"/>
    <n v="3618.6680000000001"/>
    <n v="1"/>
    <s v="Q1"/>
    <s v="Jan-2025"/>
    <n v="27140.01"/>
    <n v="63326.69"/>
    <x v="6"/>
  </r>
  <r>
    <s v="ORD00512"/>
    <x v="9"/>
    <x v="3"/>
    <n v="31737.13"/>
    <n v="5"/>
    <n v="158685.65"/>
    <d v="2024-04-12T00:00:00"/>
    <x v="5"/>
    <x v="9"/>
    <s v="April"/>
    <x v="0"/>
    <n v="31737.13"/>
    <n v="20"/>
    <x v="2"/>
    <x v="3"/>
    <n v="158685.65"/>
    <n v="0"/>
    <n v="0.2"/>
    <n v="31737.129999999997"/>
    <n v="6347.4260000000004"/>
    <n v="4"/>
    <s v="Q2"/>
    <s v="Apr-2024"/>
    <n v="31737.13"/>
    <n v="126948.51999999999"/>
    <x v="9"/>
  </r>
  <r>
    <s v="ORD00513"/>
    <x v="11"/>
    <x v="2"/>
    <n v="49861.17"/>
    <n v="3"/>
    <n v="149583.51"/>
    <d v="2024-09-24T00:00:00"/>
    <x v="1"/>
    <x v="15"/>
    <s v="September"/>
    <x v="0"/>
    <n v="29916.702000000005"/>
    <n v="23"/>
    <x v="0"/>
    <x v="3"/>
    <n v="149583.51"/>
    <n v="0"/>
    <n v="0.2"/>
    <n v="49861.170000000006"/>
    <n v="9972.2340000000022"/>
    <n v="9"/>
    <s v="Q3"/>
    <s v="Sep-2024"/>
    <n v="34404.207300000002"/>
    <n v="115179.3027"/>
    <x v="0"/>
  </r>
  <r>
    <s v="ORD00514"/>
    <x v="0"/>
    <x v="0"/>
    <n v="21233.35"/>
    <n v="1"/>
    <n v="21233.35"/>
    <d v="2024-09-02T00:00:00"/>
    <x v="3"/>
    <x v="5"/>
    <s v="September"/>
    <x v="0"/>
    <n v="4246.67"/>
    <n v="9"/>
    <x v="1"/>
    <x v="3"/>
    <n v="21233.35"/>
    <n v="0"/>
    <n v="0.2"/>
    <n v="21233.35"/>
    <n v="4246.67"/>
    <n v="9"/>
    <s v="Q3"/>
    <s v="Sep-2024"/>
    <n v="1911.0014999999999"/>
    <n v="19322.3485"/>
    <x v="0"/>
  </r>
  <r>
    <s v="ORD00515"/>
    <x v="23"/>
    <x v="4"/>
    <n v="776.91"/>
    <n v="5"/>
    <n v="3884.55"/>
    <d v="2024-07-16T00:00:00"/>
    <x v="3"/>
    <x v="24"/>
    <s v="July"/>
    <x v="0"/>
    <n v="776.91000000000008"/>
    <n v="26"/>
    <x v="2"/>
    <x v="0"/>
    <n v="3884.5499999999997"/>
    <n v="0"/>
    <n v="0.2"/>
    <n v="776.91000000000008"/>
    <n v="155.38200000000001"/>
    <n v="7"/>
    <s v="Q3"/>
    <s v="Jul-2024"/>
    <n v="1009.9830000000001"/>
    <n v="2874.567"/>
    <x v="5"/>
  </r>
  <r>
    <s v="ORD00516"/>
    <x v="11"/>
    <x v="2"/>
    <n v="25542.71"/>
    <n v="1"/>
    <n v="25542.71"/>
    <d v="2024-12-14T00:00:00"/>
    <x v="1"/>
    <x v="21"/>
    <s v="December"/>
    <x v="0"/>
    <n v="5108.5420000000004"/>
    <n v="29"/>
    <x v="2"/>
    <x v="1"/>
    <n v="25542.71"/>
    <n v="0"/>
    <n v="0.2"/>
    <n v="25542.71"/>
    <n v="5108.5420000000004"/>
    <n v="12"/>
    <s v="Q4"/>
    <s v="Dec-2024"/>
    <n v="7407.3858999999993"/>
    <n v="18135.324099999998"/>
    <x v="1"/>
  </r>
  <r>
    <s v="ORD00517"/>
    <x v="6"/>
    <x v="1"/>
    <n v="10818.28"/>
    <n v="5"/>
    <n v="54091.4"/>
    <d v="2024-07-22T00:00:00"/>
    <x v="1"/>
    <x v="14"/>
    <s v="July"/>
    <x v="0"/>
    <n v="10818.28"/>
    <n v="18"/>
    <x v="0"/>
    <x v="2"/>
    <n v="54091.4"/>
    <n v="0"/>
    <n v="0.2"/>
    <n v="10818.28"/>
    <n v="2163.6559999999999"/>
    <n v="7"/>
    <s v="Q3"/>
    <s v="Jul-2024"/>
    <n v="9736.4520000000011"/>
    <n v="44354.948000000004"/>
    <x v="5"/>
  </r>
  <r>
    <s v="ORD00518"/>
    <x v="9"/>
    <x v="3"/>
    <n v="45801.19"/>
    <n v="5"/>
    <n v="229005.95"/>
    <d v="2024-10-24T00:00:00"/>
    <x v="4"/>
    <x v="7"/>
    <s v="October"/>
    <x v="0"/>
    <n v="45801.19"/>
    <n v="9"/>
    <x v="0"/>
    <x v="1"/>
    <n v="229005.95"/>
    <n v="0"/>
    <n v="0.2"/>
    <n v="45801.19"/>
    <n v="9160.2380000000012"/>
    <n v="10"/>
    <s v="Q4"/>
    <s v="Oct-2024"/>
    <n v="20610.535500000002"/>
    <n v="208395.41450000001"/>
    <x v="4"/>
  </r>
  <r>
    <s v="ORD00519"/>
    <x v="2"/>
    <x v="2"/>
    <n v="6963.56"/>
    <n v="2"/>
    <n v="13927.12"/>
    <d v="2024-12-06T00:00:00"/>
    <x v="0"/>
    <x v="26"/>
    <s v="December"/>
    <x v="0"/>
    <n v="2785.4240000000004"/>
    <n v="19"/>
    <x v="2"/>
    <x v="2"/>
    <n v="13927.12"/>
    <n v="0"/>
    <n v="0.2"/>
    <n v="6963.56"/>
    <n v="1392.7120000000002"/>
    <n v="12"/>
    <s v="Q4"/>
    <s v="Dec-2024"/>
    <n v="2646.1528000000003"/>
    <n v="11280.967200000001"/>
    <x v="1"/>
  </r>
  <r>
    <s v="ORD00520"/>
    <x v="12"/>
    <x v="3"/>
    <n v="37082.11"/>
    <n v="1"/>
    <n v="37082.11"/>
    <d v="2024-06-12T00:00:00"/>
    <x v="1"/>
    <x v="2"/>
    <s v="June"/>
    <x v="0"/>
    <n v="7416.4220000000005"/>
    <n v="21"/>
    <x v="0"/>
    <x v="0"/>
    <n v="37082.11"/>
    <n v="0"/>
    <n v="0.2"/>
    <n v="37082.11"/>
    <n v="7416.4220000000005"/>
    <n v="6"/>
    <s v="Q2"/>
    <s v="Jun-2024"/>
    <n v="7787.2431000000006"/>
    <n v="29294.866900000001"/>
    <x v="11"/>
  </r>
  <r>
    <s v="ORD00521"/>
    <x v="14"/>
    <x v="0"/>
    <n v="6842.69"/>
    <n v="1"/>
    <n v="6842.69"/>
    <d v="2024-06-04T00:00:00"/>
    <x v="1"/>
    <x v="22"/>
    <s v="June"/>
    <x v="0"/>
    <n v="1368.538"/>
    <n v="18"/>
    <x v="0"/>
    <x v="0"/>
    <n v="6842.69"/>
    <n v="0"/>
    <n v="0.2"/>
    <n v="6842.69"/>
    <n v="1368.538"/>
    <n v="6"/>
    <s v="Q2"/>
    <s v="Jun-2024"/>
    <n v="1231.6841999999999"/>
    <n v="5611.0057999999999"/>
    <x v="11"/>
  </r>
  <r>
    <s v="ORD00522"/>
    <x v="10"/>
    <x v="2"/>
    <n v="7283.96"/>
    <n v="1"/>
    <n v="7283.96"/>
    <d v="2024-04-08T00:00:00"/>
    <x v="3"/>
    <x v="6"/>
    <s v="April"/>
    <x v="0"/>
    <n v="1456.7920000000001"/>
    <n v="24"/>
    <x v="0"/>
    <x v="0"/>
    <n v="7283.96"/>
    <n v="0"/>
    <n v="0.2"/>
    <n v="7283.96"/>
    <n v="1456.7920000000001"/>
    <n v="4"/>
    <s v="Q2"/>
    <s v="Apr-2024"/>
    <n v="1748.1504"/>
    <n v="5535.8096000000005"/>
    <x v="9"/>
  </r>
  <r>
    <s v="ORD00523"/>
    <x v="4"/>
    <x v="4"/>
    <n v="218.58"/>
    <n v="5"/>
    <n v="1092.9000000000001"/>
    <d v="2024-04-20T00:00:00"/>
    <x v="2"/>
    <x v="38"/>
    <s v="April"/>
    <x v="0"/>
    <n v="218.58000000000004"/>
    <n v="9"/>
    <x v="1"/>
    <x v="0"/>
    <n v="1092.9000000000001"/>
    <n v="0"/>
    <n v="0.2"/>
    <n v="218.58"/>
    <n v="43.716000000000008"/>
    <n v="4"/>
    <s v="Q2"/>
    <s v="Apr-2024"/>
    <n v="98.361000000000004"/>
    <n v="994.5390000000001"/>
    <x v="9"/>
  </r>
  <r>
    <s v="ORD00524"/>
    <x v="18"/>
    <x v="3"/>
    <n v="38689.699999999997"/>
    <n v="3"/>
    <n v="116069.1"/>
    <d v="2024-09-28T00:00:00"/>
    <x v="0"/>
    <x v="30"/>
    <s v="September"/>
    <x v="0"/>
    <n v="23213.820000000003"/>
    <n v="16"/>
    <x v="1"/>
    <x v="2"/>
    <n v="116069.09999999999"/>
    <n v="0"/>
    <n v="0.2"/>
    <n v="38689.700000000004"/>
    <n v="7737.9400000000014"/>
    <n v="9"/>
    <s v="Q3"/>
    <s v="Sep-2024"/>
    <n v="18571.056"/>
    <n v="97498.044000000009"/>
    <x v="0"/>
  </r>
  <r>
    <s v="ORD00525"/>
    <x v="7"/>
    <x v="4"/>
    <n v="8863.9699999999993"/>
    <n v="2"/>
    <n v="17727.939999999999"/>
    <d v="2024-09-26T00:00:00"/>
    <x v="1"/>
    <x v="16"/>
    <s v="September"/>
    <x v="0"/>
    <n v="3545.5879999999997"/>
    <n v="20"/>
    <x v="0"/>
    <x v="3"/>
    <n v="17727.939999999999"/>
    <n v="0"/>
    <n v="0.2"/>
    <n v="8863.9699999999993"/>
    <n v="1772.7939999999999"/>
    <n v="9"/>
    <s v="Q3"/>
    <s v="Sep-2024"/>
    <n v="3545.5879999999997"/>
    <n v="14182.351999999999"/>
    <x v="0"/>
  </r>
  <r>
    <s v="ORD00526"/>
    <x v="6"/>
    <x v="1"/>
    <n v="12472.17"/>
    <n v="5"/>
    <n v="62360.85"/>
    <d v="2024-04-23T00:00:00"/>
    <x v="1"/>
    <x v="30"/>
    <s v="April"/>
    <x v="0"/>
    <n v="12472.17"/>
    <n v="30"/>
    <x v="0"/>
    <x v="2"/>
    <n v="62360.85"/>
    <n v="0"/>
    <n v="0.2"/>
    <n v="12472.17"/>
    <n v="2494.4340000000002"/>
    <n v="4"/>
    <s v="Q2"/>
    <s v="Apr-2024"/>
    <n v="18708.255000000001"/>
    <n v="43652.595000000001"/>
    <x v="9"/>
  </r>
  <r>
    <s v="ORD00527"/>
    <x v="1"/>
    <x v="1"/>
    <n v="8734.44"/>
    <n v="1"/>
    <n v="8734.44"/>
    <d v="2024-10-26T00:00:00"/>
    <x v="0"/>
    <x v="15"/>
    <s v="October"/>
    <x v="0"/>
    <n v="1746.8880000000001"/>
    <n v="30"/>
    <x v="1"/>
    <x v="1"/>
    <n v="8734.44"/>
    <n v="0"/>
    <n v="0.2"/>
    <n v="8734.44"/>
    <n v="1746.8880000000001"/>
    <n v="10"/>
    <s v="Q4"/>
    <s v="Oct-2024"/>
    <n v="2620.3320000000003"/>
    <n v="6114.1080000000002"/>
    <x v="4"/>
  </r>
  <r>
    <s v="ORD00528"/>
    <x v="10"/>
    <x v="2"/>
    <n v="32422.04"/>
    <n v="5"/>
    <n v="162110.20000000001"/>
    <d v="2024-02-18T00:00:00"/>
    <x v="5"/>
    <x v="30"/>
    <s v="February"/>
    <x v="0"/>
    <n v="32422.040000000005"/>
    <n v="20"/>
    <x v="1"/>
    <x v="0"/>
    <n v="162110.20000000001"/>
    <n v="0"/>
    <n v="0.2"/>
    <n v="32422.04"/>
    <n v="6484.4080000000013"/>
    <n v="2"/>
    <s v="Q1"/>
    <s v="Feb-2024"/>
    <n v="32422.04"/>
    <n v="129688.16"/>
    <x v="10"/>
  </r>
  <r>
    <s v="ORD00529"/>
    <x v="18"/>
    <x v="3"/>
    <n v="45532.34"/>
    <n v="5"/>
    <n v="227661.7"/>
    <d v="2024-04-28T00:00:00"/>
    <x v="4"/>
    <x v="22"/>
    <s v="April"/>
    <x v="0"/>
    <n v="45532.340000000004"/>
    <n v="25"/>
    <x v="2"/>
    <x v="0"/>
    <n v="227661.69999999998"/>
    <n v="0"/>
    <n v="0.2"/>
    <n v="45532.340000000004"/>
    <n v="9106.4680000000008"/>
    <n v="4"/>
    <s v="Q2"/>
    <s v="Apr-2024"/>
    <n v="56915.425000000003"/>
    <n v="170746.27500000002"/>
    <x v="9"/>
  </r>
  <r>
    <s v="ORD00530"/>
    <x v="2"/>
    <x v="2"/>
    <n v="22534.799999999999"/>
    <n v="4"/>
    <n v="90139.199999999997"/>
    <d v="2024-08-30T00:00:00"/>
    <x v="3"/>
    <x v="23"/>
    <s v="August"/>
    <x v="0"/>
    <n v="18027.84"/>
    <n v="11"/>
    <x v="2"/>
    <x v="1"/>
    <n v="90139.199999999997"/>
    <n v="0"/>
    <n v="0.2"/>
    <n v="22534.799999999999"/>
    <n v="4506.96"/>
    <n v="8"/>
    <s v="Q3"/>
    <s v="Aug-2024"/>
    <n v="9915.3119999999999"/>
    <n v="80223.887999999992"/>
    <x v="12"/>
  </r>
  <r>
    <s v="ORD00531"/>
    <x v="22"/>
    <x v="0"/>
    <n v="26058.55"/>
    <n v="1"/>
    <n v="26058.55"/>
    <d v="2024-10-28T00:00:00"/>
    <x v="1"/>
    <x v="6"/>
    <s v="October"/>
    <x v="0"/>
    <n v="5211.71"/>
    <n v="8"/>
    <x v="1"/>
    <x v="2"/>
    <n v="26058.55"/>
    <n v="0"/>
    <n v="0.2"/>
    <n v="26058.55"/>
    <n v="5211.71"/>
    <n v="10"/>
    <s v="Q4"/>
    <s v="Oct-2024"/>
    <n v="2084.6839999999997"/>
    <n v="23973.865999999998"/>
    <x v="4"/>
  </r>
  <r>
    <s v="ORD00532"/>
    <x v="16"/>
    <x v="4"/>
    <n v="13348.84"/>
    <n v="2"/>
    <n v="26697.68"/>
    <d v="2024-07-27T00:00:00"/>
    <x v="3"/>
    <x v="24"/>
    <s v="July"/>
    <x v="0"/>
    <n v="5339.5360000000001"/>
    <n v="5"/>
    <x v="0"/>
    <x v="3"/>
    <n v="26697.68"/>
    <n v="0"/>
    <n v="0.2"/>
    <n v="13348.84"/>
    <n v="2669.768"/>
    <n v="7"/>
    <s v="Q3"/>
    <s v="Jul-2024"/>
    <n v="1334.884"/>
    <n v="25362.796000000002"/>
    <x v="5"/>
  </r>
  <r>
    <s v="ORD00533"/>
    <x v="7"/>
    <x v="4"/>
    <n v="46792.3"/>
    <n v="1"/>
    <n v="46792.3"/>
    <d v="2024-06-16T00:00:00"/>
    <x v="4"/>
    <x v="35"/>
    <s v="June"/>
    <x v="0"/>
    <n v="9358.4600000000009"/>
    <n v="9"/>
    <x v="0"/>
    <x v="3"/>
    <n v="46792.3"/>
    <n v="0"/>
    <n v="0.2"/>
    <n v="46792.3"/>
    <n v="9358.4600000000009"/>
    <n v="6"/>
    <s v="Q2"/>
    <s v="Jun-2024"/>
    <n v="4211.3069999999998"/>
    <n v="42580.993000000002"/>
    <x v="11"/>
  </r>
  <r>
    <s v="ORD00534"/>
    <x v="23"/>
    <x v="4"/>
    <n v="15764.25"/>
    <n v="4"/>
    <n v="63057"/>
    <d v="2024-05-12T00:00:00"/>
    <x v="3"/>
    <x v="9"/>
    <s v="May"/>
    <x v="0"/>
    <n v="12611.400000000001"/>
    <n v="27"/>
    <x v="0"/>
    <x v="1"/>
    <n v="63057"/>
    <n v="0"/>
    <n v="0.2"/>
    <n v="15764.25"/>
    <n v="3152.8500000000004"/>
    <n v="5"/>
    <s v="Q2"/>
    <s v="May-2024"/>
    <n v="17025.39"/>
    <n v="46031.61"/>
    <x v="2"/>
  </r>
  <r>
    <s v="ORD00535"/>
    <x v="3"/>
    <x v="3"/>
    <n v="45019"/>
    <n v="5"/>
    <n v="225095"/>
    <d v="2025-01-07T00:00:00"/>
    <x v="3"/>
    <x v="25"/>
    <s v="January"/>
    <x v="1"/>
    <n v="45019"/>
    <n v="30"/>
    <x v="0"/>
    <x v="3"/>
    <n v="225095"/>
    <n v="0"/>
    <n v="0.2"/>
    <n v="45019"/>
    <n v="9003.7999999999993"/>
    <n v="1"/>
    <s v="Q1"/>
    <s v="Jan-2025"/>
    <n v="67528.5"/>
    <n v="157566.5"/>
    <x v="6"/>
  </r>
  <r>
    <s v="ORD00536"/>
    <x v="24"/>
    <x v="1"/>
    <n v="42794.400000000001"/>
    <n v="4"/>
    <n v="171177.60000000001"/>
    <d v="2024-06-25T00:00:00"/>
    <x v="3"/>
    <x v="33"/>
    <s v="June"/>
    <x v="0"/>
    <n v="34235.520000000004"/>
    <n v="14"/>
    <x v="2"/>
    <x v="2"/>
    <n v="171177.60000000001"/>
    <n v="0"/>
    <n v="0.2"/>
    <n v="42794.400000000001"/>
    <n v="8558.880000000001"/>
    <n v="6"/>
    <s v="Q2"/>
    <s v="Jun-2024"/>
    <n v="23964.863999999998"/>
    <n v="147212.736"/>
    <x v="11"/>
  </r>
  <r>
    <s v="ORD00537"/>
    <x v="0"/>
    <x v="0"/>
    <n v="492.53"/>
    <n v="1"/>
    <n v="492.53"/>
    <d v="2024-04-15T00:00:00"/>
    <x v="4"/>
    <x v="2"/>
    <s v="April"/>
    <x v="0"/>
    <n v="98.506"/>
    <n v="26"/>
    <x v="1"/>
    <x v="2"/>
    <n v="492.53"/>
    <n v="0"/>
    <n v="0.2"/>
    <n v="492.53"/>
    <n v="98.506"/>
    <n v="4"/>
    <s v="Q2"/>
    <s v="Apr-2024"/>
    <n v="128.05779999999999"/>
    <n v="364.47219999999999"/>
    <x v="9"/>
  </r>
  <r>
    <s v="ORD00538"/>
    <x v="23"/>
    <x v="4"/>
    <n v="30721.51"/>
    <n v="4"/>
    <n v="122886.04"/>
    <d v="2024-07-28T00:00:00"/>
    <x v="2"/>
    <x v="20"/>
    <s v="July"/>
    <x v="0"/>
    <n v="24577.207999999999"/>
    <n v="9"/>
    <x v="0"/>
    <x v="1"/>
    <n v="122886.04"/>
    <n v="0"/>
    <n v="0.2"/>
    <n v="30721.51"/>
    <n v="6144.3019999999997"/>
    <n v="7"/>
    <s v="Q3"/>
    <s v="Jul-2024"/>
    <n v="11059.743599999998"/>
    <n v="111826.29639999999"/>
    <x v="5"/>
  </r>
  <r>
    <s v="ORD00539"/>
    <x v="4"/>
    <x v="4"/>
    <n v="17162.64"/>
    <n v="3"/>
    <n v="51487.92"/>
    <d v="2024-07-12T00:00:00"/>
    <x v="3"/>
    <x v="25"/>
    <s v="July"/>
    <x v="0"/>
    <n v="10297.584000000001"/>
    <n v="8"/>
    <x v="2"/>
    <x v="2"/>
    <n v="51487.92"/>
    <n v="0"/>
    <n v="0.2"/>
    <n v="17162.64"/>
    <n v="3432.5280000000002"/>
    <n v="7"/>
    <s v="Q3"/>
    <s v="Jul-2024"/>
    <n v="4119.0335999999998"/>
    <n v="47368.886399999996"/>
    <x v="5"/>
  </r>
  <r>
    <s v="ORD00540"/>
    <x v="14"/>
    <x v="0"/>
    <n v="45888.54"/>
    <n v="3"/>
    <n v="137665.62"/>
    <d v="2024-04-08T00:00:00"/>
    <x v="4"/>
    <x v="6"/>
    <s v="April"/>
    <x v="0"/>
    <n v="27533.124"/>
    <n v="6"/>
    <x v="0"/>
    <x v="0"/>
    <n v="137665.62"/>
    <n v="0"/>
    <n v="0.2"/>
    <n v="45888.54"/>
    <n v="9177.7080000000005"/>
    <n v="4"/>
    <s v="Q2"/>
    <s v="Apr-2024"/>
    <n v="8259.9372000000003"/>
    <n v="129405.6828"/>
    <x v="9"/>
  </r>
  <r>
    <s v="ORD00541"/>
    <x v="7"/>
    <x v="4"/>
    <n v="49052.43"/>
    <n v="3"/>
    <n v="147157.29"/>
    <d v="2024-12-02T00:00:00"/>
    <x v="0"/>
    <x v="16"/>
    <s v="December"/>
    <x v="0"/>
    <n v="29431.458000000002"/>
    <n v="24"/>
    <x v="1"/>
    <x v="1"/>
    <n v="147157.29"/>
    <n v="0"/>
    <n v="0.2"/>
    <n v="49052.43"/>
    <n v="9810.4860000000008"/>
    <n v="12"/>
    <s v="Q4"/>
    <s v="Dec-2024"/>
    <n v="35317.749600000003"/>
    <n v="111839.5404"/>
    <x v="1"/>
  </r>
  <r>
    <s v="ORD00542"/>
    <x v="23"/>
    <x v="4"/>
    <n v="2435.9699999999998"/>
    <n v="1"/>
    <n v="2435.9699999999998"/>
    <d v="2024-03-30T00:00:00"/>
    <x v="4"/>
    <x v="10"/>
    <s v="March"/>
    <x v="0"/>
    <n v="487.19399999999996"/>
    <n v="14"/>
    <x v="2"/>
    <x v="2"/>
    <n v="2435.9699999999998"/>
    <n v="0"/>
    <n v="0.2"/>
    <n v="2435.9699999999998"/>
    <n v="487.19399999999996"/>
    <n v="3"/>
    <s v="Q1"/>
    <s v="Mar-2024"/>
    <n v="341.03579999999994"/>
    <n v="2094.9341999999997"/>
    <x v="7"/>
  </r>
  <r>
    <s v="ORD00543"/>
    <x v="7"/>
    <x v="4"/>
    <n v="48128.02"/>
    <n v="4"/>
    <n v="192512.08"/>
    <d v="2024-05-13T00:00:00"/>
    <x v="2"/>
    <x v="3"/>
    <s v="May"/>
    <x v="0"/>
    <n v="38502.415999999997"/>
    <n v="30"/>
    <x v="1"/>
    <x v="1"/>
    <n v="192512.08"/>
    <n v="0"/>
    <n v="0.2"/>
    <n v="48128.02"/>
    <n v="9625.6039999999994"/>
    <n v="5"/>
    <s v="Q2"/>
    <s v="May-2024"/>
    <n v="57753.623999999996"/>
    <n v="134758.45600000001"/>
    <x v="2"/>
  </r>
  <r>
    <s v="ORD00544"/>
    <x v="10"/>
    <x v="2"/>
    <n v="47111.56"/>
    <n v="5"/>
    <n v="235557.8"/>
    <d v="2024-04-30T00:00:00"/>
    <x v="1"/>
    <x v="36"/>
    <s v="April"/>
    <x v="0"/>
    <n v="47111.56"/>
    <n v="23"/>
    <x v="1"/>
    <x v="3"/>
    <n v="235557.8"/>
    <n v="0"/>
    <n v="0.2"/>
    <n v="47111.56"/>
    <n v="9422.3119999999999"/>
    <n v="4"/>
    <s v="Q2"/>
    <s v="Apr-2024"/>
    <n v="54178.293999999994"/>
    <n v="181379.50599999999"/>
    <x v="9"/>
  </r>
  <r>
    <s v="ORD00545"/>
    <x v="0"/>
    <x v="0"/>
    <n v="8091.3"/>
    <n v="5"/>
    <n v="40456.5"/>
    <d v="2024-08-14T00:00:00"/>
    <x v="4"/>
    <x v="6"/>
    <s v="August"/>
    <x v="0"/>
    <n v="8091.3"/>
    <n v="30"/>
    <x v="2"/>
    <x v="2"/>
    <n v="40456.5"/>
    <n v="0"/>
    <n v="0.2"/>
    <n v="8091.3"/>
    <n v="1618.26"/>
    <n v="8"/>
    <s v="Q3"/>
    <s v="Aug-2024"/>
    <n v="12136.95"/>
    <n v="28319.55"/>
    <x v="12"/>
  </r>
  <r>
    <s v="ORD00546"/>
    <x v="16"/>
    <x v="4"/>
    <n v="43217.1"/>
    <n v="5"/>
    <n v="216085.5"/>
    <d v="2024-12-18T00:00:00"/>
    <x v="0"/>
    <x v="8"/>
    <s v="December"/>
    <x v="0"/>
    <n v="43217.100000000006"/>
    <n v="5"/>
    <x v="2"/>
    <x v="0"/>
    <n v="216085.5"/>
    <n v="0"/>
    <n v="0.20000000000000004"/>
    <n v="43217.1"/>
    <n v="8643.4200000000019"/>
    <n v="12"/>
    <s v="Q4"/>
    <s v="Dec-2024"/>
    <n v="10804.275"/>
    <n v="205281.22500000001"/>
    <x v="1"/>
  </r>
  <r>
    <s v="ORD00547"/>
    <x v="8"/>
    <x v="1"/>
    <n v="35592.76"/>
    <n v="2"/>
    <n v="71185.52"/>
    <d v="2024-05-06T00:00:00"/>
    <x v="0"/>
    <x v="33"/>
    <s v="May"/>
    <x v="0"/>
    <n v="14237.104000000001"/>
    <n v="28"/>
    <x v="2"/>
    <x v="2"/>
    <n v="71185.52"/>
    <n v="0"/>
    <n v="0.2"/>
    <n v="35592.76"/>
    <n v="7118.5520000000006"/>
    <n v="5"/>
    <s v="Q2"/>
    <s v="May-2024"/>
    <n v="19931.945599999999"/>
    <n v="51253.574400000005"/>
    <x v="2"/>
  </r>
  <r>
    <s v="ORD00548"/>
    <x v="17"/>
    <x v="2"/>
    <n v="9534.89"/>
    <n v="5"/>
    <n v="47674.45"/>
    <d v="2024-07-14T00:00:00"/>
    <x v="5"/>
    <x v="24"/>
    <s v="July"/>
    <x v="0"/>
    <n v="9534.89"/>
    <n v="9"/>
    <x v="2"/>
    <x v="1"/>
    <n v="47674.45"/>
    <n v="0"/>
    <n v="0.2"/>
    <n v="9534.89"/>
    <n v="1906.9779999999998"/>
    <n v="7"/>
    <s v="Q3"/>
    <s v="Jul-2024"/>
    <n v="4290.7004999999999"/>
    <n v="43383.749499999998"/>
    <x v="5"/>
  </r>
  <r>
    <s v="ORD00549"/>
    <x v="19"/>
    <x v="2"/>
    <n v="46990.87"/>
    <n v="4"/>
    <n v="187963.48"/>
    <d v="2024-04-02T00:00:00"/>
    <x v="3"/>
    <x v="5"/>
    <s v="April"/>
    <x v="0"/>
    <n v="37592.696000000004"/>
    <n v="17"/>
    <x v="2"/>
    <x v="1"/>
    <n v="187963.48"/>
    <n v="0"/>
    <n v="0.2"/>
    <n v="46990.87"/>
    <n v="9398.1740000000009"/>
    <n v="4"/>
    <s v="Q2"/>
    <s v="Apr-2024"/>
    <n v="31953.7916"/>
    <n v="156009.68840000001"/>
    <x v="9"/>
  </r>
  <r>
    <s v="ORD00550"/>
    <x v="7"/>
    <x v="4"/>
    <n v="31137.03"/>
    <n v="5"/>
    <n v="155685.15"/>
    <d v="2024-12-29T00:00:00"/>
    <x v="4"/>
    <x v="8"/>
    <s v="December"/>
    <x v="0"/>
    <n v="31137.03"/>
    <n v="8"/>
    <x v="2"/>
    <x v="2"/>
    <n v="155685.15"/>
    <n v="0"/>
    <n v="0.2"/>
    <n v="31137.03"/>
    <n v="6227.4059999999999"/>
    <n v="12"/>
    <s v="Q4"/>
    <s v="Dec-2024"/>
    <n v="12454.812"/>
    <n v="143230.33799999999"/>
    <x v="1"/>
  </r>
  <r>
    <s v="ORD00551"/>
    <x v="18"/>
    <x v="3"/>
    <n v="35821.160000000003"/>
    <n v="4"/>
    <n v="143284.64000000001"/>
    <d v="2025-02-07T00:00:00"/>
    <x v="0"/>
    <x v="37"/>
    <s v="February"/>
    <x v="1"/>
    <n v="28656.928000000004"/>
    <n v="20"/>
    <x v="2"/>
    <x v="0"/>
    <n v="143284.64000000001"/>
    <n v="0"/>
    <n v="0.2"/>
    <n v="35821.160000000003"/>
    <n v="7164.2320000000009"/>
    <n v="2"/>
    <s v="Q1"/>
    <s v="Feb-2025"/>
    <n v="28656.928000000004"/>
    <n v="114627.71200000001"/>
    <x v="8"/>
  </r>
  <r>
    <s v="ORD00552"/>
    <x v="19"/>
    <x v="2"/>
    <n v="28156.95"/>
    <n v="5"/>
    <n v="140784.75"/>
    <d v="2024-05-06T00:00:00"/>
    <x v="1"/>
    <x v="29"/>
    <s v="May"/>
    <x v="0"/>
    <n v="28156.95"/>
    <n v="28"/>
    <x v="0"/>
    <x v="0"/>
    <n v="140784.75"/>
    <n v="0"/>
    <n v="0.2"/>
    <n v="28156.95"/>
    <n v="5631.39"/>
    <n v="5"/>
    <s v="Q2"/>
    <s v="May-2024"/>
    <n v="39419.730000000003"/>
    <n v="101365.01999999999"/>
    <x v="2"/>
  </r>
  <r>
    <s v="ORD00553"/>
    <x v="11"/>
    <x v="2"/>
    <n v="9335.19"/>
    <n v="2"/>
    <n v="18670.38"/>
    <d v="2024-11-28T00:00:00"/>
    <x v="3"/>
    <x v="1"/>
    <s v="November"/>
    <x v="0"/>
    <n v="3734.0760000000005"/>
    <n v="20"/>
    <x v="1"/>
    <x v="0"/>
    <n v="18670.38"/>
    <n v="0"/>
    <n v="0.2"/>
    <n v="9335.19"/>
    <n v="1867.0380000000002"/>
    <n v="11"/>
    <s v="Q4"/>
    <s v="Nov-2024"/>
    <n v="3734.0760000000005"/>
    <n v="14936.304"/>
    <x v="3"/>
  </r>
  <r>
    <s v="ORD00554"/>
    <x v="15"/>
    <x v="1"/>
    <n v="25114.77"/>
    <n v="2"/>
    <n v="50229.54"/>
    <d v="2024-08-07T00:00:00"/>
    <x v="3"/>
    <x v="22"/>
    <s v="August"/>
    <x v="0"/>
    <n v="10045.908000000001"/>
    <n v="27"/>
    <x v="2"/>
    <x v="1"/>
    <n v="50229.54"/>
    <n v="0"/>
    <n v="0.2"/>
    <n v="25114.77"/>
    <n v="5022.9540000000006"/>
    <n v="8"/>
    <s v="Q3"/>
    <s v="Aug-2024"/>
    <n v="13561.9758"/>
    <n v="36667.564200000001"/>
    <x v="12"/>
  </r>
  <r>
    <s v="ORD00555"/>
    <x v="11"/>
    <x v="2"/>
    <n v="19961.03"/>
    <n v="3"/>
    <n v="59883.09"/>
    <d v="2024-11-28T00:00:00"/>
    <x v="4"/>
    <x v="36"/>
    <s v="November"/>
    <x v="0"/>
    <n v="11976.618"/>
    <n v="6"/>
    <x v="0"/>
    <x v="2"/>
    <n v="59883.09"/>
    <n v="0"/>
    <n v="0.2"/>
    <n v="19961.03"/>
    <n v="3992.2060000000001"/>
    <n v="11"/>
    <s v="Q4"/>
    <s v="Nov-2024"/>
    <n v="3592.9853999999996"/>
    <n v="56290.104599999999"/>
    <x v="3"/>
  </r>
  <r>
    <s v="ORD00556"/>
    <x v="18"/>
    <x v="3"/>
    <n v="38488.04"/>
    <n v="2"/>
    <n v="76976.08"/>
    <d v="2024-08-04T00:00:00"/>
    <x v="1"/>
    <x v="19"/>
    <s v="August"/>
    <x v="0"/>
    <n v="15395.216"/>
    <n v="21"/>
    <x v="0"/>
    <x v="3"/>
    <n v="76976.08"/>
    <n v="0"/>
    <n v="0.2"/>
    <n v="38488.04"/>
    <n v="7697.6080000000002"/>
    <n v="8"/>
    <s v="Q3"/>
    <s v="Aug-2024"/>
    <n v="16164.976799999999"/>
    <n v="60811.103200000005"/>
    <x v="12"/>
  </r>
  <r>
    <s v="ORD00557"/>
    <x v="10"/>
    <x v="2"/>
    <n v="20202.560000000001"/>
    <n v="5"/>
    <n v="101012.8"/>
    <d v="2024-05-17T00:00:00"/>
    <x v="4"/>
    <x v="22"/>
    <s v="May"/>
    <x v="0"/>
    <n v="20202.560000000001"/>
    <n v="24"/>
    <x v="0"/>
    <x v="1"/>
    <n v="101012.8"/>
    <n v="0"/>
    <n v="0.2"/>
    <n v="20202.560000000001"/>
    <n v="4040.5120000000002"/>
    <n v="5"/>
    <s v="Q2"/>
    <s v="May-2024"/>
    <n v="24243.072"/>
    <n v="76769.728000000003"/>
    <x v="2"/>
  </r>
  <r>
    <s v="ORD00558"/>
    <x v="20"/>
    <x v="3"/>
    <n v="39008.370000000003"/>
    <n v="3"/>
    <n v="117025.11"/>
    <d v="2024-09-21T00:00:00"/>
    <x v="5"/>
    <x v="21"/>
    <s v="September"/>
    <x v="0"/>
    <n v="23405.022000000001"/>
    <n v="28"/>
    <x v="1"/>
    <x v="0"/>
    <n v="117025.11000000002"/>
    <n v="0"/>
    <n v="0.2"/>
    <n v="39008.370000000003"/>
    <n v="7801.674"/>
    <n v="9"/>
    <s v="Q3"/>
    <s v="Sep-2024"/>
    <n v="32767.0308"/>
    <n v="84258.079200000007"/>
    <x v="0"/>
  </r>
  <r>
    <s v="ORD00559"/>
    <x v="10"/>
    <x v="2"/>
    <n v="9946.27"/>
    <n v="1"/>
    <n v="9946.27"/>
    <d v="2024-12-19T00:00:00"/>
    <x v="4"/>
    <x v="19"/>
    <s v="December"/>
    <x v="0"/>
    <n v="1989.2540000000001"/>
    <n v="16"/>
    <x v="2"/>
    <x v="2"/>
    <n v="9946.27"/>
    <n v="0"/>
    <n v="0.2"/>
    <n v="9946.27"/>
    <n v="1989.2540000000001"/>
    <n v="12"/>
    <s v="Q4"/>
    <s v="Dec-2024"/>
    <n v="1591.4032"/>
    <n v="8354.8667999999998"/>
    <x v="1"/>
  </r>
  <r>
    <s v="ORD00560"/>
    <x v="15"/>
    <x v="1"/>
    <n v="7994.76"/>
    <n v="5"/>
    <n v="39973.800000000003"/>
    <d v="2024-09-23T00:00:00"/>
    <x v="0"/>
    <x v="39"/>
    <s v="September"/>
    <x v="0"/>
    <n v="7994.7600000000011"/>
    <n v="22"/>
    <x v="0"/>
    <x v="0"/>
    <n v="39973.800000000003"/>
    <n v="0"/>
    <n v="0.2"/>
    <n v="7994.76"/>
    <n v="1598.9520000000002"/>
    <n v="9"/>
    <s v="Q3"/>
    <s v="Sep-2024"/>
    <n v="8794.2360000000008"/>
    <n v="31179.564000000002"/>
    <x v="0"/>
  </r>
  <r>
    <s v="ORD00561"/>
    <x v="4"/>
    <x v="4"/>
    <n v="6341.62"/>
    <n v="3"/>
    <n v="19024.86"/>
    <d v="2024-12-06T00:00:00"/>
    <x v="4"/>
    <x v="2"/>
    <s v="December"/>
    <x v="0"/>
    <n v="3804.9720000000002"/>
    <n v="7"/>
    <x v="1"/>
    <x v="3"/>
    <n v="19024.86"/>
    <n v="0"/>
    <n v="0.2"/>
    <n v="6341.62"/>
    <n v="1268.3240000000001"/>
    <n v="12"/>
    <s v="Q4"/>
    <s v="Dec-2024"/>
    <n v="1331.7402000000002"/>
    <n v="17693.1198"/>
    <x v="1"/>
  </r>
  <r>
    <s v="ORD00562"/>
    <x v="1"/>
    <x v="1"/>
    <n v="37503.57"/>
    <n v="4"/>
    <n v="150014.28"/>
    <d v="2024-04-03T00:00:00"/>
    <x v="3"/>
    <x v="31"/>
    <s v="April"/>
    <x v="0"/>
    <n v="30002.856"/>
    <n v="5"/>
    <x v="1"/>
    <x v="0"/>
    <n v="150014.28"/>
    <n v="0"/>
    <n v="0.2"/>
    <n v="37503.57"/>
    <n v="7500.7139999999999"/>
    <n v="4"/>
    <s v="Q2"/>
    <s v="Apr-2024"/>
    <n v="7500.7139999999999"/>
    <n v="142513.56599999999"/>
    <x v="9"/>
  </r>
  <r>
    <s v="ORD00563"/>
    <x v="21"/>
    <x v="0"/>
    <n v="36760.35"/>
    <n v="1"/>
    <n v="36760.35"/>
    <d v="2024-08-27T00:00:00"/>
    <x v="4"/>
    <x v="39"/>
    <s v="August"/>
    <x v="0"/>
    <n v="7352.07"/>
    <n v="5"/>
    <x v="1"/>
    <x v="0"/>
    <n v="36760.35"/>
    <n v="0"/>
    <n v="0.2"/>
    <n v="36760.35"/>
    <n v="7352.07"/>
    <n v="8"/>
    <s v="Q3"/>
    <s v="Aug-2024"/>
    <n v="1838.0174999999999"/>
    <n v="34922.332499999997"/>
    <x v="12"/>
  </r>
  <r>
    <s v="ORD00564"/>
    <x v="8"/>
    <x v="1"/>
    <n v="38023.86"/>
    <n v="5"/>
    <n v="190119.3"/>
    <d v="2024-07-22T00:00:00"/>
    <x v="4"/>
    <x v="37"/>
    <s v="July"/>
    <x v="0"/>
    <n v="38023.86"/>
    <n v="23"/>
    <x v="0"/>
    <x v="3"/>
    <n v="190119.3"/>
    <n v="0"/>
    <n v="0.2"/>
    <n v="38023.86"/>
    <n v="7604.7719999999999"/>
    <n v="7"/>
    <s v="Q3"/>
    <s v="Jul-2024"/>
    <n v="43727.438999999991"/>
    <n v="146391.861"/>
    <x v="5"/>
  </r>
  <r>
    <s v="ORD00565"/>
    <x v="24"/>
    <x v="1"/>
    <n v="17983.34"/>
    <n v="1"/>
    <n v="17983.34"/>
    <d v="2024-02-20T00:00:00"/>
    <x v="3"/>
    <x v="39"/>
    <s v="February"/>
    <x v="0"/>
    <n v="3596.6680000000001"/>
    <n v="15"/>
    <x v="2"/>
    <x v="2"/>
    <n v="17983.34"/>
    <n v="0"/>
    <n v="0.2"/>
    <n v="17983.34"/>
    <n v="3596.6680000000001"/>
    <n v="2"/>
    <s v="Q1"/>
    <s v="Feb-2024"/>
    <n v="2697.5009999999997"/>
    <n v="15285.839"/>
    <x v="10"/>
  </r>
  <r>
    <s v="ORD00566"/>
    <x v="16"/>
    <x v="4"/>
    <n v="25457.34"/>
    <n v="5"/>
    <n v="127286.7"/>
    <d v="2024-05-11T00:00:00"/>
    <x v="1"/>
    <x v="17"/>
    <s v="May"/>
    <x v="0"/>
    <n v="25457.34"/>
    <n v="9"/>
    <x v="0"/>
    <x v="1"/>
    <n v="127286.7"/>
    <n v="0"/>
    <n v="0.2"/>
    <n v="25457.34"/>
    <n v="5091.4679999999998"/>
    <n v="5"/>
    <s v="Q2"/>
    <s v="May-2024"/>
    <n v="11455.803"/>
    <n v="115830.897"/>
    <x v="2"/>
  </r>
  <r>
    <s v="ORD00567"/>
    <x v="22"/>
    <x v="0"/>
    <n v="26220.67"/>
    <n v="4"/>
    <n v="104882.68"/>
    <d v="2024-04-30T00:00:00"/>
    <x v="5"/>
    <x v="26"/>
    <s v="April"/>
    <x v="0"/>
    <n v="20976.536"/>
    <n v="16"/>
    <x v="0"/>
    <x v="2"/>
    <n v="104882.68"/>
    <n v="0"/>
    <n v="0.2"/>
    <n v="26220.67"/>
    <n v="5244.134"/>
    <n v="4"/>
    <s v="Q2"/>
    <s v="Apr-2024"/>
    <n v="16781.228799999997"/>
    <n v="88101.451199999996"/>
    <x v="9"/>
  </r>
  <r>
    <s v="ORD00568"/>
    <x v="0"/>
    <x v="0"/>
    <n v="48670.07"/>
    <n v="1"/>
    <n v="48670.07"/>
    <d v="2025-02-01T00:00:00"/>
    <x v="1"/>
    <x v="24"/>
    <s v="February"/>
    <x v="1"/>
    <n v="9734.014000000001"/>
    <n v="7"/>
    <x v="2"/>
    <x v="3"/>
    <n v="48670.07"/>
    <n v="0"/>
    <n v="0.2"/>
    <n v="48670.07"/>
    <n v="9734.014000000001"/>
    <n v="2"/>
    <s v="Q1"/>
    <s v="Feb-2025"/>
    <n v="3406.9049"/>
    <n v="45263.165099999998"/>
    <x v="8"/>
  </r>
  <r>
    <s v="ORD00569"/>
    <x v="12"/>
    <x v="3"/>
    <n v="12197.36"/>
    <n v="5"/>
    <n v="60986.8"/>
    <d v="2025-01-10T00:00:00"/>
    <x v="0"/>
    <x v="0"/>
    <s v="January"/>
    <x v="1"/>
    <n v="12197.36"/>
    <n v="5"/>
    <x v="2"/>
    <x v="0"/>
    <n v="60986.8"/>
    <n v="0"/>
    <n v="0.2"/>
    <n v="12197.36"/>
    <n v="2439.4720000000002"/>
    <n v="1"/>
    <s v="Q1"/>
    <s v="Jan-2025"/>
    <n v="3049.34"/>
    <n v="57937.460000000006"/>
    <x v="6"/>
  </r>
  <r>
    <s v="ORD00570"/>
    <x v="9"/>
    <x v="3"/>
    <n v="14488.22"/>
    <n v="4"/>
    <n v="57952.88"/>
    <d v="2024-12-25T00:00:00"/>
    <x v="5"/>
    <x v="29"/>
    <s v="December"/>
    <x v="0"/>
    <n v="11590.576000000001"/>
    <n v="5"/>
    <x v="2"/>
    <x v="2"/>
    <n v="57952.88"/>
    <n v="0"/>
    <n v="0.20000000000000004"/>
    <n v="14488.22"/>
    <n v="2897.6440000000002"/>
    <n v="12"/>
    <s v="Q4"/>
    <s v="Dec-2024"/>
    <n v="2897.6439999999998"/>
    <n v="55055.235999999997"/>
    <x v="1"/>
  </r>
  <r>
    <s v="ORD00571"/>
    <x v="7"/>
    <x v="4"/>
    <n v="33547.94"/>
    <n v="2"/>
    <n v="67095.88"/>
    <d v="2025-01-15T00:00:00"/>
    <x v="5"/>
    <x v="19"/>
    <s v="January"/>
    <x v="1"/>
    <n v="13419.176000000001"/>
    <n v="12"/>
    <x v="1"/>
    <x v="1"/>
    <n v="67095.88"/>
    <n v="0"/>
    <n v="0.2"/>
    <n v="33547.94"/>
    <n v="6709.5880000000006"/>
    <n v="1"/>
    <s v="Q1"/>
    <s v="Jan-2025"/>
    <n v="8051.5056000000004"/>
    <n v="59044.374400000001"/>
    <x v="6"/>
  </r>
  <r>
    <s v="ORD00572"/>
    <x v="6"/>
    <x v="1"/>
    <n v="4800.26"/>
    <n v="5"/>
    <n v="24001.3"/>
    <d v="2024-03-23T00:00:00"/>
    <x v="1"/>
    <x v="21"/>
    <s v="March"/>
    <x v="0"/>
    <n v="4800.26"/>
    <n v="14"/>
    <x v="2"/>
    <x v="3"/>
    <n v="24001.300000000003"/>
    <n v="0"/>
    <n v="0.2"/>
    <n v="4800.26"/>
    <n v="960.05200000000002"/>
    <n v="3"/>
    <s v="Q1"/>
    <s v="Mar-2024"/>
    <n v="3360.1820000000002"/>
    <n v="20641.117999999999"/>
    <x v="7"/>
  </r>
  <r>
    <s v="ORD00573"/>
    <x v="4"/>
    <x v="4"/>
    <n v="36429.57"/>
    <n v="4"/>
    <n v="145718.28"/>
    <d v="2024-04-08T00:00:00"/>
    <x v="4"/>
    <x v="33"/>
    <s v="April"/>
    <x v="0"/>
    <n v="29143.656000000003"/>
    <n v="15"/>
    <x v="0"/>
    <x v="2"/>
    <n v="145718.28"/>
    <n v="0"/>
    <n v="0.2"/>
    <n v="36429.57"/>
    <n v="7285.9140000000007"/>
    <n v="4"/>
    <s v="Q2"/>
    <s v="Apr-2024"/>
    <n v="21857.742000000002"/>
    <n v="123860.538"/>
    <x v="9"/>
  </r>
  <r>
    <s v="ORD00574"/>
    <x v="9"/>
    <x v="3"/>
    <n v="29775.43"/>
    <n v="4"/>
    <n v="119101.72"/>
    <d v="2024-02-17T00:00:00"/>
    <x v="0"/>
    <x v="33"/>
    <s v="February"/>
    <x v="0"/>
    <n v="23820.344000000001"/>
    <n v="16"/>
    <x v="2"/>
    <x v="1"/>
    <n v="119101.72"/>
    <n v="0"/>
    <n v="0.2"/>
    <n v="29775.43"/>
    <n v="5955.0860000000002"/>
    <n v="2"/>
    <s v="Q1"/>
    <s v="Feb-2024"/>
    <n v="19056.2752"/>
    <n v="100045.4448"/>
    <x v="10"/>
  </r>
  <r>
    <s v="ORD00575"/>
    <x v="10"/>
    <x v="2"/>
    <n v="10736.32"/>
    <n v="3"/>
    <n v="32208.959999999999"/>
    <d v="2024-07-15T00:00:00"/>
    <x v="1"/>
    <x v="13"/>
    <s v="July"/>
    <x v="0"/>
    <n v="6441.7920000000004"/>
    <n v="17"/>
    <x v="0"/>
    <x v="3"/>
    <n v="32208.959999999999"/>
    <n v="0"/>
    <n v="0.2"/>
    <n v="10736.32"/>
    <n v="2147.2640000000001"/>
    <n v="7"/>
    <s v="Q3"/>
    <s v="Jul-2024"/>
    <n v="5475.5231999999996"/>
    <n v="26733.436799999999"/>
    <x v="5"/>
  </r>
  <r>
    <s v="ORD00576"/>
    <x v="22"/>
    <x v="0"/>
    <n v="8005.02"/>
    <n v="5"/>
    <n v="40025.1"/>
    <d v="2024-05-10T00:00:00"/>
    <x v="1"/>
    <x v="15"/>
    <s v="May"/>
    <x v="0"/>
    <n v="8005.02"/>
    <n v="16"/>
    <x v="1"/>
    <x v="1"/>
    <n v="40025.100000000006"/>
    <n v="0"/>
    <n v="0.2"/>
    <n v="8005.0199999999995"/>
    <n v="1601.0040000000001"/>
    <n v="5"/>
    <s v="Q2"/>
    <s v="May-2024"/>
    <n v="6404.0159999999996"/>
    <n v="33621.084000000003"/>
    <x v="2"/>
  </r>
  <r>
    <s v="ORD00577"/>
    <x v="10"/>
    <x v="2"/>
    <n v="32078.48"/>
    <n v="3"/>
    <n v="96235.44"/>
    <d v="2024-03-27T00:00:00"/>
    <x v="4"/>
    <x v="16"/>
    <s v="March"/>
    <x v="0"/>
    <n v="19247.088"/>
    <n v="18"/>
    <x v="0"/>
    <x v="3"/>
    <n v="96235.44"/>
    <n v="0"/>
    <n v="0.19999999999999998"/>
    <n v="32078.48"/>
    <n v="6415.6959999999999"/>
    <n v="3"/>
    <s v="Q1"/>
    <s v="Mar-2024"/>
    <n v="17322.379199999999"/>
    <n v="78913.060800000007"/>
    <x v="7"/>
  </r>
  <r>
    <s v="ORD00578"/>
    <x v="3"/>
    <x v="3"/>
    <n v="31277.18"/>
    <n v="1"/>
    <n v="31277.18"/>
    <d v="2024-09-10T00:00:00"/>
    <x v="0"/>
    <x v="32"/>
    <s v="September"/>
    <x v="0"/>
    <n v="6255.4360000000006"/>
    <n v="6"/>
    <x v="0"/>
    <x v="0"/>
    <n v="31277.18"/>
    <n v="0"/>
    <n v="0.2"/>
    <n v="31277.18"/>
    <n v="6255.4360000000006"/>
    <n v="9"/>
    <s v="Q3"/>
    <s v="Sep-2024"/>
    <n v="1876.6308000000001"/>
    <n v="29400.549200000001"/>
    <x v="0"/>
  </r>
  <r>
    <s v="ORD00579"/>
    <x v="20"/>
    <x v="3"/>
    <n v="31094.13"/>
    <n v="1"/>
    <n v="31094.13"/>
    <d v="2024-11-03T00:00:00"/>
    <x v="1"/>
    <x v="29"/>
    <s v="November"/>
    <x v="0"/>
    <n v="6218.8260000000009"/>
    <n v="23"/>
    <x v="2"/>
    <x v="2"/>
    <n v="31094.13"/>
    <n v="0"/>
    <n v="0.2"/>
    <n v="31094.13"/>
    <n v="6218.8260000000009"/>
    <n v="11"/>
    <s v="Q4"/>
    <s v="Nov-2024"/>
    <n v="7151.6499000000003"/>
    <n v="23942.480100000001"/>
    <x v="3"/>
  </r>
  <r>
    <s v="ORD00580"/>
    <x v="13"/>
    <x v="0"/>
    <n v="15881.67"/>
    <n v="4"/>
    <n v="63526.68"/>
    <d v="2025-01-19T00:00:00"/>
    <x v="2"/>
    <x v="17"/>
    <s v="January"/>
    <x v="1"/>
    <n v="12705.336000000001"/>
    <n v="22"/>
    <x v="2"/>
    <x v="1"/>
    <n v="63526.68"/>
    <n v="0"/>
    <n v="0.2"/>
    <n v="15881.67"/>
    <n v="3176.3340000000003"/>
    <n v="1"/>
    <s v="Q1"/>
    <s v="Jan-2025"/>
    <n v="13975.8696"/>
    <n v="49550.810400000002"/>
    <x v="6"/>
  </r>
  <r>
    <s v="ORD00581"/>
    <x v="8"/>
    <x v="1"/>
    <n v="16129.77"/>
    <n v="4"/>
    <n v="64519.08"/>
    <d v="2024-06-19T00:00:00"/>
    <x v="0"/>
    <x v="34"/>
    <s v="June"/>
    <x v="0"/>
    <n v="12903.816000000001"/>
    <n v="7"/>
    <x v="0"/>
    <x v="3"/>
    <n v="64519.08"/>
    <n v="0"/>
    <n v="0.2"/>
    <n v="16129.77"/>
    <n v="3225.9540000000002"/>
    <n v="6"/>
    <s v="Q2"/>
    <s v="Jun-2024"/>
    <n v="4516.3356000000003"/>
    <n v="60002.744400000003"/>
    <x v="11"/>
  </r>
  <r>
    <s v="ORD00582"/>
    <x v="17"/>
    <x v="2"/>
    <n v="39478.69"/>
    <n v="5"/>
    <n v="197393.45"/>
    <d v="2024-11-24T00:00:00"/>
    <x v="4"/>
    <x v="29"/>
    <s v="November"/>
    <x v="0"/>
    <n v="39478.69"/>
    <n v="27"/>
    <x v="2"/>
    <x v="1"/>
    <n v="197393.45"/>
    <n v="0"/>
    <n v="0.2"/>
    <n v="39478.69"/>
    <n v="7895.7380000000003"/>
    <n v="11"/>
    <s v="Q4"/>
    <s v="Nov-2024"/>
    <n v="53296.231500000002"/>
    <n v="144097.21850000002"/>
    <x v="3"/>
  </r>
  <r>
    <s v="ORD00583"/>
    <x v="13"/>
    <x v="0"/>
    <n v="29635.8"/>
    <n v="3"/>
    <n v="88907.4"/>
    <d v="2025-01-16T00:00:00"/>
    <x v="4"/>
    <x v="12"/>
    <s v="January"/>
    <x v="1"/>
    <n v="17781.48"/>
    <n v="21"/>
    <x v="1"/>
    <x v="1"/>
    <n v="88907.4"/>
    <n v="0"/>
    <n v="0.2"/>
    <n v="29635.8"/>
    <n v="5927.16"/>
    <n v="1"/>
    <s v="Q1"/>
    <s v="Jan-2025"/>
    <n v="18670.554"/>
    <n v="70236.84599999999"/>
    <x v="6"/>
  </r>
  <r>
    <s v="ORD00584"/>
    <x v="3"/>
    <x v="3"/>
    <n v="7892.27"/>
    <n v="2"/>
    <n v="15784.54"/>
    <d v="2024-05-02T00:00:00"/>
    <x v="5"/>
    <x v="19"/>
    <s v="May"/>
    <x v="0"/>
    <n v="3156.9080000000004"/>
    <n v="30"/>
    <x v="1"/>
    <x v="2"/>
    <n v="15784.54"/>
    <n v="0"/>
    <n v="0.2"/>
    <n v="7892.27"/>
    <n v="1578.4540000000002"/>
    <n v="5"/>
    <s v="Q2"/>
    <s v="May-2024"/>
    <n v="4735.3620000000001"/>
    <n v="11049.178"/>
    <x v="2"/>
  </r>
  <r>
    <s v="ORD00585"/>
    <x v="9"/>
    <x v="3"/>
    <n v="45112.24"/>
    <n v="3"/>
    <n v="135336.72"/>
    <d v="2024-11-13T00:00:00"/>
    <x v="2"/>
    <x v="25"/>
    <s v="November"/>
    <x v="0"/>
    <n v="27067.344000000001"/>
    <n v="12"/>
    <x v="2"/>
    <x v="0"/>
    <n v="135336.72"/>
    <n v="0"/>
    <n v="0.2"/>
    <n v="45112.24"/>
    <n v="9022.4480000000003"/>
    <n v="11"/>
    <s v="Q4"/>
    <s v="Nov-2024"/>
    <n v="16240.406400000002"/>
    <n v="119096.31359999999"/>
    <x v="3"/>
  </r>
  <r>
    <s v="ORD00586"/>
    <x v="1"/>
    <x v="1"/>
    <n v="26527.78"/>
    <n v="4"/>
    <n v="106111.12"/>
    <d v="2024-02-15T00:00:00"/>
    <x v="5"/>
    <x v="13"/>
    <s v="February"/>
    <x v="0"/>
    <n v="21222.224000000002"/>
    <n v="30"/>
    <x v="1"/>
    <x v="1"/>
    <n v="106111.12"/>
    <n v="0"/>
    <n v="0.20000000000000004"/>
    <n v="26527.78"/>
    <n v="5305.5560000000005"/>
    <n v="2"/>
    <s v="Q1"/>
    <s v="Feb-2024"/>
    <n v="31833.335999999996"/>
    <n v="74277.784"/>
    <x v="10"/>
  </r>
  <r>
    <s v="ORD00587"/>
    <x v="4"/>
    <x v="4"/>
    <n v="37170.400000000001"/>
    <n v="5"/>
    <n v="185852"/>
    <d v="2024-05-08T00:00:00"/>
    <x v="0"/>
    <x v="13"/>
    <s v="May"/>
    <x v="0"/>
    <n v="37170.400000000001"/>
    <n v="14"/>
    <x v="2"/>
    <x v="3"/>
    <n v="185852"/>
    <n v="0"/>
    <n v="0.2"/>
    <n v="37170.400000000001"/>
    <n v="7434.08"/>
    <n v="5"/>
    <s v="Q2"/>
    <s v="May-2024"/>
    <n v="26019.279999999999"/>
    <n v="159832.72"/>
    <x v="2"/>
  </r>
  <r>
    <s v="ORD00588"/>
    <x v="1"/>
    <x v="1"/>
    <n v="47535.79"/>
    <n v="5"/>
    <n v="237678.95"/>
    <d v="2024-02-15T00:00:00"/>
    <x v="0"/>
    <x v="31"/>
    <s v="February"/>
    <x v="0"/>
    <n v="47535.790000000008"/>
    <n v="30"/>
    <x v="0"/>
    <x v="3"/>
    <n v="237678.95"/>
    <n v="0"/>
    <n v="0.2"/>
    <n v="47535.79"/>
    <n v="9507.1580000000013"/>
    <n v="2"/>
    <s v="Q1"/>
    <s v="Feb-2024"/>
    <n v="71303.684999999998"/>
    <n v="166375.26500000001"/>
    <x v="10"/>
  </r>
  <r>
    <s v="ORD00589"/>
    <x v="16"/>
    <x v="4"/>
    <n v="30252.89"/>
    <n v="4"/>
    <n v="121011.56"/>
    <d v="2024-12-16T00:00:00"/>
    <x v="2"/>
    <x v="27"/>
    <s v="December"/>
    <x v="0"/>
    <n v="24202.312000000002"/>
    <n v="6"/>
    <x v="0"/>
    <x v="0"/>
    <n v="121011.56"/>
    <n v="0"/>
    <n v="0.2"/>
    <n v="30252.89"/>
    <n v="6050.5780000000004"/>
    <n v="12"/>
    <s v="Q4"/>
    <s v="Dec-2024"/>
    <n v="7260.6935999999996"/>
    <n v="113750.8664"/>
    <x v="1"/>
  </r>
  <r>
    <s v="ORD00590"/>
    <x v="6"/>
    <x v="1"/>
    <n v="3126.9"/>
    <n v="3"/>
    <n v="9380.7000000000007"/>
    <d v="2024-10-30T00:00:00"/>
    <x v="3"/>
    <x v="30"/>
    <s v="October"/>
    <x v="0"/>
    <n v="1876.1400000000003"/>
    <n v="23"/>
    <x v="1"/>
    <x v="3"/>
    <n v="9380.7000000000007"/>
    <n v="0"/>
    <n v="0.2"/>
    <n v="3126.9"/>
    <n v="625.38000000000011"/>
    <n v="10"/>
    <s v="Q4"/>
    <s v="Oct-2024"/>
    <n v="2157.5610000000001"/>
    <n v="7223.139000000001"/>
    <x v="4"/>
  </r>
  <r>
    <s v="ORD00591"/>
    <x v="22"/>
    <x v="0"/>
    <n v="40295.47"/>
    <n v="3"/>
    <n v="120886.41"/>
    <d v="2024-04-29T00:00:00"/>
    <x v="1"/>
    <x v="18"/>
    <s v="April"/>
    <x v="0"/>
    <n v="24177.282000000003"/>
    <n v="13"/>
    <x v="2"/>
    <x v="0"/>
    <n v="120886.41"/>
    <n v="0"/>
    <n v="0.2"/>
    <n v="40295.47"/>
    <n v="8059.094000000001"/>
    <n v="4"/>
    <s v="Q2"/>
    <s v="Apr-2024"/>
    <n v="15715.2333"/>
    <n v="105171.17670000001"/>
    <x v="9"/>
  </r>
  <r>
    <s v="ORD00592"/>
    <x v="10"/>
    <x v="2"/>
    <n v="462"/>
    <n v="4"/>
    <n v="1848"/>
    <d v="2024-06-18T00:00:00"/>
    <x v="3"/>
    <x v="20"/>
    <s v="June"/>
    <x v="0"/>
    <n v="369.6"/>
    <n v="11"/>
    <x v="2"/>
    <x v="3"/>
    <n v="1848"/>
    <n v="0"/>
    <n v="0.2"/>
    <n v="462"/>
    <n v="92.4"/>
    <n v="6"/>
    <s v="Q2"/>
    <s v="Jun-2024"/>
    <n v="203.28"/>
    <n v="1644.72"/>
    <x v="11"/>
  </r>
  <r>
    <s v="ORD00593"/>
    <x v="11"/>
    <x v="2"/>
    <n v="22475.54"/>
    <n v="3"/>
    <n v="67426.62"/>
    <d v="2024-03-15T00:00:00"/>
    <x v="1"/>
    <x v="14"/>
    <s v="March"/>
    <x v="0"/>
    <n v="13485.324000000001"/>
    <n v="8"/>
    <x v="1"/>
    <x v="2"/>
    <n v="67426.62"/>
    <n v="0"/>
    <n v="0.2"/>
    <n v="22475.539999999997"/>
    <n v="4495.1080000000002"/>
    <n v="3"/>
    <s v="Q1"/>
    <s v="Mar-2024"/>
    <n v="5394.1295999999993"/>
    <n v="62032.490399999995"/>
    <x v="7"/>
  </r>
  <r>
    <s v="ORD00594"/>
    <x v="20"/>
    <x v="3"/>
    <n v="19218.55"/>
    <n v="2"/>
    <n v="38437.1"/>
    <d v="2024-09-20T00:00:00"/>
    <x v="2"/>
    <x v="16"/>
    <s v="September"/>
    <x v="0"/>
    <n v="7687.42"/>
    <n v="30"/>
    <x v="0"/>
    <x v="1"/>
    <n v="38437.1"/>
    <n v="0"/>
    <n v="0.2"/>
    <n v="19218.55"/>
    <n v="3843.71"/>
    <n v="9"/>
    <s v="Q3"/>
    <s v="Sep-2024"/>
    <n v="11531.13"/>
    <n v="26905.97"/>
    <x v="0"/>
  </r>
  <r>
    <s v="ORD00595"/>
    <x v="3"/>
    <x v="3"/>
    <n v="31162.39"/>
    <n v="5"/>
    <n v="155811.95000000001"/>
    <d v="2024-04-16T00:00:00"/>
    <x v="4"/>
    <x v="20"/>
    <s v="April"/>
    <x v="0"/>
    <n v="31162.390000000003"/>
    <n v="25"/>
    <x v="1"/>
    <x v="2"/>
    <n v="155811.95000000001"/>
    <n v="0"/>
    <n v="0.2"/>
    <n v="31162.390000000003"/>
    <n v="6232.478000000001"/>
    <n v="4"/>
    <s v="Q2"/>
    <s v="Apr-2024"/>
    <n v="38952.987500000003"/>
    <n v="116858.96250000001"/>
    <x v="9"/>
  </r>
  <r>
    <s v="ORD00596"/>
    <x v="17"/>
    <x v="2"/>
    <n v="16017.54"/>
    <n v="1"/>
    <n v="16017.54"/>
    <d v="2024-06-15T00:00:00"/>
    <x v="1"/>
    <x v="0"/>
    <s v="June"/>
    <x v="0"/>
    <n v="3203.5080000000003"/>
    <n v="22"/>
    <x v="0"/>
    <x v="1"/>
    <n v="16017.54"/>
    <n v="0"/>
    <n v="0.2"/>
    <n v="16017.54"/>
    <n v="3203.5080000000003"/>
    <n v="6"/>
    <s v="Q2"/>
    <s v="Jun-2024"/>
    <n v="3523.8588"/>
    <n v="12493.681200000001"/>
    <x v="11"/>
  </r>
  <r>
    <s v="ORD00597"/>
    <x v="4"/>
    <x v="4"/>
    <n v="19008.810000000001"/>
    <n v="4"/>
    <n v="76035.240000000005"/>
    <d v="2024-07-05T00:00:00"/>
    <x v="3"/>
    <x v="24"/>
    <s v="July"/>
    <x v="0"/>
    <n v="15207.048000000003"/>
    <n v="17"/>
    <x v="2"/>
    <x v="1"/>
    <n v="76035.240000000005"/>
    <n v="0"/>
    <n v="0.2"/>
    <n v="19008.810000000001"/>
    <n v="3801.7620000000006"/>
    <n v="7"/>
    <s v="Q3"/>
    <s v="Jul-2024"/>
    <n v="12925.990800000001"/>
    <n v="63109.249200000006"/>
    <x v="5"/>
  </r>
  <r>
    <s v="ORD00598"/>
    <x v="20"/>
    <x v="3"/>
    <n v="22353.43"/>
    <n v="3"/>
    <n v="67060.289999999994"/>
    <d v="2024-12-02T00:00:00"/>
    <x v="0"/>
    <x v="11"/>
    <s v="December"/>
    <x v="0"/>
    <n v="13412.057999999999"/>
    <n v="15"/>
    <x v="0"/>
    <x v="1"/>
    <n v="67060.290000000008"/>
    <n v="0"/>
    <n v="0.2"/>
    <n v="22353.429999999997"/>
    <n v="4470.6859999999997"/>
    <n v="12"/>
    <s v="Q4"/>
    <s v="Dec-2024"/>
    <n v="10059.043499999998"/>
    <n v="57001.246499999994"/>
    <x v="1"/>
  </r>
  <r>
    <s v="ORD00599"/>
    <x v="5"/>
    <x v="4"/>
    <n v="30122.28"/>
    <n v="5"/>
    <n v="150611.4"/>
    <d v="2025-01-30T00:00:00"/>
    <x v="1"/>
    <x v="38"/>
    <s v="January"/>
    <x v="1"/>
    <n v="30122.28"/>
    <n v="28"/>
    <x v="1"/>
    <x v="2"/>
    <n v="150611.4"/>
    <n v="0"/>
    <n v="0.2"/>
    <n v="30122.28"/>
    <n v="6024.4560000000001"/>
    <n v="1"/>
    <s v="Q1"/>
    <s v="Jan-2025"/>
    <n v="42171.192000000003"/>
    <n v="108440.20799999998"/>
    <x v="6"/>
  </r>
  <r>
    <s v="ORD00600"/>
    <x v="9"/>
    <x v="3"/>
    <n v="7289.72"/>
    <n v="5"/>
    <n v="36448.6"/>
    <d v="2024-05-29T00:00:00"/>
    <x v="2"/>
    <x v="30"/>
    <s v="May"/>
    <x v="0"/>
    <n v="7289.72"/>
    <n v="8"/>
    <x v="2"/>
    <x v="1"/>
    <n v="36448.6"/>
    <n v="0"/>
    <n v="0.2"/>
    <n v="7289.7199999999993"/>
    <n v="1457.944"/>
    <n v="5"/>
    <s v="Q2"/>
    <s v="May-2024"/>
    <n v="2915.8879999999999"/>
    <n v="33532.712"/>
    <x v="2"/>
  </r>
  <r>
    <s v="ORD00601"/>
    <x v="3"/>
    <x v="3"/>
    <n v="32122.43"/>
    <n v="4"/>
    <n v="128489.72"/>
    <d v="2024-02-22T00:00:00"/>
    <x v="3"/>
    <x v="18"/>
    <s v="February"/>
    <x v="0"/>
    <n v="25697.944000000003"/>
    <n v="29"/>
    <x v="1"/>
    <x v="2"/>
    <n v="128489.72"/>
    <n v="0"/>
    <n v="0.2"/>
    <n v="32122.43"/>
    <n v="6424.4860000000008"/>
    <n v="2"/>
    <s v="Q1"/>
    <s v="Feb-2024"/>
    <n v="37262.018799999998"/>
    <n v="91227.70120000001"/>
    <x v="10"/>
  </r>
  <r>
    <s v="ORD00602"/>
    <x v="6"/>
    <x v="1"/>
    <n v="43852.34"/>
    <n v="3"/>
    <n v="131557.01999999999"/>
    <d v="2024-04-24T00:00:00"/>
    <x v="5"/>
    <x v="24"/>
    <s v="April"/>
    <x v="0"/>
    <n v="26311.403999999999"/>
    <n v="25"/>
    <x v="1"/>
    <x v="0"/>
    <n v="131557.01999999999"/>
    <n v="0"/>
    <n v="0.2"/>
    <n v="43852.34"/>
    <n v="8770.4679999999989"/>
    <n v="4"/>
    <s v="Q2"/>
    <s v="Apr-2024"/>
    <n v="32889.254999999997"/>
    <n v="98667.764999999985"/>
    <x v="9"/>
  </r>
  <r>
    <s v="ORD00603"/>
    <x v="16"/>
    <x v="4"/>
    <n v="23005.86"/>
    <n v="1"/>
    <n v="23005.86"/>
    <d v="2024-07-18T00:00:00"/>
    <x v="4"/>
    <x v="38"/>
    <s v="July"/>
    <x v="0"/>
    <n v="4601.1720000000005"/>
    <n v="29"/>
    <x v="0"/>
    <x v="3"/>
    <n v="23005.86"/>
    <n v="0"/>
    <n v="0.2"/>
    <n v="23005.86"/>
    <n v="4601.1720000000005"/>
    <n v="7"/>
    <s v="Q3"/>
    <s v="Jul-2024"/>
    <n v="6671.6994000000004"/>
    <n v="16334.160599999999"/>
    <x v="5"/>
  </r>
  <r>
    <s v="ORD00604"/>
    <x v="6"/>
    <x v="1"/>
    <n v="48580.6"/>
    <n v="1"/>
    <n v="48580.6"/>
    <d v="2024-10-09T00:00:00"/>
    <x v="1"/>
    <x v="32"/>
    <s v="October"/>
    <x v="0"/>
    <n v="9716.1200000000008"/>
    <n v="8"/>
    <x v="1"/>
    <x v="3"/>
    <n v="48580.6"/>
    <n v="0"/>
    <n v="0.2"/>
    <n v="48580.6"/>
    <n v="9716.1200000000008"/>
    <n v="10"/>
    <s v="Q4"/>
    <s v="Oct-2024"/>
    <n v="3886.4479999999999"/>
    <n v="44694.152000000002"/>
    <x v="4"/>
  </r>
  <r>
    <s v="ORD00605"/>
    <x v="2"/>
    <x v="2"/>
    <n v="10320.870000000001"/>
    <n v="5"/>
    <n v="51604.35"/>
    <d v="2025-02-05T00:00:00"/>
    <x v="2"/>
    <x v="18"/>
    <s v="February"/>
    <x v="1"/>
    <n v="10320.870000000001"/>
    <n v="14"/>
    <x v="0"/>
    <x v="1"/>
    <n v="51604.350000000006"/>
    <n v="0"/>
    <n v="0.2"/>
    <n v="10320.869999999999"/>
    <n v="2064.174"/>
    <n v="2"/>
    <s v="Q1"/>
    <s v="Feb-2025"/>
    <n v="7224.6090000000004"/>
    <n v="44379.740999999995"/>
    <x v="8"/>
  </r>
  <r>
    <s v="ORD00606"/>
    <x v="4"/>
    <x v="4"/>
    <n v="43149.24"/>
    <n v="1"/>
    <n v="43149.24"/>
    <d v="2024-07-06T00:00:00"/>
    <x v="1"/>
    <x v="30"/>
    <s v="July"/>
    <x v="0"/>
    <n v="8629.848"/>
    <n v="9"/>
    <x v="2"/>
    <x v="2"/>
    <n v="43149.24"/>
    <n v="0"/>
    <n v="0.2"/>
    <n v="43149.24"/>
    <n v="8629.848"/>
    <n v="7"/>
    <s v="Q3"/>
    <s v="Jul-2024"/>
    <n v="3883.4315999999999"/>
    <n v="39265.808399999994"/>
    <x v="5"/>
  </r>
  <r>
    <s v="ORD00607"/>
    <x v="22"/>
    <x v="0"/>
    <n v="567.80999999999995"/>
    <n v="4"/>
    <n v="2271.2399999999998"/>
    <d v="2025-01-17T00:00:00"/>
    <x v="2"/>
    <x v="16"/>
    <s v="January"/>
    <x v="1"/>
    <n v="454.24799999999999"/>
    <n v="13"/>
    <x v="0"/>
    <x v="3"/>
    <n v="2271.2399999999998"/>
    <n v="0"/>
    <n v="0.2"/>
    <n v="567.80999999999995"/>
    <n v="113.562"/>
    <n v="1"/>
    <s v="Q1"/>
    <s v="Jan-2025"/>
    <n v="295.26119999999997"/>
    <n v="1975.9787999999999"/>
    <x v="6"/>
  </r>
  <r>
    <s v="ORD00608"/>
    <x v="13"/>
    <x v="0"/>
    <n v="6705.43"/>
    <n v="5"/>
    <n v="33527.15"/>
    <d v="2024-09-01T00:00:00"/>
    <x v="2"/>
    <x v="16"/>
    <s v="September"/>
    <x v="0"/>
    <n v="6705.43"/>
    <n v="28"/>
    <x v="2"/>
    <x v="2"/>
    <n v="33527.15"/>
    <n v="0"/>
    <n v="0.2"/>
    <n v="6705.43"/>
    <n v="1341.086"/>
    <n v="9"/>
    <s v="Q3"/>
    <s v="Sep-2024"/>
    <n v="9387.6020000000008"/>
    <n v="24139.548000000003"/>
    <x v="0"/>
  </r>
  <r>
    <s v="ORD00609"/>
    <x v="15"/>
    <x v="1"/>
    <n v="29974.35"/>
    <n v="5"/>
    <n v="149871.75"/>
    <d v="2025-01-01T00:00:00"/>
    <x v="2"/>
    <x v="4"/>
    <s v="January"/>
    <x v="1"/>
    <n v="29974.350000000002"/>
    <n v="7"/>
    <x v="0"/>
    <x v="2"/>
    <n v="149871.75"/>
    <n v="0"/>
    <n v="0.2"/>
    <n v="29974.35"/>
    <n v="5994.8700000000008"/>
    <n v="1"/>
    <s v="Q1"/>
    <s v="Jan-2025"/>
    <n v="10491.022499999999"/>
    <n v="139380.72750000001"/>
    <x v="6"/>
  </r>
  <r>
    <s v="ORD00610"/>
    <x v="9"/>
    <x v="3"/>
    <n v="5739.3"/>
    <n v="4"/>
    <n v="22957.200000000001"/>
    <d v="2024-07-15T00:00:00"/>
    <x v="4"/>
    <x v="33"/>
    <s v="July"/>
    <x v="0"/>
    <n v="4591.4400000000005"/>
    <n v="21"/>
    <x v="1"/>
    <x v="1"/>
    <n v="22957.200000000001"/>
    <n v="0"/>
    <n v="0.2"/>
    <n v="5739.3"/>
    <n v="1147.8600000000001"/>
    <n v="7"/>
    <s v="Q3"/>
    <s v="Jul-2024"/>
    <n v="4821.0119999999997"/>
    <n v="18136.188000000002"/>
    <x v="5"/>
  </r>
  <r>
    <s v="ORD00611"/>
    <x v="1"/>
    <x v="1"/>
    <n v="21417.72"/>
    <n v="4"/>
    <n v="85670.88"/>
    <d v="2024-07-20T00:00:00"/>
    <x v="0"/>
    <x v="16"/>
    <s v="July"/>
    <x v="0"/>
    <n v="17134.176000000003"/>
    <n v="7"/>
    <x v="0"/>
    <x v="3"/>
    <n v="85670.88"/>
    <n v="0"/>
    <n v="0.20000000000000004"/>
    <n v="21417.72"/>
    <n v="4283.5440000000008"/>
    <n v="7"/>
    <s v="Q3"/>
    <s v="Jul-2024"/>
    <n v="5996.9616000000005"/>
    <n v="79673.91840000001"/>
    <x v="5"/>
  </r>
  <r>
    <s v="ORD00612"/>
    <x v="7"/>
    <x v="4"/>
    <n v="25404.68"/>
    <n v="4"/>
    <n v="101618.72"/>
    <d v="2025-01-11T00:00:00"/>
    <x v="4"/>
    <x v="33"/>
    <s v="January"/>
    <x v="1"/>
    <n v="20323.744000000002"/>
    <n v="20"/>
    <x v="0"/>
    <x v="1"/>
    <n v="101618.72"/>
    <n v="0"/>
    <n v="0.2"/>
    <n v="25404.68"/>
    <n v="5080.9360000000006"/>
    <n v="1"/>
    <s v="Q1"/>
    <s v="Jan-2025"/>
    <n v="20323.743999999999"/>
    <n v="81294.975999999995"/>
    <x v="6"/>
  </r>
  <r>
    <s v="ORD00613"/>
    <x v="5"/>
    <x v="4"/>
    <n v="27582.01"/>
    <n v="2"/>
    <n v="55164.02"/>
    <d v="2024-02-13T00:00:00"/>
    <x v="0"/>
    <x v="39"/>
    <s v="February"/>
    <x v="0"/>
    <n v="11032.804"/>
    <n v="8"/>
    <x v="2"/>
    <x v="1"/>
    <n v="55164.02"/>
    <n v="0"/>
    <n v="0.2"/>
    <n v="27582.01"/>
    <n v="5516.402"/>
    <n v="2"/>
    <s v="Q1"/>
    <s v="Feb-2024"/>
    <n v="4413.1215999999995"/>
    <n v="50750.898399999998"/>
    <x v="10"/>
  </r>
  <r>
    <s v="ORD00614"/>
    <x v="16"/>
    <x v="4"/>
    <n v="23584.89"/>
    <n v="3"/>
    <n v="70754.67"/>
    <d v="2024-07-07T00:00:00"/>
    <x v="2"/>
    <x v="27"/>
    <s v="July"/>
    <x v="0"/>
    <n v="14150.934000000001"/>
    <n v="22"/>
    <x v="1"/>
    <x v="3"/>
    <n v="70754.67"/>
    <n v="0"/>
    <n v="0.2"/>
    <n v="23584.89"/>
    <n v="4716.9780000000001"/>
    <n v="7"/>
    <s v="Q3"/>
    <s v="Jul-2024"/>
    <n v="15566.027399999999"/>
    <n v="55188.642599999999"/>
    <x v="5"/>
  </r>
  <r>
    <s v="ORD00615"/>
    <x v="0"/>
    <x v="0"/>
    <n v="24444.89"/>
    <n v="3"/>
    <n v="73334.67"/>
    <d v="2024-08-29T00:00:00"/>
    <x v="2"/>
    <x v="12"/>
    <s v="August"/>
    <x v="0"/>
    <n v="14666.934000000001"/>
    <n v="21"/>
    <x v="0"/>
    <x v="3"/>
    <n v="73334.67"/>
    <n v="0"/>
    <n v="0.2"/>
    <n v="24444.89"/>
    <n v="4888.9780000000001"/>
    <n v="8"/>
    <s v="Q3"/>
    <s v="Aug-2024"/>
    <n v="15400.280700000001"/>
    <n v="57934.389299999995"/>
    <x v="12"/>
  </r>
  <r>
    <s v="ORD00616"/>
    <x v="24"/>
    <x v="1"/>
    <n v="8080.22"/>
    <n v="2"/>
    <n v="16160.44"/>
    <d v="2024-03-07T00:00:00"/>
    <x v="0"/>
    <x v="22"/>
    <s v="March"/>
    <x v="0"/>
    <n v="3232.0880000000002"/>
    <n v="11"/>
    <x v="1"/>
    <x v="0"/>
    <n v="16160.44"/>
    <n v="0"/>
    <n v="0.2"/>
    <n v="8080.22"/>
    <n v="1616.0440000000001"/>
    <n v="3"/>
    <s v="Q1"/>
    <s v="Mar-2024"/>
    <n v="1777.6484"/>
    <n v="14382.7916"/>
    <x v="7"/>
  </r>
  <r>
    <s v="ORD00617"/>
    <x v="11"/>
    <x v="2"/>
    <n v="27860.799999999999"/>
    <n v="2"/>
    <n v="55721.599999999999"/>
    <d v="2024-07-14T00:00:00"/>
    <x v="4"/>
    <x v="8"/>
    <s v="July"/>
    <x v="0"/>
    <n v="11144.32"/>
    <n v="28"/>
    <x v="0"/>
    <x v="0"/>
    <n v="55721.599999999999"/>
    <n v="0"/>
    <n v="0.2"/>
    <n v="27860.799999999999"/>
    <n v="5572.16"/>
    <n v="7"/>
    <s v="Q3"/>
    <s v="Jul-2024"/>
    <n v="15602.048000000001"/>
    <n v="40119.551999999996"/>
    <x v="5"/>
  </r>
  <r>
    <s v="ORD00618"/>
    <x v="21"/>
    <x v="0"/>
    <n v="30468.47"/>
    <n v="3"/>
    <n v="91405.41"/>
    <d v="2024-06-27T00:00:00"/>
    <x v="4"/>
    <x v="5"/>
    <s v="June"/>
    <x v="0"/>
    <n v="18281.082000000002"/>
    <n v="27"/>
    <x v="0"/>
    <x v="2"/>
    <n v="91405.41"/>
    <n v="0"/>
    <n v="0.2"/>
    <n v="30468.47"/>
    <n v="6093.6940000000004"/>
    <n v="6"/>
    <s v="Q2"/>
    <s v="Jun-2024"/>
    <n v="24679.460700000003"/>
    <n v="66725.949300000007"/>
    <x v="11"/>
  </r>
  <r>
    <s v="ORD00619"/>
    <x v="11"/>
    <x v="2"/>
    <n v="7718.78"/>
    <n v="1"/>
    <n v="7718.78"/>
    <d v="2024-12-28T00:00:00"/>
    <x v="0"/>
    <x v="19"/>
    <s v="December"/>
    <x v="0"/>
    <n v="1543.7560000000001"/>
    <n v="9"/>
    <x v="1"/>
    <x v="3"/>
    <n v="7718.78"/>
    <n v="0"/>
    <n v="0.2"/>
    <n v="7718.78"/>
    <n v="1543.7560000000001"/>
    <n v="12"/>
    <s v="Q4"/>
    <s v="Dec-2024"/>
    <n v="694.6902"/>
    <n v="7024.0897999999997"/>
    <x v="1"/>
  </r>
  <r>
    <s v="ORD00620"/>
    <x v="2"/>
    <x v="2"/>
    <n v="34866.42"/>
    <n v="1"/>
    <n v="34866.42"/>
    <d v="2024-12-18T00:00:00"/>
    <x v="3"/>
    <x v="22"/>
    <s v="December"/>
    <x v="0"/>
    <n v="6973.2839999999997"/>
    <n v="16"/>
    <x v="0"/>
    <x v="0"/>
    <n v="34866.42"/>
    <n v="0"/>
    <n v="0.2"/>
    <n v="34866.42"/>
    <n v="6973.2839999999997"/>
    <n v="12"/>
    <s v="Q4"/>
    <s v="Dec-2024"/>
    <n v="5578.6271999999999"/>
    <n v="29287.792799999999"/>
    <x v="1"/>
  </r>
  <r>
    <s v="ORD00621"/>
    <x v="6"/>
    <x v="1"/>
    <n v="5369.5"/>
    <n v="1"/>
    <n v="5369.5"/>
    <d v="2024-10-09T00:00:00"/>
    <x v="3"/>
    <x v="3"/>
    <s v="October"/>
    <x v="0"/>
    <n v="1073.9000000000001"/>
    <n v="21"/>
    <x v="1"/>
    <x v="2"/>
    <n v="5369.5"/>
    <n v="0"/>
    <n v="0.2"/>
    <n v="5369.5"/>
    <n v="1073.9000000000001"/>
    <n v="10"/>
    <s v="Q4"/>
    <s v="Oct-2024"/>
    <n v="1127.595"/>
    <n v="4241.9049999999997"/>
    <x v="4"/>
  </r>
  <r>
    <s v="ORD00622"/>
    <x v="10"/>
    <x v="2"/>
    <n v="18338.759999999998"/>
    <n v="5"/>
    <n v="91693.8"/>
    <d v="2024-02-15T00:00:00"/>
    <x v="2"/>
    <x v="9"/>
    <s v="February"/>
    <x v="0"/>
    <n v="18338.760000000002"/>
    <n v="27"/>
    <x v="0"/>
    <x v="2"/>
    <n v="91693.799999999988"/>
    <n v="0"/>
    <n v="0.2"/>
    <n v="18338.760000000002"/>
    <n v="3667.7520000000004"/>
    <n v="2"/>
    <s v="Q1"/>
    <s v="Feb-2024"/>
    <n v="24757.326000000001"/>
    <n v="66936.474000000002"/>
    <x v="10"/>
  </r>
  <r>
    <s v="ORD00623"/>
    <x v="20"/>
    <x v="3"/>
    <n v="48287.49"/>
    <n v="4"/>
    <n v="193149.96"/>
    <d v="2024-11-28T00:00:00"/>
    <x v="1"/>
    <x v="19"/>
    <s v="November"/>
    <x v="0"/>
    <n v="38629.991999999998"/>
    <n v="17"/>
    <x v="2"/>
    <x v="2"/>
    <n v="193149.96"/>
    <n v="0"/>
    <n v="0.2"/>
    <n v="48287.49"/>
    <n v="9657.4979999999996"/>
    <n v="11"/>
    <s v="Q4"/>
    <s v="Nov-2024"/>
    <n v="32835.493199999997"/>
    <n v="160314.46679999999"/>
    <x v="3"/>
  </r>
  <r>
    <s v="ORD00624"/>
    <x v="15"/>
    <x v="1"/>
    <n v="18161.009999999998"/>
    <n v="4"/>
    <n v="72644.039999999994"/>
    <d v="2024-07-13T00:00:00"/>
    <x v="4"/>
    <x v="10"/>
    <s v="July"/>
    <x v="0"/>
    <n v="14528.807999999999"/>
    <n v="27"/>
    <x v="1"/>
    <x v="0"/>
    <n v="72644.039999999994"/>
    <n v="0"/>
    <n v="0.2"/>
    <n v="18161.009999999998"/>
    <n v="3632.2019999999998"/>
    <n v="7"/>
    <s v="Q3"/>
    <s v="Jul-2024"/>
    <n v="19613.890799999997"/>
    <n v="53030.1492"/>
    <x v="5"/>
  </r>
  <r>
    <s v="ORD00625"/>
    <x v="1"/>
    <x v="1"/>
    <n v="21064.01"/>
    <n v="3"/>
    <n v="63192.03"/>
    <d v="2024-07-14T00:00:00"/>
    <x v="5"/>
    <x v="30"/>
    <s v="July"/>
    <x v="0"/>
    <n v="12638.406000000001"/>
    <n v="29"/>
    <x v="0"/>
    <x v="3"/>
    <n v="63192.03"/>
    <n v="0"/>
    <n v="0.2"/>
    <n v="21064.01"/>
    <n v="4212.8020000000006"/>
    <n v="7"/>
    <s v="Q3"/>
    <s v="Jul-2024"/>
    <n v="18325.688699999999"/>
    <n v="44866.3413"/>
    <x v="5"/>
  </r>
  <r>
    <s v="ORD00626"/>
    <x v="21"/>
    <x v="0"/>
    <n v="8598.2199999999993"/>
    <n v="5"/>
    <n v="42991.1"/>
    <d v="2025-02-07T00:00:00"/>
    <x v="1"/>
    <x v="23"/>
    <s v="February"/>
    <x v="1"/>
    <n v="8598.2199999999993"/>
    <n v="7"/>
    <x v="0"/>
    <x v="1"/>
    <n v="42991.1"/>
    <n v="0"/>
    <n v="0.19999999999999998"/>
    <n v="8598.2199999999993"/>
    <n v="1719.6439999999998"/>
    <n v="2"/>
    <s v="Q1"/>
    <s v="Feb-2025"/>
    <n v="3009.377"/>
    <n v="39981.722999999998"/>
    <x v="8"/>
  </r>
  <r>
    <s v="ORD00627"/>
    <x v="3"/>
    <x v="3"/>
    <n v="27897.4"/>
    <n v="2"/>
    <n v="55794.8"/>
    <d v="2024-11-05T00:00:00"/>
    <x v="3"/>
    <x v="31"/>
    <s v="November"/>
    <x v="0"/>
    <n v="11158.960000000001"/>
    <n v="13"/>
    <x v="2"/>
    <x v="2"/>
    <n v="55794.8"/>
    <n v="0"/>
    <n v="0.2"/>
    <n v="27897.4"/>
    <n v="5579.4800000000005"/>
    <n v="11"/>
    <s v="Q4"/>
    <s v="Nov-2024"/>
    <n v="7253.3240000000005"/>
    <n v="48541.476000000002"/>
    <x v="3"/>
  </r>
  <r>
    <s v="ORD00628"/>
    <x v="11"/>
    <x v="2"/>
    <n v="3153.16"/>
    <n v="2"/>
    <n v="6306.32"/>
    <d v="2024-08-27T00:00:00"/>
    <x v="5"/>
    <x v="2"/>
    <s v="August"/>
    <x v="0"/>
    <n v="1261.2640000000001"/>
    <n v="21"/>
    <x v="1"/>
    <x v="0"/>
    <n v="6306.32"/>
    <n v="0"/>
    <n v="0.20000000000000004"/>
    <n v="3153.16"/>
    <n v="630.63200000000006"/>
    <n v="8"/>
    <s v="Q3"/>
    <s v="Aug-2024"/>
    <n v="1324.3271999999999"/>
    <n v="4981.9928"/>
    <x v="12"/>
  </r>
  <r>
    <s v="ORD00629"/>
    <x v="20"/>
    <x v="3"/>
    <n v="25634.9"/>
    <n v="1"/>
    <n v="25634.9"/>
    <d v="2024-10-01T00:00:00"/>
    <x v="5"/>
    <x v="17"/>
    <s v="October"/>
    <x v="0"/>
    <n v="5126.9800000000005"/>
    <n v="21"/>
    <x v="0"/>
    <x v="0"/>
    <n v="25634.9"/>
    <n v="0"/>
    <n v="0.2"/>
    <n v="25634.9"/>
    <n v="5126.9800000000005"/>
    <n v="10"/>
    <s v="Q4"/>
    <s v="Oct-2024"/>
    <n v="5383.3290000000006"/>
    <n v="20251.571"/>
    <x v="4"/>
  </r>
  <r>
    <s v="ORD00630"/>
    <x v="12"/>
    <x v="3"/>
    <n v="9427.83"/>
    <n v="3"/>
    <n v="28283.49"/>
    <d v="2024-06-14T00:00:00"/>
    <x v="5"/>
    <x v="24"/>
    <s v="June"/>
    <x v="0"/>
    <n v="5656.6980000000003"/>
    <n v="24"/>
    <x v="2"/>
    <x v="1"/>
    <n v="28283.489999999998"/>
    <n v="0"/>
    <n v="0.2"/>
    <n v="9427.83"/>
    <n v="1885.566"/>
    <n v="6"/>
    <s v="Q2"/>
    <s v="Jun-2024"/>
    <n v="6788.0375999999997"/>
    <n v="21495.452400000002"/>
    <x v="11"/>
  </r>
  <r>
    <s v="ORD00631"/>
    <x v="19"/>
    <x v="2"/>
    <n v="22564.13"/>
    <n v="1"/>
    <n v="22564.13"/>
    <d v="2024-10-10T00:00:00"/>
    <x v="2"/>
    <x v="3"/>
    <s v="October"/>
    <x v="0"/>
    <n v="4512.826"/>
    <n v="20"/>
    <x v="0"/>
    <x v="1"/>
    <n v="22564.13"/>
    <n v="0"/>
    <n v="0.19999999999999998"/>
    <n v="22564.13"/>
    <n v="4512.826"/>
    <n v="10"/>
    <s v="Q4"/>
    <s v="Oct-2024"/>
    <n v="4512.826"/>
    <n v="18051.304"/>
    <x v="4"/>
  </r>
  <r>
    <s v="ORD00632"/>
    <x v="6"/>
    <x v="1"/>
    <n v="47288.95"/>
    <n v="1"/>
    <n v="47288.95"/>
    <d v="2025-01-10T00:00:00"/>
    <x v="2"/>
    <x v="4"/>
    <s v="January"/>
    <x v="1"/>
    <n v="9457.7899999999991"/>
    <n v="29"/>
    <x v="1"/>
    <x v="0"/>
    <n v="47288.95"/>
    <n v="0"/>
    <n v="0.19999999999999998"/>
    <n v="47288.95"/>
    <n v="9457.7899999999991"/>
    <n v="1"/>
    <s v="Q1"/>
    <s v="Jan-2025"/>
    <n v="13713.795499999998"/>
    <n v="33575.154499999997"/>
    <x v="6"/>
  </r>
  <r>
    <s v="ORD00633"/>
    <x v="0"/>
    <x v="0"/>
    <n v="24537.79"/>
    <n v="3"/>
    <n v="73613.37"/>
    <d v="2024-10-09T00:00:00"/>
    <x v="4"/>
    <x v="14"/>
    <s v="October"/>
    <x v="0"/>
    <n v="14722.673999999999"/>
    <n v="26"/>
    <x v="0"/>
    <x v="3"/>
    <n v="73613.37"/>
    <n v="0"/>
    <n v="0.2"/>
    <n v="24537.789999999997"/>
    <n v="4907.558"/>
    <n v="10"/>
    <s v="Q4"/>
    <s v="Oct-2024"/>
    <n v="19139.476199999997"/>
    <n v="54473.893799999998"/>
    <x v="4"/>
  </r>
  <r>
    <s v="ORD00634"/>
    <x v="3"/>
    <x v="3"/>
    <n v="22226.76"/>
    <n v="5"/>
    <n v="111133.8"/>
    <d v="2024-06-15T00:00:00"/>
    <x v="0"/>
    <x v="25"/>
    <s v="June"/>
    <x v="0"/>
    <n v="22226.760000000002"/>
    <n v="17"/>
    <x v="0"/>
    <x v="1"/>
    <n v="111133.79999999999"/>
    <n v="0"/>
    <n v="0.2"/>
    <n v="22226.760000000002"/>
    <n v="4445.3520000000008"/>
    <n v="6"/>
    <s v="Q2"/>
    <s v="Jun-2024"/>
    <n v="18892.745999999999"/>
    <n v="92241.054000000004"/>
    <x v="11"/>
  </r>
  <r>
    <s v="ORD00635"/>
    <x v="17"/>
    <x v="2"/>
    <n v="14103.34"/>
    <n v="2"/>
    <n v="28206.68"/>
    <d v="2024-06-23T00:00:00"/>
    <x v="3"/>
    <x v="14"/>
    <s v="June"/>
    <x v="0"/>
    <n v="5641.3360000000002"/>
    <n v="23"/>
    <x v="0"/>
    <x v="0"/>
    <n v="28206.68"/>
    <n v="0"/>
    <n v="0.2"/>
    <n v="14103.34"/>
    <n v="2820.6680000000001"/>
    <n v="6"/>
    <s v="Q2"/>
    <s v="Jun-2024"/>
    <n v="6487.5364"/>
    <n v="21719.143599999999"/>
    <x v="11"/>
  </r>
  <r>
    <s v="ORD00636"/>
    <x v="23"/>
    <x v="4"/>
    <n v="19376.32"/>
    <n v="1"/>
    <n v="19376.32"/>
    <d v="2024-09-22T00:00:00"/>
    <x v="1"/>
    <x v="16"/>
    <s v="September"/>
    <x v="0"/>
    <n v="3875.2640000000001"/>
    <n v="21"/>
    <x v="0"/>
    <x v="1"/>
    <n v="19376.32"/>
    <n v="0"/>
    <n v="0.2"/>
    <n v="19376.32"/>
    <n v="3875.2640000000001"/>
    <n v="9"/>
    <s v="Q3"/>
    <s v="Sep-2024"/>
    <n v="4069.0271999999995"/>
    <n v="15307.292799999999"/>
    <x v="0"/>
  </r>
  <r>
    <s v="ORD00637"/>
    <x v="0"/>
    <x v="0"/>
    <n v="41619.15"/>
    <n v="1"/>
    <n v="41619.15"/>
    <d v="2024-05-11T00:00:00"/>
    <x v="0"/>
    <x v="35"/>
    <s v="May"/>
    <x v="0"/>
    <n v="8323.83"/>
    <n v="8"/>
    <x v="2"/>
    <x v="3"/>
    <n v="41619.15"/>
    <n v="0"/>
    <n v="0.19999999999999998"/>
    <n v="41619.15"/>
    <n v="8323.83"/>
    <n v="5"/>
    <s v="Q2"/>
    <s v="May-2024"/>
    <n v="3329.5320000000002"/>
    <n v="38289.618000000002"/>
    <x v="2"/>
  </r>
  <r>
    <s v="ORD00638"/>
    <x v="4"/>
    <x v="4"/>
    <n v="14084.61"/>
    <n v="3"/>
    <n v="42253.83"/>
    <d v="2024-09-15T00:00:00"/>
    <x v="2"/>
    <x v="35"/>
    <s v="September"/>
    <x v="0"/>
    <n v="8450.7660000000014"/>
    <n v="16"/>
    <x v="2"/>
    <x v="2"/>
    <n v="42253.83"/>
    <n v="0"/>
    <n v="0.20000000000000004"/>
    <n v="14084.61"/>
    <n v="2816.9220000000005"/>
    <n v="9"/>
    <s v="Q3"/>
    <s v="Sep-2024"/>
    <n v="6760.6127999999999"/>
    <n v="35493.217199999999"/>
    <x v="0"/>
  </r>
  <r>
    <s v="ORD00639"/>
    <x v="3"/>
    <x v="3"/>
    <n v="25935.66"/>
    <n v="5"/>
    <n v="129678.3"/>
    <d v="2024-12-23T00:00:00"/>
    <x v="0"/>
    <x v="13"/>
    <s v="December"/>
    <x v="0"/>
    <n v="25935.660000000003"/>
    <n v="13"/>
    <x v="1"/>
    <x v="1"/>
    <n v="129678.3"/>
    <n v="0"/>
    <n v="0.2"/>
    <n v="25935.66"/>
    <n v="5187.1320000000005"/>
    <n v="12"/>
    <s v="Q4"/>
    <s v="Dec-2024"/>
    <n v="16858.179"/>
    <n v="112820.121"/>
    <x v="1"/>
  </r>
  <r>
    <s v="ORD00640"/>
    <x v="3"/>
    <x v="3"/>
    <n v="30657.64"/>
    <n v="5"/>
    <n v="153288.20000000001"/>
    <d v="2024-12-10T00:00:00"/>
    <x v="5"/>
    <x v="38"/>
    <s v="December"/>
    <x v="0"/>
    <n v="30657.640000000003"/>
    <n v="23"/>
    <x v="2"/>
    <x v="3"/>
    <n v="153288.20000000001"/>
    <n v="0"/>
    <n v="0.2"/>
    <n v="30657.640000000003"/>
    <n v="6131.5280000000002"/>
    <n v="12"/>
    <s v="Q4"/>
    <s v="Dec-2024"/>
    <n v="35256.286"/>
    <n v="118031.91400000002"/>
    <x v="1"/>
  </r>
  <r>
    <s v="ORD00641"/>
    <x v="24"/>
    <x v="1"/>
    <n v="13596.18"/>
    <n v="3"/>
    <n v="40788.54"/>
    <d v="2024-07-06T00:00:00"/>
    <x v="4"/>
    <x v="36"/>
    <s v="July"/>
    <x v="0"/>
    <n v="8157.7080000000005"/>
    <n v="16"/>
    <x v="2"/>
    <x v="0"/>
    <n v="40788.54"/>
    <n v="0"/>
    <n v="0.2"/>
    <n v="13596.18"/>
    <n v="2719.2360000000003"/>
    <n v="7"/>
    <s v="Q3"/>
    <s v="Jul-2024"/>
    <n v="6526.1664000000001"/>
    <n v="34262.373599999999"/>
    <x v="5"/>
  </r>
  <r>
    <s v="ORD00642"/>
    <x v="17"/>
    <x v="2"/>
    <n v="28379.75"/>
    <n v="5"/>
    <n v="141898.75"/>
    <d v="2024-12-03T00:00:00"/>
    <x v="3"/>
    <x v="2"/>
    <s v="December"/>
    <x v="0"/>
    <n v="28379.75"/>
    <n v="13"/>
    <x v="1"/>
    <x v="1"/>
    <n v="141898.75"/>
    <n v="0"/>
    <n v="0.2"/>
    <n v="28379.75"/>
    <n v="5675.95"/>
    <n v="12"/>
    <s v="Q4"/>
    <s v="Dec-2024"/>
    <n v="18446.837500000001"/>
    <n v="123451.91250000001"/>
    <x v="1"/>
  </r>
  <r>
    <s v="ORD00643"/>
    <x v="24"/>
    <x v="1"/>
    <n v="12422.09"/>
    <n v="2"/>
    <n v="24844.18"/>
    <d v="2024-04-05T00:00:00"/>
    <x v="3"/>
    <x v="20"/>
    <s v="April"/>
    <x v="0"/>
    <n v="4968.8360000000002"/>
    <n v="11"/>
    <x v="2"/>
    <x v="1"/>
    <n v="24844.18"/>
    <n v="0"/>
    <n v="0.2"/>
    <n v="12422.09"/>
    <n v="2484.4180000000001"/>
    <n v="4"/>
    <s v="Q2"/>
    <s v="Apr-2024"/>
    <n v="2732.8597999999997"/>
    <n v="22111.320200000002"/>
    <x v="9"/>
  </r>
  <r>
    <s v="ORD00644"/>
    <x v="19"/>
    <x v="2"/>
    <n v="18747.939999999999"/>
    <n v="1"/>
    <n v="18747.939999999999"/>
    <d v="2024-10-31T00:00:00"/>
    <x v="5"/>
    <x v="21"/>
    <s v="October"/>
    <x v="0"/>
    <n v="3749.5879999999997"/>
    <n v="18"/>
    <x v="2"/>
    <x v="0"/>
    <n v="18747.939999999999"/>
    <n v="0"/>
    <n v="0.2"/>
    <n v="18747.939999999999"/>
    <n v="3749.5879999999997"/>
    <n v="10"/>
    <s v="Q4"/>
    <s v="Oct-2024"/>
    <n v="3374.6291999999999"/>
    <n v="15373.310799999999"/>
    <x v="4"/>
  </r>
  <r>
    <s v="ORD00645"/>
    <x v="3"/>
    <x v="3"/>
    <n v="35524.559999999998"/>
    <n v="1"/>
    <n v="35524.559999999998"/>
    <d v="2024-08-08T00:00:00"/>
    <x v="1"/>
    <x v="6"/>
    <s v="August"/>
    <x v="0"/>
    <n v="7104.9120000000003"/>
    <n v="24"/>
    <x v="1"/>
    <x v="2"/>
    <n v="35524.559999999998"/>
    <n v="0"/>
    <n v="0.2"/>
    <n v="35524.559999999998"/>
    <n v="7104.9120000000003"/>
    <n v="8"/>
    <s v="Q3"/>
    <s v="Aug-2024"/>
    <n v="8525.8943999999992"/>
    <n v="26998.6656"/>
    <x v="12"/>
  </r>
  <r>
    <s v="ORD00646"/>
    <x v="15"/>
    <x v="1"/>
    <n v="36454.629999999997"/>
    <n v="1"/>
    <n v="36454.629999999997"/>
    <d v="2024-06-21T00:00:00"/>
    <x v="1"/>
    <x v="17"/>
    <s v="June"/>
    <x v="0"/>
    <n v="7290.9259999999995"/>
    <n v="23"/>
    <x v="1"/>
    <x v="0"/>
    <n v="36454.629999999997"/>
    <n v="0"/>
    <n v="0.2"/>
    <n v="36454.629999999997"/>
    <n v="7290.9259999999995"/>
    <n v="6"/>
    <s v="Q2"/>
    <s v="Jun-2024"/>
    <n v="8384.5648999999994"/>
    <n v="28070.0651"/>
    <x v="11"/>
  </r>
  <r>
    <s v="ORD00647"/>
    <x v="18"/>
    <x v="3"/>
    <n v="23249.27"/>
    <n v="3"/>
    <n v="69747.81"/>
    <d v="2024-09-28T00:00:00"/>
    <x v="4"/>
    <x v="21"/>
    <s v="September"/>
    <x v="0"/>
    <n v="13949.562"/>
    <n v="30"/>
    <x v="1"/>
    <x v="1"/>
    <n v="69747.81"/>
    <n v="0"/>
    <n v="0.2"/>
    <n v="23249.27"/>
    <n v="4649.8540000000003"/>
    <n v="9"/>
    <s v="Q3"/>
    <s v="Sep-2024"/>
    <n v="20924.342999999997"/>
    <n v="48823.467000000004"/>
    <x v="0"/>
  </r>
  <r>
    <s v="ORD00648"/>
    <x v="19"/>
    <x v="2"/>
    <n v="48842.53"/>
    <n v="1"/>
    <n v="48842.53"/>
    <d v="2024-05-12T00:00:00"/>
    <x v="5"/>
    <x v="29"/>
    <s v="May"/>
    <x v="0"/>
    <n v="9768.5059999999994"/>
    <n v="19"/>
    <x v="0"/>
    <x v="0"/>
    <n v="48842.53"/>
    <n v="0"/>
    <n v="0.19999999999999998"/>
    <n v="48842.53"/>
    <n v="9768.5059999999994"/>
    <n v="5"/>
    <s v="Q2"/>
    <s v="May-2024"/>
    <n v="9280.0806999999986"/>
    <n v="39562.4493"/>
    <x v="2"/>
  </r>
  <r>
    <s v="ORD00649"/>
    <x v="9"/>
    <x v="3"/>
    <n v="21881.01"/>
    <n v="1"/>
    <n v="21881.01"/>
    <d v="2024-05-11T00:00:00"/>
    <x v="2"/>
    <x v="0"/>
    <s v="May"/>
    <x v="0"/>
    <n v="4376.2020000000002"/>
    <n v="20"/>
    <x v="0"/>
    <x v="3"/>
    <n v="21881.01"/>
    <n v="0"/>
    <n v="0.2"/>
    <n v="21881.01"/>
    <n v="4376.2020000000002"/>
    <n v="5"/>
    <s v="Q2"/>
    <s v="May-2024"/>
    <n v="4376.2019999999993"/>
    <n v="17504.807999999997"/>
    <x v="2"/>
  </r>
  <r>
    <s v="ORD00650"/>
    <x v="0"/>
    <x v="0"/>
    <n v="38964.36"/>
    <n v="5"/>
    <n v="194821.8"/>
    <d v="2024-10-29T00:00:00"/>
    <x v="2"/>
    <x v="1"/>
    <s v="October"/>
    <x v="0"/>
    <n v="38964.36"/>
    <n v="25"/>
    <x v="1"/>
    <x v="0"/>
    <n v="194821.8"/>
    <n v="0"/>
    <n v="0.2"/>
    <n v="38964.36"/>
    <n v="7792.8720000000003"/>
    <n v="10"/>
    <s v="Q4"/>
    <s v="Oct-2024"/>
    <n v="48705.45"/>
    <n v="146116.34999999998"/>
    <x v="4"/>
  </r>
  <r>
    <s v="ORD00651"/>
    <x v="23"/>
    <x v="4"/>
    <n v="1435.38"/>
    <n v="4"/>
    <n v="5741.52"/>
    <d v="2024-03-24T00:00:00"/>
    <x v="1"/>
    <x v="6"/>
    <s v="March"/>
    <x v="0"/>
    <n v="1148.3040000000001"/>
    <n v="9"/>
    <x v="1"/>
    <x v="1"/>
    <n v="5741.52"/>
    <n v="0"/>
    <n v="0.2"/>
    <n v="1435.38"/>
    <n v="287.07600000000002"/>
    <n v="3"/>
    <s v="Q1"/>
    <s v="Mar-2024"/>
    <n v="516.73680000000013"/>
    <n v="5224.7831999999999"/>
    <x v="7"/>
  </r>
  <r>
    <s v="ORD00652"/>
    <x v="18"/>
    <x v="3"/>
    <n v="2536.16"/>
    <n v="5"/>
    <n v="12680.8"/>
    <d v="2024-05-18T00:00:00"/>
    <x v="3"/>
    <x v="31"/>
    <s v="May"/>
    <x v="0"/>
    <n v="2536.16"/>
    <n v="7"/>
    <x v="1"/>
    <x v="0"/>
    <n v="12680.8"/>
    <n v="0"/>
    <n v="0.2"/>
    <n v="2536.16"/>
    <n v="507.23199999999997"/>
    <n v="5"/>
    <s v="Q2"/>
    <s v="May-2024"/>
    <n v="887.65599999999995"/>
    <n v="11793.144"/>
    <x v="2"/>
  </r>
  <r>
    <s v="ORD00653"/>
    <x v="20"/>
    <x v="3"/>
    <n v="21992.38"/>
    <n v="5"/>
    <n v="109961.9"/>
    <d v="2024-07-28T00:00:00"/>
    <x v="0"/>
    <x v="1"/>
    <s v="July"/>
    <x v="0"/>
    <n v="21992.38"/>
    <n v="16"/>
    <x v="0"/>
    <x v="2"/>
    <n v="109961.90000000001"/>
    <n v="0"/>
    <n v="0.2"/>
    <n v="21992.379999999997"/>
    <n v="4398.4760000000006"/>
    <n v="7"/>
    <s v="Q3"/>
    <s v="Jul-2024"/>
    <n v="17593.903999999999"/>
    <n v="92367.995999999999"/>
    <x v="5"/>
  </r>
  <r>
    <s v="ORD00654"/>
    <x v="11"/>
    <x v="2"/>
    <n v="20194.2"/>
    <n v="2"/>
    <n v="40388.400000000001"/>
    <d v="2024-10-16T00:00:00"/>
    <x v="0"/>
    <x v="4"/>
    <s v="October"/>
    <x v="0"/>
    <n v="8077.68"/>
    <n v="29"/>
    <x v="0"/>
    <x v="0"/>
    <n v="40388.400000000001"/>
    <n v="0"/>
    <n v="0.2"/>
    <n v="20194.2"/>
    <n v="4038.84"/>
    <n v="10"/>
    <s v="Q4"/>
    <s v="Oct-2024"/>
    <n v="11712.636"/>
    <n v="28675.764000000003"/>
    <x v="4"/>
  </r>
  <r>
    <s v="ORD00655"/>
    <x v="8"/>
    <x v="1"/>
    <n v="18789.810000000001"/>
    <n v="3"/>
    <n v="56369.43"/>
    <d v="2024-04-25T00:00:00"/>
    <x v="0"/>
    <x v="6"/>
    <s v="April"/>
    <x v="0"/>
    <n v="11273.886"/>
    <n v="24"/>
    <x v="2"/>
    <x v="2"/>
    <n v="56369.430000000008"/>
    <n v="0"/>
    <n v="0.2"/>
    <n v="18789.810000000001"/>
    <n v="3757.962"/>
    <n v="4"/>
    <s v="Q2"/>
    <s v="Apr-2024"/>
    <n v="13528.663200000001"/>
    <n v="42840.766799999998"/>
    <x v="9"/>
  </r>
  <r>
    <s v="ORD00656"/>
    <x v="18"/>
    <x v="3"/>
    <n v="33027.629999999997"/>
    <n v="2"/>
    <n v="66055.259999999995"/>
    <d v="2024-08-31T00:00:00"/>
    <x v="3"/>
    <x v="39"/>
    <s v="August"/>
    <x v="0"/>
    <n v="13211.052"/>
    <n v="25"/>
    <x v="2"/>
    <x v="3"/>
    <n v="66055.259999999995"/>
    <n v="0"/>
    <n v="0.2"/>
    <n v="33027.629999999997"/>
    <n v="6605.5259999999998"/>
    <n v="8"/>
    <s v="Q3"/>
    <s v="Aug-2024"/>
    <n v="16513.814999999999"/>
    <n v="49541.444999999992"/>
    <x v="12"/>
  </r>
  <r>
    <s v="ORD00657"/>
    <x v="19"/>
    <x v="2"/>
    <n v="44953.24"/>
    <n v="5"/>
    <n v="224766.2"/>
    <d v="2024-07-27T00:00:00"/>
    <x v="2"/>
    <x v="19"/>
    <s v="July"/>
    <x v="0"/>
    <n v="44953.240000000005"/>
    <n v="8"/>
    <x v="1"/>
    <x v="2"/>
    <n v="224766.19999999998"/>
    <n v="0"/>
    <n v="0.2"/>
    <n v="44953.240000000005"/>
    <n v="8990.648000000001"/>
    <n v="7"/>
    <s v="Q3"/>
    <s v="Jul-2024"/>
    <n v="17981.296000000002"/>
    <n v="206784.90400000001"/>
    <x v="5"/>
  </r>
  <r>
    <s v="ORD00658"/>
    <x v="8"/>
    <x v="1"/>
    <n v="47047.23"/>
    <n v="5"/>
    <n v="235236.15"/>
    <d v="2024-11-17T00:00:00"/>
    <x v="2"/>
    <x v="32"/>
    <s v="November"/>
    <x v="0"/>
    <n v="47047.23"/>
    <n v="25"/>
    <x v="0"/>
    <x v="0"/>
    <n v="235236.15000000002"/>
    <n v="0"/>
    <n v="0.2"/>
    <n v="47047.229999999996"/>
    <n v="9409.4459999999999"/>
    <n v="11"/>
    <s v="Q4"/>
    <s v="Nov-2024"/>
    <n v="58809.037499999999"/>
    <n v="176427.11249999999"/>
    <x v="3"/>
  </r>
  <r>
    <s v="ORD00659"/>
    <x v="20"/>
    <x v="3"/>
    <n v="34358.78"/>
    <n v="3"/>
    <n v="103076.34"/>
    <d v="2024-09-28T00:00:00"/>
    <x v="5"/>
    <x v="7"/>
    <s v="September"/>
    <x v="0"/>
    <n v="20615.268"/>
    <n v="27"/>
    <x v="0"/>
    <x v="1"/>
    <n v="103076.34"/>
    <n v="0"/>
    <n v="0.2"/>
    <n v="34358.78"/>
    <n v="6871.7560000000003"/>
    <n v="9"/>
    <s v="Q3"/>
    <s v="Sep-2024"/>
    <n v="27830.611799999999"/>
    <n v="75245.728199999998"/>
    <x v="0"/>
  </r>
  <r>
    <s v="ORD00660"/>
    <x v="11"/>
    <x v="2"/>
    <n v="12779.59"/>
    <n v="5"/>
    <n v="63897.95"/>
    <d v="2024-11-24T00:00:00"/>
    <x v="4"/>
    <x v="18"/>
    <s v="November"/>
    <x v="0"/>
    <n v="12779.59"/>
    <n v="20"/>
    <x v="0"/>
    <x v="2"/>
    <n v="63897.95"/>
    <n v="0"/>
    <n v="0.2"/>
    <n v="12779.59"/>
    <n v="2555.9180000000001"/>
    <n v="11"/>
    <s v="Q4"/>
    <s v="Nov-2024"/>
    <n v="12779.59"/>
    <n v="51118.36"/>
    <x v="3"/>
  </r>
  <r>
    <s v="ORD00661"/>
    <x v="14"/>
    <x v="0"/>
    <n v="30878.47"/>
    <n v="5"/>
    <n v="154392.35"/>
    <d v="2024-07-11T00:00:00"/>
    <x v="1"/>
    <x v="15"/>
    <s v="July"/>
    <x v="0"/>
    <n v="30878.47"/>
    <n v="29"/>
    <x v="1"/>
    <x v="3"/>
    <n v="154392.35"/>
    <n v="0"/>
    <n v="0.2"/>
    <n v="30878.47"/>
    <n v="6175.6940000000004"/>
    <n v="7"/>
    <s v="Q3"/>
    <s v="Jul-2024"/>
    <n v="44773.781500000005"/>
    <n v="109618.56849999999"/>
    <x v="5"/>
  </r>
  <r>
    <s v="ORD00662"/>
    <x v="2"/>
    <x v="2"/>
    <n v="24227.24"/>
    <n v="1"/>
    <n v="24227.24"/>
    <d v="2024-03-01T00:00:00"/>
    <x v="0"/>
    <x v="29"/>
    <s v="March"/>
    <x v="0"/>
    <n v="4845.4480000000003"/>
    <n v="11"/>
    <x v="2"/>
    <x v="2"/>
    <n v="24227.24"/>
    <n v="0"/>
    <n v="0.2"/>
    <n v="24227.24"/>
    <n v="4845.4480000000003"/>
    <n v="3"/>
    <s v="Q1"/>
    <s v="Mar-2024"/>
    <n v="2664.9964"/>
    <n v="21562.243600000002"/>
    <x v="7"/>
  </r>
  <r>
    <s v="ORD00663"/>
    <x v="1"/>
    <x v="1"/>
    <n v="15282.31"/>
    <n v="4"/>
    <n v="61129.24"/>
    <d v="2024-06-17T00:00:00"/>
    <x v="5"/>
    <x v="37"/>
    <s v="June"/>
    <x v="0"/>
    <n v="12225.848"/>
    <n v="17"/>
    <x v="1"/>
    <x v="2"/>
    <n v="61129.24"/>
    <n v="0"/>
    <n v="0.2"/>
    <n v="15282.31"/>
    <n v="3056.462"/>
    <n v="6"/>
    <s v="Q2"/>
    <s v="Jun-2024"/>
    <n v="10391.970799999999"/>
    <n v="50737.269199999995"/>
    <x v="11"/>
  </r>
  <r>
    <s v="ORD00664"/>
    <x v="11"/>
    <x v="2"/>
    <n v="46933.96"/>
    <n v="1"/>
    <n v="46933.96"/>
    <d v="2024-06-03T00:00:00"/>
    <x v="0"/>
    <x v="15"/>
    <s v="June"/>
    <x v="0"/>
    <n v="9386.7919999999995"/>
    <n v="25"/>
    <x v="2"/>
    <x v="2"/>
    <n v="46933.96"/>
    <n v="0"/>
    <n v="0.19999999999999998"/>
    <n v="46933.96"/>
    <n v="9386.7919999999995"/>
    <n v="6"/>
    <s v="Q2"/>
    <s v="Jun-2024"/>
    <n v="11733.49"/>
    <n v="35200.47"/>
    <x v="11"/>
  </r>
  <r>
    <s v="ORD00665"/>
    <x v="10"/>
    <x v="2"/>
    <n v="14622.12"/>
    <n v="1"/>
    <n v="14622.12"/>
    <d v="2025-01-02T00:00:00"/>
    <x v="4"/>
    <x v="35"/>
    <s v="January"/>
    <x v="1"/>
    <n v="2924.4240000000004"/>
    <n v="14"/>
    <x v="2"/>
    <x v="3"/>
    <n v="14622.12"/>
    <n v="0"/>
    <n v="0.2"/>
    <n v="14622.12"/>
    <n v="2924.4240000000004"/>
    <n v="1"/>
    <s v="Q1"/>
    <s v="Jan-2025"/>
    <n v="2047.0968000000003"/>
    <n v="12575.0232"/>
    <x v="6"/>
  </r>
  <r>
    <s v="ORD00666"/>
    <x v="14"/>
    <x v="0"/>
    <n v="34830.28"/>
    <n v="4"/>
    <n v="139321.12"/>
    <d v="2024-11-13T00:00:00"/>
    <x v="4"/>
    <x v="36"/>
    <s v="November"/>
    <x v="0"/>
    <n v="27864.224000000002"/>
    <n v="30"/>
    <x v="1"/>
    <x v="0"/>
    <n v="139321.12"/>
    <n v="0"/>
    <n v="0.2"/>
    <n v="34830.28"/>
    <n v="6966.0560000000005"/>
    <n v="11"/>
    <s v="Q4"/>
    <s v="Nov-2024"/>
    <n v="41796.335999999996"/>
    <n v="97524.784"/>
    <x v="3"/>
  </r>
  <r>
    <s v="ORD00667"/>
    <x v="10"/>
    <x v="2"/>
    <n v="43118.19"/>
    <n v="5"/>
    <n v="215590.95"/>
    <d v="2025-01-17T00:00:00"/>
    <x v="5"/>
    <x v="9"/>
    <s v="January"/>
    <x v="1"/>
    <n v="43118.19"/>
    <n v="11"/>
    <x v="2"/>
    <x v="2"/>
    <n v="215590.95"/>
    <n v="0"/>
    <n v="0.2"/>
    <n v="43118.19"/>
    <n v="8623.6380000000008"/>
    <n v="1"/>
    <s v="Q1"/>
    <s v="Jan-2025"/>
    <n v="23715.004500000003"/>
    <n v="191875.9455"/>
    <x v="6"/>
  </r>
  <r>
    <s v="ORD00668"/>
    <x v="14"/>
    <x v="0"/>
    <n v="29885.360000000001"/>
    <n v="3"/>
    <n v="89656.08"/>
    <d v="2024-05-04T00:00:00"/>
    <x v="0"/>
    <x v="27"/>
    <s v="May"/>
    <x v="0"/>
    <n v="17931.216"/>
    <n v="18"/>
    <x v="2"/>
    <x v="2"/>
    <n v="89656.08"/>
    <n v="0"/>
    <n v="0.2"/>
    <n v="29885.360000000001"/>
    <n v="5977.0720000000001"/>
    <n v="5"/>
    <s v="Q2"/>
    <s v="May-2024"/>
    <n v="16138.0944"/>
    <n v="73517.9856"/>
    <x v="2"/>
  </r>
  <r>
    <s v="ORD00669"/>
    <x v="0"/>
    <x v="0"/>
    <n v="7728.33"/>
    <n v="5"/>
    <n v="38641.65"/>
    <d v="2024-06-28T00:00:00"/>
    <x v="3"/>
    <x v="1"/>
    <s v="June"/>
    <x v="0"/>
    <n v="7728.3300000000008"/>
    <n v="30"/>
    <x v="0"/>
    <x v="1"/>
    <n v="38641.65"/>
    <n v="0"/>
    <n v="0.2"/>
    <n v="7728.33"/>
    <n v="1545.6660000000002"/>
    <n v="6"/>
    <s v="Q2"/>
    <s v="Jun-2024"/>
    <n v="11592.495000000001"/>
    <n v="27049.154999999999"/>
    <x v="11"/>
  </r>
  <r>
    <s v="ORD00670"/>
    <x v="4"/>
    <x v="4"/>
    <n v="36096.74"/>
    <n v="5"/>
    <n v="180483.7"/>
    <d v="2025-01-22T00:00:00"/>
    <x v="5"/>
    <x v="31"/>
    <s v="January"/>
    <x v="1"/>
    <n v="36096.740000000005"/>
    <n v="9"/>
    <x v="2"/>
    <x v="3"/>
    <n v="180483.69999999998"/>
    <n v="0"/>
    <n v="0.2"/>
    <n v="36096.740000000005"/>
    <n v="7219.3480000000009"/>
    <n v="1"/>
    <s v="Q1"/>
    <s v="Jan-2025"/>
    <n v="16243.533000000001"/>
    <n v="164240.16700000002"/>
    <x v="6"/>
  </r>
  <r>
    <s v="ORD00671"/>
    <x v="15"/>
    <x v="1"/>
    <n v="19275.66"/>
    <n v="4"/>
    <n v="77102.64"/>
    <d v="2024-04-17T00:00:00"/>
    <x v="5"/>
    <x v="31"/>
    <s v="April"/>
    <x v="0"/>
    <n v="15420.528"/>
    <n v="7"/>
    <x v="1"/>
    <x v="2"/>
    <n v="77102.64"/>
    <n v="0"/>
    <n v="0.2"/>
    <n v="19275.66"/>
    <n v="3855.1320000000001"/>
    <n v="4"/>
    <s v="Q2"/>
    <s v="Apr-2024"/>
    <n v="5397.1848"/>
    <n v="71705.455199999997"/>
    <x v="9"/>
  </r>
  <r>
    <s v="ORD00672"/>
    <x v="23"/>
    <x v="4"/>
    <n v="15387.59"/>
    <n v="4"/>
    <n v="61550.36"/>
    <d v="2024-09-23T00:00:00"/>
    <x v="2"/>
    <x v="34"/>
    <s v="September"/>
    <x v="0"/>
    <n v="12310.072"/>
    <n v="27"/>
    <x v="1"/>
    <x v="3"/>
    <n v="61550.36"/>
    <n v="0"/>
    <n v="0.2"/>
    <n v="15387.59"/>
    <n v="3077.518"/>
    <n v="9"/>
    <s v="Q3"/>
    <s v="Sep-2024"/>
    <n v="16618.5972"/>
    <n v="44931.762799999997"/>
    <x v="0"/>
  </r>
  <r>
    <s v="ORD00673"/>
    <x v="12"/>
    <x v="3"/>
    <n v="23806.639999999999"/>
    <n v="1"/>
    <n v="23806.639999999999"/>
    <d v="2024-03-02T00:00:00"/>
    <x v="0"/>
    <x v="15"/>
    <s v="March"/>
    <x v="0"/>
    <n v="4761.3280000000004"/>
    <n v="15"/>
    <x v="2"/>
    <x v="2"/>
    <n v="23806.639999999999"/>
    <n v="0"/>
    <n v="0.2"/>
    <n v="23806.639999999999"/>
    <n v="4761.3280000000004"/>
    <n v="3"/>
    <s v="Q1"/>
    <s v="Mar-2024"/>
    <n v="3570.9959999999996"/>
    <n v="20235.644"/>
    <x v="7"/>
  </r>
  <r>
    <s v="ORD00674"/>
    <x v="17"/>
    <x v="2"/>
    <n v="28568.97"/>
    <n v="1"/>
    <n v="28568.97"/>
    <d v="2024-07-02T00:00:00"/>
    <x v="0"/>
    <x v="34"/>
    <s v="July"/>
    <x v="0"/>
    <n v="5713.7940000000008"/>
    <n v="15"/>
    <x v="0"/>
    <x v="0"/>
    <n v="28568.97"/>
    <n v="0"/>
    <n v="0.2"/>
    <n v="28568.97"/>
    <n v="5713.7940000000008"/>
    <n v="7"/>
    <s v="Q3"/>
    <s v="Jul-2024"/>
    <n v="4285.3455000000004"/>
    <n v="24283.624500000002"/>
    <x v="5"/>
  </r>
  <r>
    <s v="ORD00675"/>
    <x v="18"/>
    <x v="3"/>
    <n v="40753.519999999997"/>
    <n v="1"/>
    <n v="40753.519999999997"/>
    <d v="2024-03-01T00:00:00"/>
    <x v="0"/>
    <x v="24"/>
    <s v="March"/>
    <x v="0"/>
    <n v="8150.7039999999997"/>
    <n v="22"/>
    <x v="0"/>
    <x v="0"/>
    <n v="40753.519999999997"/>
    <n v="0"/>
    <n v="0.2"/>
    <n v="40753.519999999997"/>
    <n v="8150.7039999999997"/>
    <n v="3"/>
    <s v="Q1"/>
    <s v="Mar-2024"/>
    <n v="8965.7744000000002"/>
    <n v="31787.745599999995"/>
    <x v="7"/>
  </r>
  <r>
    <s v="ORD00676"/>
    <x v="9"/>
    <x v="3"/>
    <n v="38571.81"/>
    <n v="4"/>
    <n v="154287.24"/>
    <d v="2024-03-16T00:00:00"/>
    <x v="3"/>
    <x v="12"/>
    <s v="March"/>
    <x v="0"/>
    <n v="30857.448"/>
    <n v="19"/>
    <x v="2"/>
    <x v="2"/>
    <n v="154287.24"/>
    <n v="0"/>
    <n v="0.2"/>
    <n v="38571.81"/>
    <n v="7714.3620000000001"/>
    <n v="3"/>
    <s v="Q1"/>
    <s v="Mar-2024"/>
    <n v="29314.575599999996"/>
    <n v="124972.66439999999"/>
    <x v="7"/>
  </r>
  <r>
    <s v="ORD00677"/>
    <x v="12"/>
    <x v="3"/>
    <n v="25161.91"/>
    <n v="5"/>
    <n v="125809.55"/>
    <d v="2024-05-04T00:00:00"/>
    <x v="2"/>
    <x v="20"/>
    <s v="May"/>
    <x v="0"/>
    <n v="25161.910000000003"/>
    <n v="16"/>
    <x v="2"/>
    <x v="0"/>
    <n v="125809.55"/>
    <n v="0"/>
    <n v="0.2"/>
    <n v="25161.91"/>
    <n v="5032.3820000000005"/>
    <n v="5"/>
    <s v="Q2"/>
    <s v="May-2024"/>
    <n v="20129.528000000002"/>
    <n v="105680.022"/>
    <x v="2"/>
  </r>
  <r>
    <s v="ORD00678"/>
    <x v="10"/>
    <x v="2"/>
    <n v="12124.19"/>
    <n v="3"/>
    <n v="36372.57"/>
    <d v="2024-11-21T00:00:00"/>
    <x v="0"/>
    <x v="25"/>
    <s v="November"/>
    <x v="0"/>
    <n v="7274.5140000000001"/>
    <n v="13"/>
    <x v="1"/>
    <x v="2"/>
    <n v="36372.57"/>
    <n v="0"/>
    <n v="0.2"/>
    <n v="12124.19"/>
    <n v="2424.8380000000002"/>
    <n v="11"/>
    <s v="Q4"/>
    <s v="Nov-2024"/>
    <n v="4728.4340999999995"/>
    <n v="31644.135900000001"/>
    <x v="3"/>
  </r>
  <r>
    <s v="ORD00679"/>
    <x v="0"/>
    <x v="0"/>
    <n v="2013.64"/>
    <n v="3"/>
    <n v="6040.92"/>
    <d v="2024-03-13T00:00:00"/>
    <x v="1"/>
    <x v="28"/>
    <s v="March"/>
    <x v="0"/>
    <n v="1208.184"/>
    <n v="14"/>
    <x v="2"/>
    <x v="0"/>
    <n v="6040.92"/>
    <n v="0"/>
    <n v="0.19999999999999998"/>
    <n v="2013.64"/>
    <n v="402.72800000000001"/>
    <n v="3"/>
    <s v="Q1"/>
    <s v="Mar-2024"/>
    <n v="845.72880000000009"/>
    <n v="5195.1912000000002"/>
    <x v="7"/>
  </r>
  <r>
    <s v="ORD00680"/>
    <x v="16"/>
    <x v="4"/>
    <n v="6002.25"/>
    <n v="3"/>
    <n v="18006.75"/>
    <d v="2024-10-04T00:00:00"/>
    <x v="3"/>
    <x v="0"/>
    <s v="October"/>
    <x v="0"/>
    <n v="3601.3500000000004"/>
    <n v="30"/>
    <x v="0"/>
    <x v="1"/>
    <n v="18006.75"/>
    <n v="0"/>
    <n v="0.2"/>
    <n v="6002.25"/>
    <n v="1200.45"/>
    <n v="10"/>
    <s v="Q4"/>
    <s v="Oct-2024"/>
    <n v="5402.0249999999996"/>
    <n v="12604.725"/>
    <x v="4"/>
  </r>
  <r>
    <s v="ORD00681"/>
    <x v="22"/>
    <x v="0"/>
    <n v="31332.42"/>
    <n v="4"/>
    <n v="125329.68"/>
    <d v="2024-09-08T00:00:00"/>
    <x v="4"/>
    <x v="23"/>
    <s v="September"/>
    <x v="0"/>
    <n v="25065.936000000002"/>
    <n v="16"/>
    <x v="2"/>
    <x v="1"/>
    <n v="125329.68"/>
    <n v="0"/>
    <n v="0.2"/>
    <n v="31332.42"/>
    <n v="6266.4840000000004"/>
    <n v="9"/>
    <s v="Q3"/>
    <s v="Sep-2024"/>
    <n v="20052.748799999998"/>
    <n v="105276.93119999999"/>
    <x v="0"/>
  </r>
  <r>
    <s v="ORD00682"/>
    <x v="16"/>
    <x v="4"/>
    <n v="17539.189999999999"/>
    <n v="1"/>
    <n v="17539.189999999999"/>
    <d v="2024-07-07T00:00:00"/>
    <x v="2"/>
    <x v="1"/>
    <s v="July"/>
    <x v="0"/>
    <n v="3507.8379999999997"/>
    <n v="21"/>
    <x v="1"/>
    <x v="1"/>
    <n v="17539.189999999999"/>
    <n v="0"/>
    <n v="0.2"/>
    <n v="17539.189999999999"/>
    <n v="3507.8379999999997"/>
    <n v="7"/>
    <s v="Q3"/>
    <s v="Jul-2024"/>
    <n v="3683.2298999999998"/>
    <n v="13855.960099999998"/>
    <x v="5"/>
  </r>
  <r>
    <s v="ORD00683"/>
    <x v="21"/>
    <x v="0"/>
    <n v="14865.47"/>
    <n v="2"/>
    <n v="29730.94"/>
    <d v="2024-08-23T00:00:00"/>
    <x v="1"/>
    <x v="14"/>
    <s v="August"/>
    <x v="0"/>
    <n v="5946.1880000000001"/>
    <n v="10"/>
    <x v="1"/>
    <x v="3"/>
    <n v="29730.94"/>
    <n v="0"/>
    <n v="0.2"/>
    <n v="14865.47"/>
    <n v="2973.0940000000001"/>
    <n v="8"/>
    <s v="Q3"/>
    <s v="Aug-2024"/>
    <n v="2973.0939999999996"/>
    <n v="26757.845999999998"/>
    <x v="12"/>
  </r>
  <r>
    <s v="ORD00684"/>
    <x v="24"/>
    <x v="1"/>
    <n v="48130.6"/>
    <n v="5"/>
    <n v="240653"/>
    <d v="2024-11-23T00:00:00"/>
    <x v="1"/>
    <x v="9"/>
    <s v="November"/>
    <x v="0"/>
    <n v="48130.600000000006"/>
    <n v="11"/>
    <x v="1"/>
    <x v="3"/>
    <n v="240653"/>
    <n v="0"/>
    <n v="0.2"/>
    <n v="48130.6"/>
    <n v="9626.1200000000008"/>
    <n v="11"/>
    <s v="Q4"/>
    <s v="Nov-2024"/>
    <n v="26471.83"/>
    <n v="214181.16999999998"/>
    <x v="3"/>
  </r>
  <r>
    <s v="ORD00685"/>
    <x v="0"/>
    <x v="0"/>
    <n v="8970.27"/>
    <n v="3"/>
    <n v="26910.81"/>
    <d v="2024-06-21T00:00:00"/>
    <x v="3"/>
    <x v="19"/>
    <s v="June"/>
    <x v="0"/>
    <n v="5382.1620000000003"/>
    <n v="18"/>
    <x v="1"/>
    <x v="1"/>
    <n v="26910.81"/>
    <n v="0"/>
    <n v="0.2"/>
    <n v="8970.27"/>
    <n v="1794.0540000000001"/>
    <n v="6"/>
    <s v="Q2"/>
    <s v="Jun-2024"/>
    <n v="4843.9458000000004"/>
    <n v="22066.8642"/>
    <x v="11"/>
  </r>
  <r>
    <s v="ORD00686"/>
    <x v="20"/>
    <x v="3"/>
    <n v="14359.73"/>
    <n v="2"/>
    <n v="28719.46"/>
    <d v="2024-06-22T00:00:00"/>
    <x v="1"/>
    <x v="2"/>
    <s v="June"/>
    <x v="0"/>
    <n v="5743.8919999999998"/>
    <n v="17"/>
    <x v="1"/>
    <x v="3"/>
    <n v="28719.46"/>
    <n v="0"/>
    <n v="0.2"/>
    <n v="14359.73"/>
    <n v="2871.9459999999999"/>
    <n v="6"/>
    <s v="Q2"/>
    <s v="Jun-2024"/>
    <n v="4882.3082000000004"/>
    <n v="23837.1518"/>
    <x v="11"/>
  </r>
  <r>
    <s v="ORD00687"/>
    <x v="10"/>
    <x v="2"/>
    <n v="17009.73"/>
    <n v="4"/>
    <n v="68038.92"/>
    <d v="2024-11-12T00:00:00"/>
    <x v="0"/>
    <x v="13"/>
    <s v="November"/>
    <x v="0"/>
    <n v="13607.784"/>
    <n v="12"/>
    <x v="2"/>
    <x v="0"/>
    <n v="68038.92"/>
    <n v="0"/>
    <n v="0.2"/>
    <n v="17009.73"/>
    <n v="3401.9459999999999"/>
    <n v="11"/>
    <s v="Q4"/>
    <s v="Nov-2024"/>
    <n v="8164.6704"/>
    <n v="59874.249599999996"/>
    <x v="3"/>
  </r>
  <r>
    <s v="ORD00688"/>
    <x v="15"/>
    <x v="1"/>
    <n v="10385.24"/>
    <n v="2"/>
    <n v="20770.48"/>
    <d v="2024-03-22T00:00:00"/>
    <x v="1"/>
    <x v="25"/>
    <s v="March"/>
    <x v="0"/>
    <n v="4154.0960000000005"/>
    <n v="14"/>
    <x v="2"/>
    <x v="2"/>
    <n v="20770.48"/>
    <n v="0"/>
    <n v="0.20000000000000004"/>
    <n v="10385.24"/>
    <n v="2077.0480000000002"/>
    <n v="3"/>
    <s v="Q1"/>
    <s v="Mar-2024"/>
    <n v="2907.8671999999997"/>
    <n v="17862.612799999999"/>
    <x v="7"/>
  </r>
  <r>
    <s v="ORD00689"/>
    <x v="9"/>
    <x v="3"/>
    <n v="28261.1"/>
    <n v="2"/>
    <n v="56522.2"/>
    <d v="2025-01-26T00:00:00"/>
    <x v="2"/>
    <x v="17"/>
    <s v="January"/>
    <x v="1"/>
    <n v="11304.44"/>
    <n v="13"/>
    <x v="2"/>
    <x v="2"/>
    <n v="56522.2"/>
    <n v="0"/>
    <n v="0.2"/>
    <n v="28261.1"/>
    <n v="5652.22"/>
    <n v="1"/>
    <s v="Q1"/>
    <s v="Jan-2025"/>
    <n v="7347.8859999999995"/>
    <n v="49174.313999999998"/>
    <x v="6"/>
  </r>
  <r>
    <s v="ORD00690"/>
    <x v="1"/>
    <x v="1"/>
    <n v="23320.94"/>
    <n v="2"/>
    <n v="46641.88"/>
    <d v="2024-05-02T00:00:00"/>
    <x v="2"/>
    <x v="3"/>
    <s v="May"/>
    <x v="0"/>
    <n v="9328.3760000000002"/>
    <n v="22"/>
    <x v="2"/>
    <x v="2"/>
    <n v="46641.88"/>
    <n v="0"/>
    <n v="0.2"/>
    <n v="23320.94"/>
    <n v="4664.1880000000001"/>
    <n v="5"/>
    <s v="Q2"/>
    <s v="May-2024"/>
    <n v="10261.213599999999"/>
    <n v="36380.666400000002"/>
    <x v="2"/>
  </r>
  <r>
    <s v="ORD00691"/>
    <x v="15"/>
    <x v="1"/>
    <n v="16038"/>
    <n v="5"/>
    <n v="80190"/>
    <d v="2024-12-20T00:00:00"/>
    <x v="4"/>
    <x v="10"/>
    <s v="December"/>
    <x v="0"/>
    <n v="16038"/>
    <n v="30"/>
    <x v="1"/>
    <x v="1"/>
    <n v="80190"/>
    <n v="0"/>
    <n v="0.2"/>
    <n v="16038"/>
    <n v="3207.6"/>
    <n v="12"/>
    <s v="Q4"/>
    <s v="Dec-2024"/>
    <n v="24057"/>
    <n v="56133"/>
    <x v="1"/>
  </r>
  <r>
    <s v="ORD00692"/>
    <x v="6"/>
    <x v="1"/>
    <n v="43719.71"/>
    <n v="5"/>
    <n v="218598.55"/>
    <d v="2024-11-12T00:00:00"/>
    <x v="1"/>
    <x v="20"/>
    <s v="November"/>
    <x v="0"/>
    <n v="43719.71"/>
    <n v="6"/>
    <x v="0"/>
    <x v="3"/>
    <n v="218598.55"/>
    <n v="0"/>
    <n v="0.2"/>
    <n v="43719.71"/>
    <n v="8743.9419999999991"/>
    <n v="11"/>
    <s v="Q4"/>
    <s v="Nov-2024"/>
    <n v="13115.912999999999"/>
    <n v="205482.63699999999"/>
    <x v="3"/>
  </r>
  <r>
    <s v="ORD00693"/>
    <x v="14"/>
    <x v="0"/>
    <n v="19669.48"/>
    <n v="2"/>
    <n v="39338.959999999999"/>
    <d v="2024-05-17T00:00:00"/>
    <x v="2"/>
    <x v="6"/>
    <s v="May"/>
    <x v="0"/>
    <n v="7867.7920000000004"/>
    <n v="9"/>
    <x v="2"/>
    <x v="0"/>
    <n v="39338.959999999999"/>
    <n v="0"/>
    <n v="0.2"/>
    <n v="19669.48"/>
    <n v="3933.8960000000002"/>
    <n v="5"/>
    <s v="Q2"/>
    <s v="May-2024"/>
    <n v="3540.5064000000002"/>
    <n v="35798.453600000001"/>
    <x v="2"/>
  </r>
  <r>
    <s v="ORD00694"/>
    <x v="11"/>
    <x v="2"/>
    <n v="27396.01"/>
    <n v="1"/>
    <n v="27396.01"/>
    <d v="2024-03-20T00:00:00"/>
    <x v="3"/>
    <x v="35"/>
    <s v="March"/>
    <x v="0"/>
    <n v="5479.2020000000002"/>
    <n v="9"/>
    <x v="0"/>
    <x v="0"/>
    <n v="27396.01"/>
    <n v="0"/>
    <n v="0.2"/>
    <n v="27396.01"/>
    <n v="5479.2020000000002"/>
    <n v="3"/>
    <s v="Q1"/>
    <s v="Mar-2024"/>
    <n v="2465.6408999999999"/>
    <n v="24930.3691"/>
    <x v="7"/>
  </r>
  <r>
    <s v="ORD00695"/>
    <x v="8"/>
    <x v="1"/>
    <n v="13763.17"/>
    <n v="5"/>
    <n v="68815.850000000006"/>
    <d v="2024-05-22T00:00:00"/>
    <x v="2"/>
    <x v="22"/>
    <s v="May"/>
    <x v="0"/>
    <n v="13763.170000000002"/>
    <n v="10"/>
    <x v="2"/>
    <x v="1"/>
    <n v="68815.850000000006"/>
    <n v="0"/>
    <n v="0.2"/>
    <n v="13763.170000000002"/>
    <n v="2752.6340000000005"/>
    <n v="5"/>
    <s v="Q2"/>
    <s v="May-2024"/>
    <n v="6881.585"/>
    <n v="61934.265000000007"/>
    <x v="2"/>
  </r>
  <r>
    <s v="ORD00696"/>
    <x v="4"/>
    <x v="4"/>
    <n v="6421.63"/>
    <n v="2"/>
    <n v="12843.26"/>
    <d v="2024-03-05T00:00:00"/>
    <x v="5"/>
    <x v="39"/>
    <s v="March"/>
    <x v="0"/>
    <n v="2568.652"/>
    <n v="23"/>
    <x v="2"/>
    <x v="0"/>
    <n v="12843.26"/>
    <n v="0"/>
    <n v="0.2"/>
    <n v="6421.63"/>
    <n v="1284.326"/>
    <n v="3"/>
    <s v="Q1"/>
    <s v="Mar-2024"/>
    <n v="2953.9497999999999"/>
    <n v="9889.3101999999999"/>
    <x v="7"/>
  </r>
  <r>
    <s v="ORD00697"/>
    <x v="22"/>
    <x v="0"/>
    <n v="4617.2"/>
    <n v="4"/>
    <n v="18468.8"/>
    <d v="2024-03-19T00:00:00"/>
    <x v="1"/>
    <x v="28"/>
    <s v="March"/>
    <x v="0"/>
    <n v="3693.76"/>
    <n v="12"/>
    <x v="0"/>
    <x v="0"/>
    <n v="18468.8"/>
    <n v="0"/>
    <n v="0.2"/>
    <n v="4617.2"/>
    <n v="923.44"/>
    <n v="3"/>
    <s v="Q1"/>
    <s v="Mar-2024"/>
    <n v="2216.2559999999999"/>
    <n v="16252.544"/>
    <x v="7"/>
  </r>
  <r>
    <s v="ORD00698"/>
    <x v="15"/>
    <x v="1"/>
    <n v="6022.31"/>
    <n v="5"/>
    <n v="30111.55"/>
    <d v="2024-08-09T00:00:00"/>
    <x v="4"/>
    <x v="0"/>
    <s v="August"/>
    <x v="0"/>
    <n v="6022.31"/>
    <n v="20"/>
    <x v="1"/>
    <x v="0"/>
    <n v="30111.550000000003"/>
    <n v="0"/>
    <n v="0.2"/>
    <n v="6022.3099999999995"/>
    <n v="1204.462"/>
    <n v="8"/>
    <s v="Q3"/>
    <s v="Aug-2024"/>
    <n v="6022.31"/>
    <n v="24089.239999999998"/>
    <x v="12"/>
  </r>
  <r>
    <s v="ORD00699"/>
    <x v="2"/>
    <x v="2"/>
    <n v="38968.519999999997"/>
    <n v="4"/>
    <n v="155874.07999999999"/>
    <d v="2024-11-04T00:00:00"/>
    <x v="5"/>
    <x v="1"/>
    <s v="November"/>
    <x v="0"/>
    <n v="31174.815999999999"/>
    <n v="17"/>
    <x v="2"/>
    <x v="0"/>
    <n v="155874.07999999999"/>
    <n v="0"/>
    <n v="0.2"/>
    <n v="38968.519999999997"/>
    <n v="7793.7039999999997"/>
    <n v="11"/>
    <s v="Q4"/>
    <s v="Nov-2024"/>
    <n v="26498.5936"/>
    <n v="129375.48639999999"/>
    <x v="3"/>
  </r>
  <r>
    <s v="ORD00700"/>
    <x v="18"/>
    <x v="3"/>
    <n v="20435.34"/>
    <n v="5"/>
    <n v="102176.7"/>
    <d v="2024-10-17T00:00:00"/>
    <x v="4"/>
    <x v="28"/>
    <s v="October"/>
    <x v="0"/>
    <n v="20435.34"/>
    <n v="5"/>
    <x v="2"/>
    <x v="3"/>
    <n v="102176.7"/>
    <n v="0"/>
    <n v="0.2"/>
    <n v="20435.34"/>
    <n v="4087.0680000000002"/>
    <n v="10"/>
    <s v="Q4"/>
    <s v="Oct-2024"/>
    <n v="5108.835"/>
    <n v="97067.864999999991"/>
    <x v="4"/>
  </r>
  <r>
    <s v="ORD00701"/>
    <x v="9"/>
    <x v="3"/>
    <n v="25115.71"/>
    <n v="2"/>
    <n v="50231.42"/>
    <d v="2024-08-18T00:00:00"/>
    <x v="2"/>
    <x v="15"/>
    <s v="August"/>
    <x v="0"/>
    <n v="10046.284"/>
    <n v="26"/>
    <x v="2"/>
    <x v="0"/>
    <n v="50231.42"/>
    <n v="0"/>
    <n v="0.2"/>
    <n v="25115.71"/>
    <n v="5023.1419999999998"/>
    <n v="8"/>
    <s v="Q3"/>
    <s v="Aug-2024"/>
    <n v="13060.169199999998"/>
    <n v="37171.250800000002"/>
    <x v="12"/>
  </r>
  <r>
    <s v="ORD00702"/>
    <x v="20"/>
    <x v="3"/>
    <n v="36115.480000000003"/>
    <n v="1"/>
    <n v="36115.480000000003"/>
    <d v="2024-04-13T00:00:00"/>
    <x v="1"/>
    <x v="32"/>
    <s v="April"/>
    <x v="0"/>
    <n v="7223.0960000000014"/>
    <n v="24"/>
    <x v="0"/>
    <x v="2"/>
    <n v="36115.480000000003"/>
    <n v="0"/>
    <n v="0.2"/>
    <n v="36115.480000000003"/>
    <n v="7223.0960000000014"/>
    <n v="4"/>
    <s v="Q2"/>
    <s v="Apr-2024"/>
    <n v="8667.7152000000006"/>
    <n v="27447.764800000004"/>
    <x v="9"/>
  </r>
  <r>
    <s v="ORD00703"/>
    <x v="7"/>
    <x v="4"/>
    <n v="13372.74"/>
    <n v="2"/>
    <n v="26745.48"/>
    <d v="2024-09-08T00:00:00"/>
    <x v="2"/>
    <x v="5"/>
    <s v="September"/>
    <x v="0"/>
    <n v="5349.0960000000005"/>
    <n v="21"/>
    <x v="1"/>
    <x v="1"/>
    <n v="26745.48"/>
    <n v="0"/>
    <n v="0.2"/>
    <n v="13372.74"/>
    <n v="2674.5480000000002"/>
    <n v="9"/>
    <s v="Q3"/>
    <s v="Sep-2024"/>
    <n v="5616.5508"/>
    <n v="21128.929199999999"/>
    <x v="0"/>
  </r>
  <r>
    <s v="ORD00704"/>
    <x v="0"/>
    <x v="0"/>
    <n v="32472.59"/>
    <n v="1"/>
    <n v="32472.59"/>
    <d v="2024-03-27T00:00:00"/>
    <x v="2"/>
    <x v="34"/>
    <s v="March"/>
    <x v="0"/>
    <n v="6494.518"/>
    <n v="11"/>
    <x v="0"/>
    <x v="3"/>
    <n v="32472.59"/>
    <n v="0"/>
    <n v="0.2"/>
    <n v="32472.59"/>
    <n v="6494.518"/>
    <n v="3"/>
    <s v="Q1"/>
    <s v="Mar-2024"/>
    <n v="3571.9848999999999"/>
    <n v="28900.605100000001"/>
    <x v="7"/>
  </r>
  <r>
    <s v="ORD00705"/>
    <x v="21"/>
    <x v="0"/>
    <n v="12097.46"/>
    <n v="5"/>
    <n v="60487.3"/>
    <d v="2024-05-21T00:00:00"/>
    <x v="3"/>
    <x v="24"/>
    <s v="May"/>
    <x v="0"/>
    <n v="12097.460000000001"/>
    <n v="29"/>
    <x v="0"/>
    <x v="0"/>
    <n v="60487.299999999996"/>
    <n v="0"/>
    <n v="0.2"/>
    <n v="12097.460000000001"/>
    <n v="2419.4920000000002"/>
    <n v="5"/>
    <s v="Q2"/>
    <s v="May-2024"/>
    <n v="17541.317000000003"/>
    <n v="42945.983"/>
    <x v="2"/>
  </r>
  <r>
    <s v="ORD00706"/>
    <x v="14"/>
    <x v="0"/>
    <n v="34446.42"/>
    <n v="3"/>
    <n v="103339.26"/>
    <d v="2024-02-27T00:00:00"/>
    <x v="1"/>
    <x v="7"/>
    <s v="February"/>
    <x v="0"/>
    <n v="20667.851999999999"/>
    <n v="17"/>
    <x v="1"/>
    <x v="3"/>
    <n v="103339.26"/>
    <n v="0"/>
    <n v="0.2"/>
    <n v="34446.42"/>
    <n v="6889.2839999999997"/>
    <n v="2"/>
    <s v="Q1"/>
    <s v="Feb-2024"/>
    <n v="17567.674199999998"/>
    <n v="85771.585800000001"/>
    <x v="10"/>
  </r>
  <r>
    <s v="ORD00707"/>
    <x v="0"/>
    <x v="0"/>
    <n v="13420.4"/>
    <n v="4"/>
    <n v="53681.599999999999"/>
    <d v="2024-12-26T00:00:00"/>
    <x v="3"/>
    <x v="25"/>
    <s v="December"/>
    <x v="0"/>
    <n v="10736.32"/>
    <n v="8"/>
    <x v="0"/>
    <x v="0"/>
    <n v="53681.599999999999"/>
    <n v="0"/>
    <n v="0.2"/>
    <n v="13420.4"/>
    <n v="2684.08"/>
    <n v="12"/>
    <s v="Q4"/>
    <s v="Dec-2024"/>
    <n v="4294.5280000000002"/>
    <n v="49387.072"/>
    <x v="1"/>
  </r>
  <r>
    <s v="ORD00708"/>
    <x v="13"/>
    <x v="0"/>
    <n v="20686.939999999999"/>
    <n v="3"/>
    <n v="62060.82"/>
    <d v="2024-12-26T00:00:00"/>
    <x v="2"/>
    <x v="27"/>
    <s v="December"/>
    <x v="0"/>
    <n v="12412.164000000001"/>
    <n v="8"/>
    <x v="1"/>
    <x v="2"/>
    <n v="62060.819999999992"/>
    <n v="0"/>
    <n v="0.2"/>
    <n v="20686.939999999999"/>
    <n v="4137.3879999999999"/>
    <n v="12"/>
    <s v="Q4"/>
    <s v="Dec-2024"/>
    <n v="4964.8656000000001"/>
    <n v="57095.954400000002"/>
    <x v="1"/>
  </r>
  <r>
    <s v="ORD00709"/>
    <x v="20"/>
    <x v="3"/>
    <n v="29418.33"/>
    <n v="2"/>
    <n v="58836.66"/>
    <d v="2024-07-30T00:00:00"/>
    <x v="3"/>
    <x v="26"/>
    <s v="July"/>
    <x v="0"/>
    <n v="11767.332000000002"/>
    <n v="10"/>
    <x v="2"/>
    <x v="1"/>
    <n v="58836.66"/>
    <n v="0"/>
    <n v="0.2"/>
    <n v="29418.33"/>
    <n v="5883.6660000000011"/>
    <n v="7"/>
    <s v="Q3"/>
    <s v="Jul-2024"/>
    <n v="5883.6660000000011"/>
    <n v="52952.994000000006"/>
    <x v="5"/>
  </r>
  <r>
    <s v="ORD00710"/>
    <x v="22"/>
    <x v="0"/>
    <n v="6115.91"/>
    <n v="1"/>
    <n v="6115.91"/>
    <d v="2024-05-14T00:00:00"/>
    <x v="1"/>
    <x v="39"/>
    <s v="May"/>
    <x v="0"/>
    <n v="1223.182"/>
    <n v="23"/>
    <x v="1"/>
    <x v="0"/>
    <n v="6115.91"/>
    <n v="0"/>
    <n v="0.2"/>
    <n v="6115.91"/>
    <n v="1223.182"/>
    <n v="5"/>
    <s v="Q2"/>
    <s v="May-2024"/>
    <n v="1406.6593"/>
    <n v="4709.2506999999996"/>
    <x v="2"/>
  </r>
  <r>
    <s v="ORD00711"/>
    <x v="22"/>
    <x v="0"/>
    <n v="33404.120000000003"/>
    <n v="3"/>
    <n v="100212.36"/>
    <d v="2024-08-21T00:00:00"/>
    <x v="0"/>
    <x v="29"/>
    <s v="August"/>
    <x v="0"/>
    <n v="20042.472000000002"/>
    <n v="16"/>
    <x v="2"/>
    <x v="0"/>
    <n v="100212.36000000002"/>
    <n v="0"/>
    <n v="0.2"/>
    <n v="33404.120000000003"/>
    <n v="6680.8240000000005"/>
    <n v="8"/>
    <s v="Q3"/>
    <s v="Aug-2024"/>
    <n v="16033.9776"/>
    <n v="84178.382400000002"/>
    <x v="12"/>
  </r>
  <r>
    <s v="ORD00712"/>
    <x v="1"/>
    <x v="1"/>
    <n v="40046.19"/>
    <n v="2"/>
    <n v="80092.38"/>
    <d v="2024-05-07T00:00:00"/>
    <x v="1"/>
    <x v="12"/>
    <s v="May"/>
    <x v="0"/>
    <n v="16018.476000000002"/>
    <n v="26"/>
    <x v="0"/>
    <x v="0"/>
    <n v="80092.38"/>
    <n v="0"/>
    <n v="0.2"/>
    <n v="40046.19"/>
    <n v="8009.2380000000012"/>
    <n v="5"/>
    <s v="Q2"/>
    <s v="May-2024"/>
    <n v="20824.018800000002"/>
    <n v="59268.361199999999"/>
    <x v="2"/>
  </r>
  <r>
    <s v="ORD00713"/>
    <x v="22"/>
    <x v="0"/>
    <n v="22709.95"/>
    <n v="2"/>
    <n v="45419.9"/>
    <d v="2024-10-24T00:00:00"/>
    <x v="4"/>
    <x v="9"/>
    <s v="October"/>
    <x v="0"/>
    <n v="9083.9800000000014"/>
    <n v="11"/>
    <x v="0"/>
    <x v="0"/>
    <n v="45419.9"/>
    <n v="0"/>
    <n v="0.2"/>
    <n v="22709.95"/>
    <n v="4541.9900000000007"/>
    <n v="10"/>
    <s v="Q4"/>
    <s v="Oct-2024"/>
    <n v="4996.1890000000003"/>
    <n v="40423.711000000003"/>
    <x v="4"/>
  </r>
  <r>
    <s v="ORD00714"/>
    <x v="21"/>
    <x v="0"/>
    <n v="22315.58"/>
    <n v="1"/>
    <n v="22315.58"/>
    <d v="2024-09-08T00:00:00"/>
    <x v="1"/>
    <x v="8"/>
    <s v="September"/>
    <x v="0"/>
    <n v="4463.1160000000009"/>
    <n v="14"/>
    <x v="2"/>
    <x v="1"/>
    <n v="22315.58"/>
    <n v="0"/>
    <n v="0.2"/>
    <n v="22315.58"/>
    <n v="4463.1160000000009"/>
    <n v="9"/>
    <s v="Q3"/>
    <s v="Sep-2024"/>
    <n v="3124.1812"/>
    <n v="19191.398800000003"/>
    <x v="0"/>
  </r>
  <r>
    <s v="ORD00715"/>
    <x v="1"/>
    <x v="1"/>
    <n v="47608.93"/>
    <n v="1"/>
    <n v="47608.93"/>
    <d v="2024-02-25T00:00:00"/>
    <x v="1"/>
    <x v="24"/>
    <s v="February"/>
    <x v="0"/>
    <n v="9521.7860000000001"/>
    <n v="30"/>
    <x v="0"/>
    <x v="1"/>
    <n v="47608.93"/>
    <n v="0"/>
    <n v="0.2"/>
    <n v="47608.93"/>
    <n v="9521.7860000000001"/>
    <n v="2"/>
    <s v="Q1"/>
    <s v="Feb-2024"/>
    <n v="14282.678999999998"/>
    <n v="33326.251000000004"/>
    <x v="10"/>
  </r>
  <r>
    <s v="ORD00716"/>
    <x v="8"/>
    <x v="1"/>
    <n v="19846.64"/>
    <n v="1"/>
    <n v="19846.64"/>
    <d v="2024-08-09T00:00:00"/>
    <x v="5"/>
    <x v="26"/>
    <s v="August"/>
    <x v="0"/>
    <n v="3969.328"/>
    <n v="23"/>
    <x v="1"/>
    <x v="2"/>
    <n v="19846.64"/>
    <n v="0"/>
    <n v="0.2"/>
    <n v="19846.64"/>
    <n v="3969.328"/>
    <n v="8"/>
    <s v="Q3"/>
    <s v="Aug-2024"/>
    <n v="4564.7271999999994"/>
    <n v="15281.9128"/>
    <x v="12"/>
  </r>
  <r>
    <s v="ORD00717"/>
    <x v="21"/>
    <x v="0"/>
    <n v="5975.89"/>
    <n v="3"/>
    <n v="17927.669999999998"/>
    <d v="2024-09-01T00:00:00"/>
    <x v="1"/>
    <x v="38"/>
    <s v="September"/>
    <x v="0"/>
    <n v="3585.5339999999997"/>
    <n v="11"/>
    <x v="2"/>
    <x v="1"/>
    <n v="17927.670000000002"/>
    <n v="0"/>
    <n v="0.2"/>
    <n v="5975.8899999999994"/>
    <n v="1195.1779999999999"/>
    <n v="9"/>
    <s v="Q3"/>
    <s v="Sep-2024"/>
    <n v="1972.0436999999999"/>
    <n v="15955.626299999998"/>
    <x v="0"/>
  </r>
  <r>
    <s v="ORD00718"/>
    <x v="21"/>
    <x v="0"/>
    <n v="49409.89"/>
    <n v="4"/>
    <n v="197639.56"/>
    <d v="2024-09-26T00:00:00"/>
    <x v="5"/>
    <x v="27"/>
    <s v="September"/>
    <x v="0"/>
    <n v="39527.912000000004"/>
    <n v="7"/>
    <x v="0"/>
    <x v="0"/>
    <n v="197639.56"/>
    <n v="0"/>
    <n v="0.2"/>
    <n v="49409.89"/>
    <n v="9881.978000000001"/>
    <n v="9"/>
    <s v="Q3"/>
    <s v="Sep-2024"/>
    <n v="13834.769199999999"/>
    <n v="183804.79079999999"/>
    <x v="0"/>
  </r>
  <r>
    <s v="ORD00719"/>
    <x v="24"/>
    <x v="1"/>
    <n v="13885.05"/>
    <n v="5"/>
    <n v="69425.25"/>
    <d v="2024-10-12T00:00:00"/>
    <x v="4"/>
    <x v="0"/>
    <s v="October"/>
    <x v="0"/>
    <n v="13885.050000000001"/>
    <n v="17"/>
    <x v="2"/>
    <x v="2"/>
    <n v="69425.25"/>
    <n v="0"/>
    <n v="0.2"/>
    <n v="13885.05"/>
    <n v="2777.01"/>
    <n v="10"/>
    <s v="Q4"/>
    <s v="Oct-2024"/>
    <n v="11802.2925"/>
    <n v="57622.957500000004"/>
    <x v="4"/>
  </r>
  <r>
    <s v="ORD00720"/>
    <x v="19"/>
    <x v="2"/>
    <n v="4080.78"/>
    <n v="3"/>
    <n v="12242.34"/>
    <d v="2024-04-08T00:00:00"/>
    <x v="4"/>
    <x v="35"/>
    <s v="April"/>
    <x v="0"/>
    <n v="2448.4680000000003"/>
    <n v="17"/>
    <x v="1"/>
    <x v="2"/>
    <n v="12242.34"/>
    <n v="0"/>
    <n v="0.2"/>
    <n v="4080.78"/>
    <n v="816.15600000000006"/>
    <n v="4"/>
    <s v="Q2"/>
    <s v="Apr-2024"/>
    <n v="2081.1977999999999"/>
    <n v="10161.1422"/>
    <x v="9"/>
  </r>
  <r>
    <s v="ORD00721"/>
    <x v="20"/>
    <x v="3"/>
    <n v="27306.31"/>
    <n v="3"/>
    <n v="81918.929999999993"/>
    <d v="2024-03-18T00:00:00"/>
    <x v="4"/>
    <x v="28"/>
    <s v="March"/>
    <x v="0"/>
    <n v="16383.786"/>
    <n v="22"/>
    <x v="1"/>
    <x v="2"/>
    <n v="81918.930000000008"/>
    <n v="0"/>
    <n v="0.2"/>
    <n v="27306.309999999998"/>
    <n v="5461.2619999999997"/>
    <n v="3"/>
    <s v="Q1"/>
    <s v="Mar-2024"/>
    <n v="18022.1646"/>
    <n v="63896.765399999989"/>
    <x v="7"/>
  </r>
  <r>
    <s v="ORD00722"/>
    <x v="4"/>
    <x v="4"/>
    <n v="16580.240000000002"/>
    <n v="5"/>
    <n v="82901.2"/>
    <d v="2024-12-02T00:00:00"/>
    <x v="5"/>
    <x v="33"/>
    <s v="December"/>
    <x v="0"/>
    <n v="16580.240000000002"/>
    <n v="30"/>
    <x v="0"/>
    <x v="0"/>
    <n v="82901.200000000012"/>
    <n v="0"/>
    <n v="0.20000000000000004"/>
    <n v="16580.239999999998"/>
    <n v="3316.0480000000002"/>
    <n v="12"/>
    <s v="Q4"/>
    <s v="Dec-2024"/>
    <n v="24870.36"/>
    <n v="58030.84"/>
    <x v="1"/>
  </r>
  <r>
    <s v="ORD00723"/>
    <x v="13"/>
    <x v="0"/>
    <n v="12798.83"/>
    <n v="4"/>
    <n v="51195.32"/>
    <d v="2024-11-06T00:00:00"/>
    <x v="1"/>
    <x v="40"/>
    <s v="November"/>
    <x v="0"/>
    <n v="10239.064"/>
    <n v="24"/>
    <x v="1"/>
    <x v="3"/>
    <n v="51195.32"/>
    <n v="0"/>
    <n v="0.2"/>
    <n v="12798.83"/>
    <n v="2559.7660000000001"/>
    <n v="11"/>
    <s v="Q4"/>
    <s v="Nov-2024"/>
    <n v="12286.8768"/>
    <n v="38908.443200000002"/>
    <x v="3"/>
  </r>
  <r>
    <s v="ORD00724"/>
    <x v="0"/>
    <x v="0"/>
    <n v="18574.12"/>
    <n v="1"/>
    <n v="18574.12"/>
    <d v="2024-10-14T00:00:00"/>
    <x v="2"/>
    <x v="26"/>
    <s v="October"/>
    <x v="0"/>
    <n v="3714.8240000000001"/>
    <n v="12"/>
    <x v="2"/>
    <x v="0"/>
    <n v="18574.12"/>
    <n v="0"/>
    <n v="0.2"/>
    <n v="18574.12"/>
    <n v="3714.8240000000001"/>
    <n v="10"/>
    <s v="Q4"/>
    <s v="Oct-2024"/>
    <n v="2228.8944000000001"/>
    <n v="16345.225599999998"/>
    <x v="4"/>
  </r>
  <r>
    <s v="ORD00725"/>
    <x v="4"/>
    <x v="4"/>
    <n v="30836.98"/>
    <n v="4"/>
    <n v="123347.92"/>
    <d v="2024-02-14T00:00:00"/>
    <x v="2"/>
    <x v="19"/>
    <s v="February"/>
    <x v="0"/>
    <n v="24669.584000000003"/>
    <n v="13"/>
    <x v="1"/>
    <x v="1"/>
    <n v="123347.92"/>
    <n v="0"/>
    <n v="0.2"/>
    <n v="30836.98"/>
    <n v="6167.3960000000006"/>
    <n v="2"/>
    <s v="Q1"/>
    <s v="Feb-2024"/>
    <n v="16035.229599999999"/>
    <n v="107312.69039999999"/>
    <x v="10"/>
  </r>
  <r>
    <s v="ORD00726"/>
    <x v="6"/>
    <x v="1"/>
    <n v="48620.13"/>
    <n v="4"/>
    <n v="194480.52"/>
    <d v="2024-07-21T00:00:00"/>
    <x v="0"/>
    <x v="30"/>
    <s v="July"/>
    <x v="0"/>
    <n v="38896.103999999999"/>
    <n v="11"/>
    <x v="2"/>
    <x v="1"/>
    <n v="194480.52"/>
    <n v="0"/>
    <n v="0.2"/>
    <n v="48620.13"/>
    <n v="9724.0259999999998"/>
    <n v="7"/>
    <s v="Q3"/>
    <s v="Jul-2024"/>
    <n v="21392.857199999999"/>
    <n v="173087.66279999999"/>
    <x v="5"/>
  </r>
  <r>
    <s v="ORD00727"/>
    <x v="14"/>
    <x v="0"/>
    <n v="16390.439999999999"/>
    <n v="2"/>
    <n v="32780.879999999997"/>
    <d v="2024-08-12T00:00:00"/>
    <x v="4"/>
    <x v="24"/>
    <s v="August"/>
    <x v="0"/>
    <n v="6556.1759999999995"/>
    <n v="5"/>
    <x v="2"/>
    <x v="0"/>
    <n v="32780.879999999997"/>
    <n v="0"/>
    <n v="0.2"/>
    <n v="16390.439999999999"/>
    <n v="3278.0879999999997"/>
    <n v="8"/>
    <s v="Q3"/>
    <s v="Aug-2024"/>
    <n v="1639.0439999999999"/>
    <n v="31141.835999999996"/>
    <x v="12"/>
  </r>
  <r>
    <s v="ORD00728"/>
    <x v="2"/>
    <x v="2"/>
    <n v="18862.009999999998"/>
    <n v="3"/>
    <n v="56586.03"/>
    <d v="2024-12-10T00:00:00"/>
    <x v="2"/>
    <x v="32"/>
    <s v="December"/>
    <x v="0"/>
    <n v="11317.206"/>
    <n v="7"/>
    <x v="1"/>
    <x v="0"/>
    <n v="56586.03"/>
    <n v="0"/>
    <n v="0.2"/>
    <n v="18862.009999999998"/>
    <n v="3772.402"/>
    <n v="12"/>
    <s v="Q4"/>
    <s v="Dec-2024"/>
    <n v="3961.0220999999997"/>
    <n v="52625.007899999997"/>
    <x v="1"/>
  </r>
  <r>
    <s v="ORD00729"/>
    <x v="3"/>
    <x v="3"/>
    <n v="11448.28"/>
    <n v="1"/>
    <n v="11448.28"/>
    <d v="2024-08-04T00:00:00"/>
    <x v="5"/>
    <x v="22"/>
    <s v="August"/>
    <x v="0"/>
    <n v="2289.6560000000004"/>
    <n v="17"/>
    <x v="0"/>
    <x v="2"/>
    <n v="11448.28"/>
    <n v="0"/>
    <n v="0.2"/>
    <n v="11448.28"/>
    <n v="2289.6560000000004"/>
    <n v="8"/>
    <s v="Q3"/>
    <s v="Aug-2024"/>
    <n v="1946.2076000000002"/>
    <n v="9502.0724000000009"/>
    <x v="12"/>
  </r>
  <r>
    <s v="ORD00730"/>
    <x v="17"/>
    <x v="2"/>
    <n v="24384.05"/>
    <n v="2"/>
    <n v="48768.1"/>
    <d v="2024-07-26T00:00:00"/>
    <x v="0"/>
    <x v="32"/>
    <s v="July"/>
    <x v="0"/>
    <n v="9753.6200000000008"/>
    <n v="29"/>
    <x v="1"/>
    <x v="0"/>
    <n v="48768.1"/>
    <n v="0"/>
    <n v="0.2"/>
    <n v="24384.05"/>
    <n v="4876.8100000000004"/>
    <n v="7"/>
    <s v="Q3"/>
    <s v="Jul-2024"/>
    <n v="14142.749"/>
    <n v="34625.350999999995"/>
    <x v="5"/>
  </r>
  <r>
    <s v="ORD00731"/>
    <x v="10"/>
    <x v="2"/>
    <n v="18179.43"/>
    <n v="1"/>
    <n v="18179.43"/>
    <d v="2024-03-20T00:00:00"/>
    <x v="2"/>
    <x v="17"/>
    <s v="March"/>
    <x v="0"/>
    <n v="3635.8860000000004"/>
    <n v="21"/>
    <x v="2"/>
    <x v="2"/>
    <n v="18179.43"/>
    <n v="0"/>
    <n v="0.2"/>
    <n v="18179.43"/>
    <n v="3635.8860000000004"/>
    <n v="3"/>
    <s v="Q1"/>
    <s v="Mar-2024"/>
    <n v="3817.6803000000004"/>
    <n v="14361.7497"/>
    <x v="7"/>
  </r>
  <r>
    <s v="ORD00732"/>
    <x v="4"/>
    <x v="4"/>
    <n v="22430.51"/>
    <n v="1"/>
    <n v="22430.51"/>
    <d v="2024-09-19T00:00:00"/>
    <x v="4"/>
    <x v="16"/>
    <s v="September"/>
    <x v="0"/>
    <n v="4486.1019999999999"/>
    <n v="29"/>
    <x v="2"/>
    <x v="1"/>
    <n v="22430.51"/>
    <n v="0"/>
    <n v="0.2"/>
    <n v="22430.51"/>
    <n v="4486.1019999999999"/>
    <n v="9"/>
    <s v="Q3"/>
    <s v="Sep-2024"/>
    <n v="6504.8478999999988"/>
    <n v="15925.6621"/>
    <x v="0"/>
  </r>
  <r>
    <s v="ORD00733"/>
    <x v="23"/>
    <x v="4"/>
    <n v="10241.780000000001"/>
    <n v="2"/>
    <n v="20483.560000000001"/>
    <d v="2025-01-15T00:00:00"/>
    <x v="2"/>
    <x v="13"/>
    <s v="January"/>
    <x v="1"/>
    <n v="4096.7120000000004"/>
    <n v="28"/>
    <x v="1"/>
    <x v="2"/>
    <n v="20483.560000000001"/>
    <n v="0"/>
    <n v="0.2"/>
    <n v="10241.780000000001"/>
    <n v="2048.3560000000002"/>
    <n v="1"/>
    <s v="Q1"/>
    <s v="Jan-2025"/>
    <n v="5735.3968000000004"/>
    <n v="14748.163200000001"/>
    <x v="6"/>
  </r>
  <r>
    <s v="ORD00734"/>
    <x v="24"/>
    <x v="1"/>
    <n v="17800.740000000002"/>
    <n v="3"/>
    <n v="53402.22"/>
    <d v="2024-11-05T00:00:00"/>
    <x v="2"/>
    <x v="36"/>
    <s v="November"/>
    <x v="0"/>
    <n v="10680.444000000001"/>
    <n v="5"/>
    <x v="0"/>
    <x v="0"/>
    <n v="53402.22"/>
    <n v="0"/>
    <n v="0.2"/>
    <n v="17800.740000000002"/>
    <n v="3560.1480000000006"/>
    <n v="11"/>
    <s v="Q4"/>
    <s v="Nov-2024"/>
    <n v="2670.1109999999999"/>
    <n v="50732.109000000004"/>
    <x v="3"/>
  </r>
  <r>
    <s v="ORD00735"/>
    <x v="13"/>
    <x v="0"/>
    <n v="16174.96"/>
    <n v="5"/>
    <n v="80874.8"/>
    <d v="2024-02-19T00:00:00"/>
    <x v="4"/>
    <x v="35"/>
    <s v="February"/>
    <x v="0"/>
    <n v="16174.960000000001"/>
    <n v="10"/>
    <x v="0"/>
    <x v="1"/>
    <n v="80874.799999999988"/>
    <n v="0"/>
    <n v="0.2"/>
    <n v="16174.960000000001"/>
    <n v="3234.9920000000002"/>
    <n v="2"/>
    <s v="Q1"/>
    <s v="Feb-2024"/>
    <n v="8087.48"/>
    <n v="72787.320000000007"/>
    <x v="10"/>
  </r>
  <r>
    <s v="ORD00736"/>
    <x v="4"/>
    <x v="4"/>
    <n v="2370.61"/>
    <n v="5"/>
    <n v="11853.05"/>
    <d v="2024-06-08T00:00:00"/>
    <x v="0"/>
    <x v="4"/>
    <s v="June"/>
    <x v="0"/>
    <n v="2370.61"/>
    <n v="25"/>
    <x v="2"/>
    <x v="3"/>
    <n v="11853.050000000001"/>
    <n v="0"/>
    <n v="0.2"/>
    <n v="2370.6099999999997"/>
    <n v="474.12200000000001"/>
    <n v="6"/>
    <s v="Q2"/>
    <s v="Jun-2024"/>
    <n v="2963.2624999999998"/>
    <n v="8889.7874999999985"/>
    <x v="11"/>
  </r>
  <r>
    <s v="ORD00737"/>
    <x v="17"/>
    <x v="2"/>
    <n v="139.85"/>
    <n v="3"/>
    <n v="419.55"/>
    <d v="2024-09-14T00:00:00"/>
    <x v="1"/>
    <x v="6"/>
    <s v="September"/>
    <x v="0"/>
    <n v="83.910000000000011"/>
    <n v="10"/>
    <x v="2"/>
    <x v="2"/>
    <n v="419.54999999999995"/>
    <n v="0"/>
    <n v="0.2"/>
    <n v="139.85"/>
    <n v="27.970000000000002"/>
    <n v="9"/>
    <s v="Q3"/>
    <s v="Sep-2024"/>
    <n v="41.954999999999998"/>
    <n v="377.59500000000003"/>
    <x v="0"/>
  </r>
  <r>
    <s v="ORD00738"/>
    <x v="3"/>
    <x v="3"/>
    <n v="2519.1799999999998"/>
    <n v="1"/>
    <n v="2519.1799999999998"/>
    <d v="2024-12-01T00:00:00"/>
    <x v="5"/>
    <x v="7"/>
    <s v="December"/>
    <x v="0"/>
    <n v="503.83600000000001"/>
    <n v="30"/>
    <x v="0"/>
    <x v="1"/>
    <n v="2519.1799999999998"/>
    <n v="0"/>
    <n v="0.2"/>
    <n v="2519.1799999999998"/>
    <n v="503.83600000000001"/>
    <n v="12"/>
    <s v="Q4"/>
    <s v="Dec-2024"/>
    <n v="755.75399999999991"/>
    <n v="1763.4259999999999"/>
    <x v="1"/>
  </r>
  <r>
    <s v="ORD00739"/>
    <x v="17"/>
    <x v="2"/>
    <n v="32626.32"/>
    <n v="4"/>
    <n v="130505.28"/>
    <d v="2024-10-21T00:00:00"/>
    <x v="1"/>
    <x v="36"/>
    <s v="October"/>
    <x v="0"/>
    <n v="26101.056"/>
    <n v="16"/>
    <x v="1"/>
    <x v="2"/>
    <n v="130505.28"/>
    <n v="0"/>
    <n v="0.2"/>
    <n v="32626.32"/>
    <n v="6525.2640000000001"/>
    <n v="10"/>
    <s v="Q4"/>
    <s v="Oct-2024"/>
    <n v="20880.844799999999"/>
    <n v="109624.43520000001"/>
    <x v="4"/>
  </r>
  <r>
    <s v="ORD00740"/>
    <x v="12"/>
    <x v="3"/>
    <n v="14636.55"/>
    <n v="3"/>
    <n v="43909.65"/>
    <d v="2024-05-09T00:00:00"/>
    <x v="4"/>
    <x v="22"/>
    <s v="May"/>
    <x v="0"/>
    <n v="8781.93"/>
    <n v="17"/>
    <x v="2"/>
    <x v="1"/>
    <n v="43909.649999999994"/>
    <n v="0"/>
    <n v="0.2"/>
    <n v="14636.550000000001"/>
    <n v="2927.31"/>
    <n v="5"/>
    <s v="Q2"/>
    <s v="May-2024"/>
    <n v="7464.6405000000004"/>
    <n v="36445.0095"/>
    <x v="2"/>
  </r>
  <r>
    <s v="ORD00741"/>
    <x v="2"/>
    <x v="2"/>
    <n v="19549.439999999999"/>
    <n v="5"/>
    <n v="97747.199999999997"/>
    <d v="2024-08-07T00:00:00"/>
    <x v="2"/>
    <x v="5"/>
    <s v="August"/>
    <x v="0"/>
    <n v="19549.439999999999"/>
    <n v="17"/>
    <x v="2"/>
    <x v="1"/>
    <n v="97747.199999999997"/>
    <n v="0"/>
    <n v="0.19999999999999998"/>
    <n v="19549.439999999999"/>
    <n v="3909.8879999999999"/>
    <n v="8"/>
    <s v="Q3"/>
    <s v="Aug-2024"/>
    <n v="16617.023999999998"/>
    <n v="81130.176000000007"/>
    <x v="12"/>
  </r>
  <r>
    <s v="ORD00742"/>
    <x v="20"/>
    <x v="3"/>
    <n v="37195.730000000003"/>
    <n v="2"/>
    <n v="74391.460000000006"/>
    <d v="2024-11-28T00:00:00"/>
    <x v="1"/>
    <x v="29"/>
    <s v="November"/>
    <x v="0"/>
    <n v="14878.292000000001"/>
    <n v="19"/>
    <x v="0"/>
    <x v="2"/>
    <n v="74391.460000000006"/>
    <n v="0"/>
    <n v="0.2"/>
    <n v="37195.730000000003"/>
    <n v="7439.1460000000006"/>
    <n v="11"/>
    <s v="Q4"/>
    <s v="Nov-2024"/>
    <n v="14134.377400000003"/>
    <n v="60257.082600000002"/>
    <x v="3"/>
  </r>
  <r>
    <s v="ORD00743"/>
    <x v="23"/>
    <x v="4"/>
    <n v="34821.93"/>
    <n v="3"/>
    <n v="104465.79"/>
    <d v="2024-10-20T00:00:00"/>
    <x v="4"/>
    <x v="2"/>
    <s v="October"/>
    <x v="0"/>
    <n v="20893.157999999999"/>
    <n v="25"/>
    <x v="1"/>
    <x v="3"/>
    <n v="104465.79000000001"/>
    <n v="0"/>
    <n v="0.2"/>
    <n v="34821.93"/>
    <n v="6964.3859999999995"/>
    <n v="10"/>
    <s v="Q4"/>
    <s v="Oct-2024"/>
    <n v="26116.447499999998"/>
    <n v="78349.342499999999"/>
    <x v="4"/>
  </r>
  <r>
    <s v="ORD00744"/>
    <x v="11"/>
    <x v="2"/>
    <n v="28630.92"/>
    <n v="4"/>
    <n v="114523.68"/>
    <d v="2025-01-18T00:00:00"/>
    <x v="4"/>
    <x v="24"/>
    <s v="January"/>
    <x v="1"/>
    <n v="22904.736000000001"/>
    <n v="20"/>
    <x v="0"/>
    <x v="1"/>
    <n v="114523.68"/>
    <n v="0"/>
    <n v="0.2"/>
    <n v="28630.92"/>
    <n v="5726.1840000000002"/>
    <n v="1"/>
    <s v="Q1"/>
    <s v="Jan-2025"/>
    <n v="22904.735999999997"/>
    <n v="91618.943999999989"/>
    <x v="6"/>
  </r>
  <r>
    <s v="ORD00745"/>
    <x v="15"/>
    <x v="1"/>
    <n v="25059.360000000001"/>
    <n v="5"/>
    <n v="125296.8"/>
    <d v="2024-03-07T00:00:00"/>
    <x v="1"/>
    <x v="7"/>
    <s v="March"/>
    <x v="0"/>
    <n v="25059.360000000001"/>
    <n v="26"/>
    <x v="1"/>
    <x v="1"/>
    <n v="125296.8"/>
    <n v="0"/>
    <n v="0.2"/>
    <n v="25059.360000000001"/>
    <n v="5011.8720000000003"/>
    <n v="3"/>
    <s v="Q1"/>
    <s v="Mar-2024"/>
    <n v="32577.168000000001"/>
    <n v="92719.631999999998"/>
    <x v="7"/>
  </r>
  <r>
    <s v="ORD00746"/>
    <x v="23"/>
    <x v="4"/>
    <n v="47795.34"/>
    <n v="1"/>
    <n v="47795.34"/>
    <d v="2024-12-13T00:00:00"/>
    <x v="3"/>
    <x v="10"/>
    <s v="December"/>
    <x v="0"/>
    <n v="9559.0679999999993"/>
    <n v="25"/>
    <x v="1"/>
    <x v="1"/>
    <n v="47795.34"/>
    <n v="0"/>
    <n v="0.2"/>
    <n v="47795.34"/>
    <n v="9559.0679999999993"/>
    <n v="12"/>
    <s v="Q4"/>
    <s v="Dec-2024"/>
    <n v="11948.834999999999"/>
    <n v="35846.504999999997"/>
    <x v="1"/>
  </r>
  <r>
    <s v="ORD00747"/>
    <x v="6"/>
    <x v="1"/>
    <n v="36918.199999999997"/>
    <n v="4"/>
    <n v="147672.79999999999"/>
    <d v="2024-02-28T00:00:00"/>
    <x v="2"/>
    <x v="3"/>
    <s v="February"/>
    <x v="0"/>
    <n v="29534.559999999998"/>
    <n v="15"/>
    <x v="1"/>
    <x v="3"/>
    <n v="147672.79999999999"/>
    <n v="0"/>
    <n v="0.2"/>
    <n v="36918.199999999997"/>
    <n v="7383.6399999999994"/>
    <n v="2"/>
    <s v="Q1"/>
    <s v="Feb-2024"/>
    <n v="22150.92"/>
    <n v="125521.87999999999"/>
    <x v="10"/>
  </r>
  <r>
    <s v="ORD00748"/>
    <x v="11"/>
    <x v="2"/>
    <n v="3394.38"/>
    <n v="3"/>
    <n v="10183.14"/>
    <d v="2024-06-26T00:00:00"/>
    <x v="1"/>
    <x v="0"/>
    <s v="June"/>
    <x v="0"/>
    <n v="2036.6279999999999"/>
    <n v="9"/>
    <x v="2"/>
    <x v="3"/>
    <n v="10183.14"/>
    <n v="0"/>
    <n v="0.2"/>
    <n v="3394.3799999999997"/>
    <n v="678.87599999999998"/>
    <n v="6"/>
    <s v="Q2"/>
    <s v="Jun-2024"/>
    <n v="916.48259999999993"/>
    <n v="9266.6574000000001"/>
    <x v="11"/>
  </r>
  <r>
    <s v="ORD00749"/>
    <x v="12"/>
    <x v="3"/>
    <n v="11142.38"/>
    <n v="5"/>
    <n v="55711.9"/>
    <d v="2024-08-07T00:00:00"/>
    <x v="4"/>
    <x v="26"/>
    <s v="August"/>
    <x v="0"/>
    <n v="11142.380000000001"/>
    <n v="8"/>
    <x v="0"/>
    <x v="0"/>
    <n v="55711.899999999994"/>
    <n v="0"/>
    <n v="0.2"/>
    <n v="11142.380000000001"/>
    <n v="2228.4760000000001"/>
    <n v="8"/>
    <s v="Q3"/>
    <s v="Aug-2024"/>
    <n v="4456.9520000000002"/>
    <n v="51254.948000000004"/>
    <x v="12"/>
  </r>
  <r>
    <s v="ORD00750"/>
    <x v="4"/>
    <x v="4"/>
    <n v="18602.849999999999"/>
    <n v="5"/>
    <n v="93014.25"/>
    <d v="2024-10-25T00:00:00"/>
    <x v="1"/>
    <x v="17"/>
    <s v="October"/>
    <x v="0"/>
    <n v="18602.850000000002"/>
    <n v="7"/>
    <x v="0"/>
    <x v="2"/>
    <n v="93014.25"/>
    <n v="0"/>
    <n v="0.2"/>
    <n v="18602.849999999999"/>
    <n v="3720.5700000000006"/>
    <n v="10"/>
    <s v="Q4"/>
    <s v="Oct-2024"/>
    <n v="6510.9975000000004"/>
    <n v="86503.252500000002"/>
    <x v="4"/>
  </r>
  <r>
    <s v="ORD00751"/>
    <x v="8"/>
    <x v="1"/>
    <n v="13557.11"/>
    <n v="5"/>
    <n v="67785.55"/>
    <d v="2024-05-25T00:00:00"/>
    <x v="5"/>
    <x v="11"/>
    <s v="May"/>
    <x v="0"/>
    <n v="13557.11"/>
    <n v="23"/>
    <x v="1"/>
    <x v="3"/>
    <n v="67785.55"/>
    <n v="0"/>
    <n v="0.2"/>
    <n v="13557.11"/>
    <n v="2711.422"/>
    <n v="5"/>
    <s v="Q2"/>
    <s v="May-2024"/>
    <n v="15590.676500000001"/>
    <n v="52194.873500000002"/>
    <x v="2"/>
  </r>
  <r>
    <s v="ORD00752"/>
    <x v="5"/>
    <x v="4"/>
    <n v="13559.18"/>
    <n v="1"/>
    <n v="13559.18"/>
    <d v="2024-08-11T00:00:00"/>
    <x v="0"/>
    <x v="34"/>
    <s v="August"/>
    <x v="0"/>
    <n v="2711.8360000000002"/>
    <n v="24"/>
    <x v="2"/>
    <x v="2"/>
    <n v="13559.18"/>
    <n v="0"/>
    <n v="0.2"/>
    <n v="13559.18"/>
    <n v="2711.8360000000002"/>
    <n v="8"/>
    <s v="Q3"/>
    <s v="Aug-2024"/>
    <n v="3254.2031999999999"/>
    <n v="10304.9768"/>
    <x v="12"/>
  </r>
  <r>
    <s v="ORD00753"/>
    <x v="9"/>
    <x v="3"/>
    <n v="41926.03"/>
    <n v="2"/>
    <n v="83852.06"/>
    <d v="2025-02-01T00:00:00"/>
    <x v="3"/>
    <x v="22"/>
    <s v="February"/>
    <x v="1"/>
    <n v="16770.412"/>
    <n v="29"/>
    <x v="2"/>
    <x v="0"/>
    <n v="83852.06"/>
    <n v="0"/>
    <n v="0.2"/>
    <n v="41926.03"/>
    <n v="8385.2060000000001"/>
    <n v="2"/>
    <s v="Q1"/>
    <s v="Feb-2025"/>
    <n v="24317.097399999999"/>
    <n v="59534.962599999999"/>
    <x v="8"/>
  </r>
  <r>
    <s v="ORD00754"/>
    <x v="11"/>
    <x v="2"/>
    <n v="12930.46"/>
    <n v="4"/>
    <n v="51721.84"/>
    <d v="2024-12-30T00:00:00"/>
    <x v="5"/>
    <x v="30"/>
    <s v="December"/>
    <x v="0"/>
    <n v="10344.368"/>
    <n v="22"/>
    <x v="0"/>
    <x v="2"/>
    <n v="51721.84"/>
    <n v="0"/>
    <n v="0.2"/>
    <n v="12930.46"/>
    <n v="2586.0920000000001"/>
    <n v="12"/>
    <s v="Q4"/>
    <s v="Dec-2024"/>
    <n v="11378.8048"/>
    <n v="40343.035199999998"/>
    <x v="1"/>
  </r>
  <r>
    <s v="ORD00755"/>
    <x v="18"/>
    <x v="3"/>
    <n v="37355.589999999997"/>
    <n v="3"/>
    <n v="112066.77"/>
    <d v="2024-07-08T00:00:00"/>
    <x v="2"/>
    <x v="5"/>
    <s v="July"/>
    <x v="0"/>
    <n v="22413.354000000003"/>
    <n v="19"/>
    <x v="2"/>
    <x v="3"/>
    <n v="112066.76999999999"/>
    <n v="0"/>
    <n v="0.2"/>
    <n v="37355.590000000004"/>
    <n v="7471.1180000000013"/>
    <n v="7"/>
    <s v="Q3"/>
    <s v="Jul-2024"/>
    <n v="21292.686299999998"/>
    <n v="90774.083700000003"/>
    <x v="5"/>
  </r>
  <r>
    <s v="ORD00756"/>
    <x v="11"/>
    <x v="2"/>
    <n v="18385.32"/>
    <n v="5"/>
    <n v="91926.6"/>
    <d v="2024-05-15T00:00:00"/>
    <x v="1"/>
    <x v="28"/>
    <s v="May"/>
    <x v="0"/>
    <n v="18385.320000000003"/>
    <n v="13"/>
    <x v="2"/>
    <x v="2"/>
    <n v="91926.6"/>
    <n v="0"/>
    <n v="0.2"/>
    <n v="18385.32"/>
    <n v="3677.0640000000008"/>
    <n v="5"/>
    <s v="Q2"/>
    <s v="May-2024"/>
    <n v="11950.458000000001"/>
    <n v="79976.142000000007"/>
    <x v="2"/>
  </r>
  <r>
    <s v="ORD00757"/>
    <x v="14"/>
    <x v="0"/>
    <n v="5299.58"/>
    <n v="4"/>
    <n v="21198.32"/>
    <d v="2024-08-27T00:00:00"/>
    <x v="0"/>
    <x v="18"/>
    <s v="August"/>
    <x v="0"/>
    <n v="4239.6639999999998"/>
    <n v="21"/>
    <x v="1"/>
    <x v="3"/>
    <n v="21198.32"/>
    <n v="0"/>
    <n v="0.19999999999999998"/>
    <n v="5299.58"/>
    <n v="1059.9159999999999"/>
    <n v="8"/>
    <s v="Q3"/>
    <s v="Aug-2024"/>
    <n v="4451.6471999999994"/>
    <n v="16746.6728"/>
    <x v="12"/>
  </r>
  <r>
    <s v="ORD00758"/>
    <x v="0"/>
    <x v="0"/>
    <n v="7649.41"/>
    <n v="4"/>
    <n v="30597.64"/>
    <d v="2024-04-16T00:00:00"/>
    <x v="1"/>
    <x v="14"/>
    <s v="April"/>
    <x v="0"/>
    <n v="6119.5280000000002"/>
    <n v="18"/>
    <x v="2"/>
    <x v="2"/>
    <n v="30597.64"/>
    <n v="0"/>
    <n v="0.2"/>
    <n v="7649.41"/>
    <n v="1529.8820000000001"/>
    <n v="4"/>
    <s v="Q2"/>
    <s v="Apr-2024"/>
    <n v="5507.5752000000002"/>
    <n v="25090.0648"/>
    <x v="9"/>
  </r>
  <r>
    <s v="ORD00759"/>
    <x v="5"/>
    <x v="4"/>
    <n v="36950.980000000003"/>
    <n v="4"/>
    <n v="147803.92000000001"/>
    <d v="2024-10-07T00:00:00"/>
    <x v="0"/>
    <x v="32"/>
    <s v="October"/>
    <x v="0"/>
    <n v="29560.784000000003"/>
    <n v="19"/>
    <x v="1"/>
    <x v="3"/>
    <n v="147803.92000000001"/>
    <n v="0"/>
    <n v="0.2"/>
    <n v="36950.980000000003"/>
    <n v="7390.1960000000008"/>
    <n v="10"/>
    <s v="Q4"/>
    <s v="Oct-2024"/>
    <n v="28082.744800000004"/>
    <n v="119721.17520000001"/>
    <x v="4"/>
  </r>
  <r>
    <s v="ORD00760"/>
    <x v="13"/>
    <x v="0"/>
    <n v="2136.9899999999998"/>
    <n v="1"/>
    <n v="2136.9899999999998"/>
    <d v="2024-09-07T00:00:00"/>
    <x v="5"/>
    <x v="21"/>
    <s v="September"/>
    <x v="0"/>
    <n v="427.39799999999997"/>
    <n v="5"/>
    <x v="0"/>
    <x v="3"/>
    <n v="2136.9899999999998"/>
    <n v="0"/>
    <n v="0.2"/>
    <n v="2136.9899999999998"/>
    <n v="427.39799999999997"/>
    <n v="9"/>
    <s v="Q3"/>
    <s v="Sep-2024"/>
    <n v="106.84949999999999"/>
    <n v="2030.1404999999997"/>
    <x v="0"/>
  </r>
  <r>
    <s v="ORD00761"/>
    <x v="23"/>
    <x v="4"/>
    <n v="19693.93"/>
    <n v="5"/>
    <n v="98469.65"/>
    <d v="2024-04-13T00:00:00"/>
    <x v="2"/>
    <x v="30"/>
    <s v="April"/>
    <x v="0"/>
    <n v="19693.93"/>
    <n v="25"/>
    <x v="2"/>
    <x v="2"/>
    <n v="98469.65"/>
    <n v="0"/>
    <n v="0.2"/>
    <n v="19693.93"/>
    <n v="3938.7860000000001"/>
    <n v="4"/>
    <s v="Q2"/>
    <s v="Apr-2024"/>
    <n v="24617.412499999999"/>
    <n v="73852.237499999988"/>
    <x v="9"/>
  </r>
  <r>
    <s v="ORD00762"/>
    <x v="23"/>
    <x v="4"/>
    <n v="16179.61"/>
    <n v="2"/>
    <n v="32359.22"/>
    <d v="2024-11-11T00:00:00"/>
    <x v="0"/>
    <x v="29"/>
    <s v="November"/>
    <x v="0"/>
    <n v="6471.844000000001"/>
    <n v="26"/>
    <x v="0"/>
    <x v="0"/>
    <n v="32359.22"/>
    <n v="0"/>
    <n v="0.2"/>
    <n v="16179.61"/>
    <n v="3235.9220000000005"/>
    <n v="11"/>
    <s v="Q4"/>
    <s v="Nov-2024"/>
    <n v="8413.3971999999994"/>
    <n v="23945.822800000002"/>
    <x v="3"/>
  </r>
  <r>
    <s v="ORD00763"/>
    <x v="0"/>
    <x v="0"/>
    <n v="45910.23"/>
    <n v="4"/>
    <n v="183640.92"/>
    <d v="2024-12-26T00:00:00"/>
    <x v="5"/>
    <x v="14"/>
    <s v="December"/>
    <x v="0"/>
    <n v="36728.184000000001"/>
    <n v="26"/>
    <x v="0"/>
    <x v="1"/>
    <n v="183640.92"/>
    <n v="0"/>
    <n v="0.19999999999999998"/>
    <n v="45910.23"/>
    <n v="9182.0460000000003"/>
    <n v="12"/>
    <s v="Q4"/>
    <s v="Dec-2024"/>
    <n v="47746.639199999998"/>
    <n v="135894.28080000001"/>
    <x v="1"/>
  </r>
  <r>
    <s v="ORD00764"/>
    <x v="11"/>
    <x v="2"/>
    <n v="6685.9"/>
    <n v="2"/>
    <n v="13371.8"/>
    <d v="2024-02-20T00:00:00"/>
    <x v="0"/>
    <x v="6"/>
    <s v="February"/>
    <x v="0"/>
    <n v="2674.36"/>
    <n v="7"/>
    <x v="2"/>
    <x v="0"/>
    <n v="13371.8"/>
    <n v="0"/>
    <n v="0.2"/>
    <n v="6685.9"/>
    <n v="1337.18"/>
    <n v="2"/>
    <s v="Q1"/>
    <s v="Feb-2024"/>
    <n v="936.02599999999995"/>
    <n v="12435.773999999999"/>
    <x v="10"/>
  </r>
  <r>
    <s v="ORD00765"/>
    <x v="22"/>
    <x v="0"/>
    <n v="2258.89"/>
    <n v="3"/>
    <n v="6776.67"/>
    <d v="2024-09-12T00:00:00"/>
    <x v="2"/>
    <x v="6"/>
    <s v="September"/>
    <x v="0"/>
    <n v="1355.3340000000001"/>
    <n v="20"/>
    <x v="2"/>
    <x v="2"/>
    <n v="6776.67"/>
    <n v="0"/>
    <n v="0.2"/>
    <n v="2258.89"/>
    <n v="451.77800000000002"/>
    <n v="9"/>
    <s v="Q3"/>
    <s v="Sep-2024"/>
    <n v="1355.3339999999998"/>
    <n v="5421.3360000000002"/>
    <x v="0"/>
  </r>
  <r>
    <s v="ORD00766"/>
    <x v="0"/>
    <x v="0"/>
    <n v="25282.52"/>
    <n v="1"/>
    <n v="25282.52"/>
    <d v="2024-09-06T00:00:00"/>
    <x v="4"/>
    <x v="16"/>
    <s v="September"/>
    <x v="0"/>
    <n v="5056.5040000000008"/>
    <n v="27"/>
    <x v="0"/>
    <x v="0"/>
    <n v="25282.52"/>
    <n v="0"/>
    <n v="0.20000000000000004"/>
    <n v="25282.52"/>
    <n v="5056.5040000000008"/>
    <n v="9"/>
    <s v="Q3"/>
    <s v="Sep-2024"/>
    <n v="6826.2804000000006"/>
    <n v="18456.239600000001"/>
    <x v="0"/>
  </r>
  <r>
    <s v="ORD00767"/>
    <x v="19"/>
    <x v="2"/>
    <n v="11461.72"/>
    <n v="5"/>
    <n v="57308.6"/>
    <d v="2024-11-06T00:00:00"/>
    <x v="0"/>
    <x v="32"/>
    <s v="November"/>
    <x v="0"/>
    <n v="11461.720000000001"/>
    <n v="29"/>
    <x v="2"/>
    <x v="3"/>
    <n v="57308.6"/>
    <n v="0"/>
    <n v="0.20000000000000004"/>
    <n v="11461.72"/>
    <n v="2292.3440000000001"/>
    <n v="11"/>
    <s v="Q4"/>
    <s v="Nov-2024"/>
    <n v="16619.493999999999"/>
    <n v="40689.106"/>
    <x v="3"/>
  </r>
  <r>
    <s v="ORD00768"/>
    <x v="19"/>
    <x v="2"/>
    <n v="17915.599999999999"/>
    <n v="4"/>
    <n v="71662.399999999994"/>
    <d v="2024-08-28T00:00:00"/>
    <x v="1"/>
    <x v="31"/>
    <s v="August"/>
    <x v="0"/>
    <n v="14332.48"/>
    <n v="15"/>
    <x v="1"/>
    <x v="1"/>
    <n v="71662.399999999994"/>
    <n v="0"/>
    <n v="0.2"/>
    <n v="17915.599999999999"/>
    <n v="3583.12"/>
    <n v="8"/>
    <s v="Q3"/>
    <s v="Aug-2024"/>
    <n v="10749.36"/>
    <n v="60913.039999999994"/>
    <x v="12"/>
  </r>
  <r>
    <s v="ORD00769"/>
    <x v="11"/>
    <x v="2"/>
    <n v="22703.03"/>
    <n v="2"/>
    <n v="45406.06"/>
    <d v="2024-05-06T00:00:00"/>
    <x v="5"/>
    <x v="40"/>
    <s v="May"/>
    <x v="0"/>
    <n v="9081.2119999999995"/>
    <n v="16"/>
    <x v="1"/>
    <x v="2"/>
    <n v="45406.06"/>
    <n v="0"/>
    <n v="0.2"/>
    <n v="22703.03"/>
    <n v="4540.6059999999998"/>
    <n v="5"/>
    <s v="Q2"/>
    <s v="May-2024"/>
    <n v="7264.9695999999994"/>
    <n v="38141.090400000001"/>
    <x v="2"/>
  </r>
  <r>
    <s v="ORD00770"/>
    <x v="20"/>
    <x v="3"/>
    <n v="42210.82"/>
    <n v="2"/>
    <n v="84421.64"/>
    <d v="2024-03-24T00:00:00"/>
    <x v="2"/>
    <x v="18"/>
    <s v="March"/>
    <x v="0"/>
    <n v="16884.328000000001"/>
    <n v="14"/>
    <x v="2"/>
    <x v="2"/>
    <n v="84421.64"/>
    <n v="0"/>
    <n v="0.2"/>
    <n v="42210.82"/>
    <n v="8442.1640000000007"/>
    <n v="3"/>
    <s v="Q1"/>
    <s v="Mar-2024"/>
    <n v="11819.0296"/>
    <n v="72602.610400000005"/>
    <x v="7"/>
  </r>
  <r>
    <s v="ORD00771"/>
    <x v="23"/>
    <x v="4"/>
    <n v="7355.5"/>
    <n v="3"/>
    <n v="22066.5"/>
    <d v="2025-01-27T00:00:00"/>
    <x v="5"/>
    <x v="6"/>
    <s v="January"/>
    <x v="1"/>
    <n v="4413.3"/>
    <n v="20"/>
    <x v="0"/>
    <x v="2"/>
    <n v="22066.5"/>
    <n v="0"/>
    <n v="0.2"/>
    <n v="7355.5"/>
    <n v="1471.1000000000001"/>
    <n v="1"/>
    <s v="Q1"/>
    <s v="Jan-2025"/>
    <n v="4413.3"/>
    <n v="17653.2"/>
    <x v="6"/>
  </r>
  <r>
    <s v="ORD00772"/>
    <x v="7"/>
    <x v="4"/>
    <n v="13879"/>
    <n v="1"/>
    <n v="13879"/>
    <d v="2024-06-12T00:00:00"/>
    <x v="3"/>
    <x v="15"/>
    <s v="June"/>
    <x v="0"/>
    <n v="2775.8"/>
    <n v="12"/>
    <x v="2"/>
    <x v="1"/>
    <n v="13879"/>
    <n v="0"/>
    <n v="0.2"/>
    <n v="13879"/>
    <n v="2775.8"/>
    <n v="6"/>
    <s v="Q2"/>
    <s v="Jun-2024"/>
    <n v="1665.48"/>
    <n v="12213.52"/>
    <x v="11"/>
  </r>
  <r>
    <s v="ORD00773"/>
    <x v="23"/>
    <x v="4"/>
    <n v="42604.95"/>
    <n v="5"/>
    <n v="213024.75"/>
    <d v="2024-07-11T00:00:00"/>
    <x v="5"/>
    <x v="32"/>
    <s v="July"/>
    <x v="0"/>
    <n v="42604.950000000004"/>
    <n v="10"/>
    <x v="2"/>
    <x v="3"/>
    <n v="213024.75"/>
    <n v="0"/>
    <n v="0.2"/>
    <n v="42604.95"/>
    <n v="8520.9900000000016"/>
    <n v="7"/>
    <s v="Q3"/>
    <s v="Jul-2024"/>
    <n v="21302.474999999999"/>
    <n v="191722.27499999999"/>
    <x v="5"/>
  </r>
  <r>
    <s v="ORD00774"/>
    <x v="3"/>
    <x v="3"/>
    <n v="31265.89"/>
    <n v="1"/>
    <n v="31265.89"/>
    <d v="2024-06-20T00:00:00"/>
    <x v="1"/>
    <x v="35"/>
    <s v="June"/>
    <x v="0"/>
    <n v="6253.1779999999999"/>
    <n v="16"/>
    <x v="0"/>
    <x v="2"/>
    <n v="31265.89"/>
    <n v="0"/>
    <n v="0.2"/>
    <n v="31265.89"/>
    <n v="6253.1779999999999"/>
    <n v="6"/>
    <s v="Q2"/>
    <s v="Jun-2024"/>
    <n v="5002.5424000000003"/>
    <n v="26263.347600000001"/>
    <x v="11"/>
  </r>
  <r>
    <s v="ORD00775"/>
    <x v="24"/>
    <x v="1"/>
    <n v="20020.830000000002"/>
    <n v="5"/>
    <n v="100104.15"/>
    <d v="2024-09-01T00:00:00"/>
    <x v="4"/>
    <x v="31"/>
    <s v="September"/>
    <x v="0"/>
    <n v="20020.830000000002"/>
    <n v="28"/>
    <x v="0"/>
    <x v="0"/>
    <n v="100104.15000000001"/>
    <n v="0"/>
    <n v="0.20000000000000004"/>
    <n v="20020.829999999998"/>
    <n v="4004.1660000000002"/>
    <n v="9"/>
    <s v="Q3"/>
    <s v="Sep-2024"/>
    <n v="28029.161999999997"/>
    <n v="72074.987999999998"/>
    <x v="0"/>
  </r>
  <r>
    <s v="ORD00776"/>
    <x v="14"/>
    <x v="0"/>
    <n v="24680.19"/>
    <n v="3"/>
    <n v="74040.570000000007"/>
    <d v="2024-05-21T00:00:00"/>
    <x v="3"/>
    <x v="0"/>
    <s v="May"/>
    <x v="0"/>
    <n v="14808.114000000001"/>
    <n v="25"/>
    <x v="1"/>
    <x v="2"/>
    <n v="74040.569999999992"/>
    <n v="0"/>
    <n v="0.2"/>
    <n v="24680.190000000002"/>
    <n v="4936.0380000000005"/>
    <n v="5"/>
    <s v="Q2"/>
    <s v="May-2024"/>
    <n v="18510.142500000002"/>
    <n v="55530.427500000005"/>
    <x v="2"/>
  </r>
  <r>
    <s v="ORD00777"/>
    <x v="11"/>
    <x v="2"/>
    <n v="22254.17"/>
    <n v="4"/>
    <n v="89016.68"/>
    <d v="2024-04-14T00:00:00"/>
    <x v="0"/>
    <x v="28"/>
    <s v="April"/>
    <x v="0"/>
    <n v="17803.335999999999"/>
    <n v="12"/>
    <x v="0"/>
    <x v="2"/>
    <n v="89016.68"/>
    <n v="0"/>
    <n v="0.2"/>
    <n v="22254.17"/>
    <n v="4450.8339999999998"/>
    <n v="4"/>
    <s v="Q2"/>
    <s v="Apr-2024"/>
    <n v="10682.0016"/>
    <n v="78334.67839999999"/>
    <x v="9"/>
  </r>
  <r>
    <s v="ORD00778"/>
    <x v="21"/>
    <x v="0"/>
    <n v="4226.03"/>
    <n v="1"/>
    <n v="4226.03"/>
    <d v="2024-09-07T00:00:00"/>
    <x v="0"/>
    <x v="18"/>
    <s v="September"/>
    <x v="0"/>
    <n v="845.20600000000002"/>
    <n v="30"/>
    <x v="1"/>
    <x v="2"/>
    <n v="4226.03"/>
    <n v="0"/>
    <n v="0.2"/>
    <n v="4226.03"/>
    <n v="845.20600000000002"/>
    <n v="9"/>
    <s v="Q3"/>
    <s v="Sep-2024"/>
    <n v="1267.809"/>
    <n v="2958.2209999999995"/>
    <x v="0"/>
  </r>
  <r>
    <s v="ORD00779"/>
    <x v="16"/>
    <x v="4"/>
    <n v="46315.8"/>
    <n v="3"/>
    <n v="138947.4"/>
    <d v="2024-05-24T00:00:00"/>
    <x v="2"/>
    <x v="7"/>
    <s v="May"/>
    <x v="0"/>
    <n v="27789.48"/>
    <n v="8"/>
    <x v="0"/>
    <x v="2"/>
    <n v="138947.40000000002"/>
    <n v="0"/>
    <n v="0.2"/>
    <n v="46315.799999999996"/>
    <n v="9263.16"/>
    <n v="5"/>
    <s v="Q2"/>
    <s v="May-2024"/>
    <n v="11115.791999999999"/>
    <n v="127831.60799999999"/>
    <x v="2"/>
  </r>
  <r>
    <s v="ORD00780"/>
    <x v="3"/>
    <x v="3"/>
    <n v="1320.32"/>
    <n v="3"/>
    <n v="3960.96"/>
    <d v="2025-01-08T00:00:00"/>
    <x v="2"/>
    <x v="6"/>
    <s v="January"/>
    <x v="1"/>
    <n v="792.19200000000001"/>
    <n v="30"/>
    <x v="2"/>
    <x v="3"/>
    <n v="3960.96"/>
    <n v="0"/>
    <n v="0.2"/>
    <n v="1320.32"/>
    <n v="264.06400000000002"/>
    <n v="1"/>
    <s v="Q1"/>
    <s v="Jan-2025"/>
    <n v="1188.288"/>
    <n v="2772.672"/>
    <x v="6"/>
  </r>
  <r>
    <s v="ORD00781"/>
    <x v="14"/>
    <x v="0"/>
    <n v="9772.82"/>
    <n v="4"/>
    <n v="39091.279999999999"/>
    <d v="2024-11-04T00:00:00"/>
    <x v="1"/>
    <x v="4"/>
    <s v="November"/>
    <x v="0"/>
    <n v="7818.2560000000003"/>
    <n v="12"/>
    <x v="1"/>
    <x v="0"/>
    <n v="39091.279999999999"/>
    <n v="0"/>
    <n v="0.2"/>
    <n v="9772.82"/>
    <n v="1954.5640000000001"/>
    <n v="11"/>
    <s v="Q4"/>
    <s v="Nov-2024"/>
    <n v="4690.9535999999998"/>
    <n v="34400.326399999998"/>
    <x v="3"/>
  </r>
  <r>
    <s v="ORD00782"/>
    <x v="13"/>
    <x v="0"/>
    <n v="47666.18"/>
    <n v="1"/>
    <n v="47666.18"/>
    <d v="2024-02-12T00:00:00"/>
    <x v="1"/>
    <x v="10"/>
    <s v="February"/>
    <x v="0"/>
    <n v="9533.2360000000008"/>
    <n v="30"/>
    <x v="1"/>
    <x v="3"/>
    <n v="47666.18"/>
    <n v="0"/>
    <n v="0.2"/>
    <n v="47666.18"/>
    <n v="9533.2360000000008"/>
    <n v="2"/>
    <s v="Q1"/>
    <s v="Feb-2024"/>
    <n v="14299.853999999999"/>
    <n v="33366.326000000001"/>
    <x v="10"/>
  </r>
  <r>
    <s v="ORD00783"/>
    <x v="1"/>
    <x v="1"/>
    <n v="7673.62"/>
    <n v="2"/>
    <n v="15347.24"/>
    <d v="2024-06-13T00:00:00"/>
    <x v="3"/>
    <x v="33"/>
    <s v="June"/>
    <x v="0"/>
    <n v="3069.4480000000003"/>
    <n v="22"/>
    <x v="1"/>
    <x v="0"/>
    <n v="15347.24"/>
    <n v="0"/>
    <n v="0.2"/>
    <n v="7673.62"/>
    <n v="1534.7240000000002"/>
    <n v="6"/>
    <s v="Q2"/>
    <s v="Jun-2024"/>
    <n v="3376.3927999999996"/>
    <n v="11970.8472"/>
    <x v="11"/>
  </r>
  <r>
    <s v="ORD00784"/>
    <x v="23"/>
    <x v="4"/>
    <n v="41671.06"/>
    <n v="2"/>
    <n v="83342.12"/>
    <d v="2025-02-01T00:00:00"/>
    <x v="1"/>
    <x v="10"/>
    <s v="February"/>
    <x v="1"/>
    <n v="16668.423999999999"/>
    <n v="9"/>
    <x v="2"/>
    <x v="2"/>
    <n v="83342.12"/>
    <n v="0"/>
    <n v="0.2"/>
    <n v="41671.06"/>
    <n v="8334.2119999999995"/>
    <n v="2"/>
    <s v="Q1"/>
    <s v="Feb-2025"/>
    <n v="7500.7907999999998"/>
    <n v="75841.329199999993"/>
    <x v="8"/>
  </r>
  <r>
    <s v="ORD00785"/>
    <x v="7"/>
    <x v="4"/>
    <n v="15793.43"/>
    <n v="5"/>
    <n v="78967.149999999994"/>
    <d v="2024-09-22T00:00:00"/>
    <x v="5"/>
    <x v="11"/>
    <s v="September"/>
    <x v="0"/>
    <n v="15793.43"/>
    <n v="13"/>
    <x v="2"/>
    <x v="1"/>
    <n v="78967.149999999994"/>
    <n v="0"/>
    <n v="0.2"/>
    <n v="15793.429999999998"/>
    <n v="3158.6860000000001"/>
    <n v="9"/>
    <s v="Q3"/>
    <s v="Sep-2024"/>
    <n v="10265.729499999999"/>
    <n v="68701.420499999993"/>
    <x v="0"/>
  </r>
  <r>
    <s v="ORD00786"/>
    <x v="11"/>
    <x v="2"/>
    <n v="6767.81"/>
    <n v="1"/>
    <n v="6767.81"/>
    <d v="2024-12-27T00:00:00"/>
    <x v="3"/>
    <x v="37"/>
    <s v="December"/>
    <x v="0"/>
    <n v="1353.5620000000001"/>
    <n v="8"/>
    <x v="2"/>
    <x v="3"/>
    <n v="6767.81"/>
    <n v="0"/>
    <n v="0.2"/>
    <n v="6767.81"/>
    <n v="1353.5620000000001"/>
    <n v="12"/>
    <s v="Q4"/>
    <s v="Dec-2024"/>
    <n v="541.4248"/>
    <n v="6226.3852000000006"/>
    <x v="1"/>
  </r>
  <r>
    <s v="ORD00787"/>
    <x v="11"/>
    <x v="2"/>
    <n v="1011.22"/>
    <n v="5"/>
    <n v="5056.1000000000004"/>
    <d v="2024-11-05T00:00:00"/>
    <x v="5"/>
    <x v="25"/>
    <s v="November"/>
    <x v="0"/>
    <n v="1011.2200000000001"/>
    <n v="26"/>
    <x v="2"/>
    <x v="1"/>
    <n v="5056.1000000000004"/>
    <n v="0"/>
    <n v="0.2"/>
    <n v="1011.22"/>
    <n v="202.24400000000003"/>
    <n v="11"/>
    <s v="Q4"/>
    <s v="Nov-2024"/>
    <n v="1314.586"/>
    <n v="3741.5140000000001"/>
    <x v="3"/>
  </r>
  <r>
    <s v="ORD00788"/>
    <x v="20"/>
    <x v="3"/>
    <n v="13371.25"/>
    <n v="4"/>
    <n v="53485"/>
    <d v="2024-07-05T00:00:00"/>
    <x v="4"/>
    <x v="14"/>
    <s v="July"/>
    <x v="0"/>
    <n v="10697"/>
    <n v="21"/>
    <x v="2"/>
    <x v="3"/>
    <n v="53485"/>
    <n v="0"/>
    <n v="0.2"/>
    <n v="13371.25"/>
    <n v="2674.25"/>
    <n v="7"/>
    <s v="Q3"/>
    <s v="Jul-2024"/>
    <n v="11231.85"/>
    <n v="42253.15"/>
    <x v="5"/>
  </r>
  <r>
    <s v="ORD00789"/>
    <x v="1"/>
    <x v="1"/>
    <n v="28972.11"/>
    <n v="2"/>
    <n v="57944.22"/>
    <d v="2024-08-01T00:00:00"/>
    <x v="4"/>
    <x v="37"/>
    <s v="August"/>
    <x v="0"/>
    <n v="11588.844000000001"/>
    <n v="13"/>
    <x v="1"/>
    <x v="2"/>
    <n v="57944.22"/>
    <n v="0"/>
    <n v="0.2"/>
    <n v="28972.11"/>
    <n v="5794.4220000000005"/>
    <n v="8"/>
    <s v="Q3"/>
    <s v="Aug-2024"/>
    <n v="7532.7485999999999"/>
    <n v="50411.471400000002"/>
    <x v="12"/>
  </r>
  <r>
    <s v="ORD00790"/>
    <x v="10"/>
    <x v="2"/>
    <n v="17212.34"/>
    <n v="1"/>
    <n v="17212.34"/>
    <d v="2025-02-06T00:00:00"/>
    <x v="3"/>
    <x v="0"/>
    <s v="February"/>
    <x v="1"/>
    <n v="3442.4680000000003"/>
    <n v="5"/>
    <x v="2"/>
    <x v="3"/>
    <n v="17212.34"/>
    <n v="0"/>
    <n v="0.2"/>
    <n v="17212.34"/>
    <n v="3442.4680000000003"/>
    <n v="2"/>
    <s v="Q1"/>
    <s v="Feb-2025"/>
    <n v="860.61699999999996"/>
    <n v="16351.723"/>
    <x v="8"/>
  </r>
  <r>
    <s v="ORD00791"/>
    <x v="0"/>
    <x v="0"/>
    <n v="48742"/>
    <n v="1"/>
    <n v="48742"/>
    <d v="2024-09-16T00:00:00"/>
    <x v="1"/>
    <x v="19"/>
    <s v="September"/>
    <x v="0"/>
    <n v="9748.4"/>
    <n v="25"/>
    <x v="1"/>
    <x v="2"/>
    <n v="48742"/>
    <n v="0"/>
    <n v="0.19999999999999998"/>
    <n v="48742"/>
    <n v="9748.4"/>
    <n v="9"/>
    <s v="Q3"/>
    <s v="Sep-2024"/>
    <n v="12185.5"/>
    <n v="36556.5"/>
    <x v="0"/>
  </r>
  <r>
    <s v="ORD00792"/>
    <x v="12"/>
    <x v="3"/>
    <n v="19117.36"/>
    <n v="3"/>
    <n v="57352.08"/>
    <d v="2025-02-08T00:00:00"/>
    <x v="3"/>
    <x v="14"/>
    <s v="February"/>
    <x v="1"/>
    <n v="11470.416000000001"/>
    <n v="24"/>
    <x v="2"/>
    <x v="3"/>
    <n v="57352.08"/>
    <n v="0"/>
    <n v="0.2"/>
    <n v="19117.36"/>
    <n v="3823.4720000000002"/>
    <n v="2"/>
    <s v="Q1"/>
    <s v="Feb-2025"/>
    <n v="13764.499199999998"/>
    <n v="43587.580800000003"/>
    <x v="8"/>
  </r>
  <r>
    <s v="ORD00793"/>
    <x v="9"/>
    <x v="3"/>
    <n v="847.39"/>
    <n v="5"/>
    <n v="4236.95"/>
    <d v="2024-12-15T00:00:00"/>
    <x v="5"/>
    <x v="9"/>
    <s v="December"/>
    <x v="0"/>
    <n v="847.39"/>
    <n v="17"/>
    <x v="0"/>
    <x v="2"/>
    <n v="4236.95"/>
    <n v="0"/>
    <n v="0.2"/>
    <n v="847.39"/>
    <n v="169.47800000000001"/>
    <n v="12"/>
    <s v="Q4"/>
    <s v="Dec-2024"/>
    <n v="720.28149999999994"/>
    <n v="3516.6684999999998"/>
    <x v="1"/>
  </r>
  <r>
    <s v="ORD00794"/>
    <x v="5"/>
    <x v="4"/>
    <n v="14796.32"/>
    <n v="2"/>
    <n v="29592.639999999999"/>
    <d v="2024-11-29T00:00:00"/>
    <x v="2"/>
    <x v="12"/>
    <s v="November"/>
    <x v="0"/>
    <n v="5918.5280000000002"/>
    <n v="20"/>
    <x v="1"/>
    <x v="2"/>
    <n v="29592.639999999999"/>
    <n v="0"/>
    <n v="0.2"/>
    <n v="14796.32"/>
    <n v="2959.2640000000001"/>
    <n v="11"/>
    <s v="Q4"/>
    <s v="Nov-2024"/>
    <n v="5918.5280000000002"/>
    <n v="23674.112000000001"/>
    <x v="3"/>
  </r>
  <r>
    <s v="ORD00795"/>
    <x v="2"/>
    <x v="2"/>
    <n v="5238.33"/>
    <n v="3"/>
    <n v="15714.99"/>
    <d v="2024-10-24T00:00:00"/>
    <x v="2"/>
    <x v="14"/>
    <s v="October"/>
    <x v="0"/>
    <n v="3142.998"/>
    <n v="17"/>
    <x v="0"/>
    <x v="0"/>
    <n v="15714.99"/>
    <n v="0"/>
    <n v="0.2"/>
    <n v="5238.33"/>
    <n v="1047.6659999999999"/>
    <n v="10"/>
    <s v="Q4"/>
    <s v="Oct-2024"/>
    <n v="2671.5483000000004"/>
    <n v="13043.441699999999"/>
    <x v="4"/>
  </r>
  <r>
    <s v="ORD00796"/>
    <x v="5"/>
    <x v="4"/>
    <n v="31430.94"/>
    <n v="5"/>
    <n v="157154.70000000001"/>
    <d v="2024-11-02T00:00:00"/>
    <x v="0"/>
    <x v="33"/>
    <s v="November"/>
    <x v="0"/>
    <n v="31430.940000000002"/>
    <n v="18"/>
    <x v="1"/>
    <x v="2"/>
    <n v="157154.69999999998"/>
    <n v="0"/>
    <n v="0.2"/>
    <n v="31430.940000000002"/>
    <n v="6286.1880000000001"/>
    <n v="11"/>
    <s v="Q4"/>
    <s v="Nov-2024"/>
    <n v="28287.846000000001"/>
    <n v="128866.85400000001"/>
    <x v="3"/>
  </r>
  <r>
    <s v="ORD00797"/>
    <x v="1"/>
    <x v="1"/>
    <n v="27532.48"/>
    <n v="4"/>
    <n v="110129.92"/>
    <d v="2024-04-09T00:00:00"/>
    <x v="1"/>
    <x v="21"/>
    <s v="April"/>
    <x v="0"/>
    <n v="22025.984"/>
    <n v="7"/>
    <x v="0"/>
    <x v="0"/>
    <n v="110129.92"/>
    <n v="0"/>
    <n v="0.2"/>
    <n v="27532.48"/>
    <n v="5506.4960000000001"/>
    <n v="4"/>
    <s v="Q2"/>
    <s v="Apr-2024"/>
    <n v="7709.094399999999"/>
    <n v="102420.8256"/>
    <x v="9"/>
  </r>
  <r>
    <s v="ORD00798"/>
    <x v="1"/>
    <x v="1"/>
    <n v="41121.949999999997"/>
    <n v="3"/>
    <n v="123365.85"/>
    <d v="2024-02-20T00:00:00"/>
    <x v="3"/>
    <x v="23"/>
    <s v="February"/>
    <x v="0"/>
    <n v="24673.170000000002"/>
    <n v="10"/>
    <x v="2"/>
    <x v="2"/>
    <n v="123365.84999999999"/>
    <n v="0"/>
    <n v="0.2"/>
    <n v="41121.950000000004"/>
    <n v="8224.3900000000012"/>
    <n v="2"/>
    <s v="Q1"/>
    <s v="Feb-2024"/>
    <n v="12336.584999999999"/>
    <n v="111029.26500000001"/>
    <x v="10"/>
  </r>
  <r>
    <s v="ORD00799"/>
    <x v="18"/>
    <x v="3"/>
    <n v="12944.89"/>
    <n v="2"/>
    <n v="25889.78"/>
    <d v="2024-04-10T00:00:00"/>
    <x v="3"/>
    <x v="30"/>
    <s v="April"/>
    <x v="0"/>
    <n v="5177.9560000000001"/>
    <n v="22"/>
    <x v="2"/>
    <x v="1"/>
    <n v="25889.78"/>
    <n v="0"/>
    <n v="0.2"/>
    <n v="12944.89"/>
    <n v="2588.9780000000001"/>
    <n v="4"/>
    <s v="Q2"/>
    <s v="Apr-2024"/>
    <n v="5695.7515999999996"/>
    <n v="20194.028399999999"/>
    <x v="9"/>
  </r>
  <r>
    <s v="ORD00800"/>
    <x v="15"/>
    <x v="1"/>
    <n v="4729.04"/>
    <n v="5"/>
    <n v="23645.200000000001"/>
    <d v="2024-09-09T00:00:00"/>
    <x v="3"/>
    <x v="9"/>
    <s v="September"/>
    <x v="0"/>
    <n v="4729.04"/>
    <n v="23"/>
    <x v="2"/>
    <x v="2"/>
    <n v="23645.200000000001"/>
    <n v="0"/>
    <n v="0.19999999999999998"/>
    <n v="4729.04"/>
    <n v="945.80799999999999"/>
    <n v="9"/>
    <s v="Q3"/>
    <s v="Sep-2024"/>
    <n v="5438.3959999999997"/>
    <n v="18206.804"/>
    <x v="0"/>
  </r>
  <r>
    <s v="ORD00801"/>
    <x v="11"/>
    <x v="2"/>
    <n v="31512.97"/>
    <n v="2"/>
    <n v="63025.94"/>
    <d v="2024-12-18T00:00:00"/>
    <x v="3"/>
    <x v="37"/>
    <s v="December"/>
    <x v="0"/>
    <n v="12605.188000000002"/>
    <n v="9"/>
    <x v="1"/>
    <x v="1"/>
    <n v="63025.94"/>
    <n v="0"/>
    <n v="0.2"/>
    <n v="31512.97"/>
    <n v="6302.594000000001"/>
    <n v="12"/>
    <s v="Q4"/>
    <s v="Dec-2024"/>
    <n v="5672.3345999999992"/>
    <n v="57353.6054"/>
    <x v="1"/>
  </r>
  <r>
    <s v="ORD00802"/>
    <x v="3"/>
    <x v="3"/>
    <n v="46891.65"/>
    <n v="3"/>
    <n v="140674.95000000001"/>
    <d v="2024-11-08T00:00:00"/>
    <x v="5"/>
    <x v="36"/>
    <s v="November"/>
    <x v="0"/>
    <n v="28134.990000000005"/>
    <n v="19"/>
    <x v="0"/>
    <x v="1"/>
    <n v="140674.95000000001"/>
    <n v="0"/>
    <n v="0.2"/>
    <n v="46891.65"/>
    <n v="9378.3300000000017"/>
    <n v="11"/>
    <s v="Q4"/>
    <s v="Nov-2024"/>
    <n v="26728.240500000004"/>
    <n v="113946.70950000001"/>
    <x v="3"/>
  </r>
  <r>
    <s v="ORD00803"/>
    <x v="24"/>
    <x v="1"/>
    <n v="34137.79"/>
    <n v="2"/>
    <n v="68275.58"/>
    <d v="2024-09-23T00:00:00"/>
    <x v="5"/>
    <x v="31"/>
    <s v="September"/>
    <x v="0"/>
    <n v="13655.116000000002"/>
    <n v="29"/>
    <x v="2"/>
    <x v="2"/>
    <n v="68275.58"/>
    <n v="0"/>
    <n v="0.2"/>
    <n v="34137.79"/>
    <n v="6827.5580000000009"/>
    <n v="9"/>
    <s v="Q3"/>
    <s v="Sep-2024"/>
    <n v="19799.9182"/>
    <n v="48475.661800000002"/>
    <x v="0"/>
  </r>
  <r>
    <s v="ORD00804"/>
    <x v="7"/>
    <x v="4"/>
    <n v="41000.910000000003"/>
    <n v="4"/>
    <n v="164003.64000000001"/>
    <d v="2024-09-11T00:00:00"/>
    <x v="1"/>
    <x v="16"/>
    <s v="September"/>
    <x v="0"/>
    <n v="32800.728000000003"/>
    <n v="6"/>
    <x v="0"/>
    <x v="1"/>
    <n v="164003.64000000001"/>
    <n v="0"/>
    <n v="0.2"/>
    <n v="41000.910000000003"/>
    <n v="8200.1820000000007"/>
    <n v="9"/>
    <s v="Q3"/>
    <s v="Sep-2024"/>
    <n v="9840.2184000000016"/>
    <n v="154163.4216"/>
    <x v="0"/>
  </r>
  <r>
    <s v="ORD00805"/>
    <x v="18"/>
    <x v="3"/>
    <n v="7672.34"/>
    <n v="4"/>
    <n v="30689.360000000001"/>
    <d v="2024-04-10T00:00:00"/>
    <x v="1"/>
    <x v="19"/>
    <s v="April"/>
    <x v="0"/>
    <n v="6137.8720000000003"/>
    <n v="14"/>
    <x v="0"/>
    <x v="0"/>
    <n v="30689.360000000001"/>
    <n v="0"/>
    <n v="0.2"/>
    <n v="7672.34"/>
    <n v="1534.4680000000001"/>
    <n v="4"/>
    <s v="Q2"/>
    <s v="Apr-2024"/>
    <n v="4296.5104000000001"/>
    <n v="26392.849600000001"/>
    <x v="9"/>
  </r>
  <r>
    <s v="ORD00806"/>
    <x v="0"/>
    <x v="0"/>
    <n v="25186.79"/>
    <n v="3"/>
    <n v="75560.37"/>
    <d v="2024-02-22T00:00:00"/>
    <x v="3"/>
    <x v="28"/>
    <s v="February"/>
    <x v="0"/>
    <n v="15112.074000000001"/>
    <n v="28"/>
    <x v="2"/>
    <x v="3"/>
    <n v="75560.37"/>
    <n v="0"/>
    <n v="0.2"/>
    <n v="25186.789999999997"/>
    <n v="5037.3580000000002"/>
    <n v="2"/>
    <s v="Q1"/>
    <s v="Feb-2024"/>
    <n v="21156.903599999998"/>
    <n v="54403.466399999998"/>
    <x v="10"/>
  </r>
  <r>
    <s v="ORD00807"/>
    <x v="19"/>
    <x v="2"/>
    <n v="41285.25"/>
    <n v="1"/>
    <n v="41285.25"/>
    <d v="2024-12-05T00:00:00"/>
    <x v="3"/>
    <x v="31"/>
    <s v="December"/>
    <x v="0"/>
    <n v="8257.0500000000011"/>
    <n v="22"/>
    <x v="2"/>
    <x v="2"/>
    <n v="41285.25"/>
    <n v="0"/>
    <n v="0.20000000000000004"/>
    <n v="41285.25"/>
    <n v="8257.0500000000011"/>
    <n v="12"/>
    <s v="Q4"/>
    <s v="Dec-2024"/>
    <n v="9082.7549999999992"/>
    <n v="32202.495000000003"/>
    <x v="1"/>
  </r>
  <r>
    <s v="ORD00808"/>
    <x v="19"/>
    <x v="2"/>
    <n v="30435.75"/>
    <n v="2"/>
    <n v="60871.5"/>
    <d v="2024-04-09T00:00:00"/>
    <x v="4"/>
    <x v="4"/>
    <s v="April"/>
    <x v="0"/>
    <n v="12174.300000000001"/>
    <n v="17"/>
    <x v="0"/>
    <x v="1"/>
    <n v="60871.5"/>
    <n v="0"/>
    <n v="0.2"/>
    <n v="30435.75"/>
    <n v="6087.1500000000005"/>
    <n v="4"/>
    <s v="Q2"/>
    <s v="Apr-2024"/>
    <n v="10348.155000000001"/>
    <n v="50523.345000000001"/>
    <x v="9"/>
  </r>
  <r>
    <s v="ORD00809"/>
    <x v="18"/>
    <x v="3"/>
    <n v="45786.559999999998"/>
    <n v="5"/>
    <n v="228932.8"/>
    <d v="2024-12-22T00:00:00"/>
    <x v="2"/>
    <x v="23"/>
    <s v="December"/>
    <x v="0"/>
    <n v="45786.559999999998"/>
    <n v="9"/>
    <x v="2"/>
    <x v="2"/>
    <n v="228932.8"/>
    <n v="0"/>
    <n v="0.2"/>
    <n v="45786.559999999998"/>
    <n v="9157.3119999999999"/>
    <n v="12"/>
    <s v="Q4"/>
    <s v="Dec-2024"/>
    <n v="20603.952000000001"/>
    <n v="208328.848"/>
    <x v="1"/>
  </r>
  <r>
    <s v="ORD00810"/>
    <x v="21"/>
    <x v="0"/>
    <n v="26700.19"/>
    <n v="3"/>
    <n v="80100.570000000007"/>
    <d v="2024-03-26T00:00:00"/>
    <x v="3"/>
    <x v="39"/>
    <s v="March"/>
    <x v="0"/>
    <n v="16020.114000000001"/>
    <n v="27"/>
    <x v="2"/>
    <x v="0"/>
    <n v="80100.569999999992"/>
    <n v="0"/>
    <n v="0.2"/>
    <n v="26700.190000000002"/>
    <n v="5340.0380000000005"/>
    <n v="3"/>
    <s v="Q1"/>
    <s v="Mar-2024"/>
    <n v="21627.153900000001"/>
    <n v="58473.416100000002"/>
    <x v="7"/>
  </r>
  <r>
    <s v="ORD00811"/>
    <x v="6"/>
    <x v="1"/>
    <n v="27367.02"/>
    <n v="3"/>
    <n v="82101.06"/>
    <d v="2024-07-03T00:00:00"/>
    <x v="2"/>
    <x v="23"/>
    <s v="July"/>
    <x v="0"/>
    <n v="16420.212"/>
    <n v="28"/>
    <x v="2"/>
    <x v="2"/>
    <n v="82101.06"/>
    <n v="0"/>
    <n v="0.2"/>
    <n v="27367.02"/>
    <n v="5473.4039999999995"/>
    <n v="7"/>
    <s v="Q3"/>
    <s v="Jul-2024"/>
    <n v="22988.296799999996"/>
    <n v="59112.763200000001"/>
    <x v="5"/>
  </r>
  <r>
    <s v="ORD00812"/>
    <x v="9"/>
    <x v="3"/>
    <n v="17213.3"/>
    <n v="3"/>
    <n v="51639.9"/>
    <d v="2024-04-21T00:00:00"/>
    <x v="5"/>
    <x v="5"/>
    <s v="April"/>
    <x v="0"/>
    <n v="10327.980000000001"/>
    <n v="5"/>
    <x v="1"/>
    <x v="2"/>
    <n v="51639.899999999994"/>
    <n v="0"/>
    <n v="0.2"/>
    <n v="17213.3"/>
    <n v="3442.6600000000003"/>
    <n v="4"/>
    <s v="Q2"/>
    <s v="Apr-2024"/>
    <n v="2581.9949999999999"/>
    <n v="49057.904999999999"/>
    <x v="9"/>
  </r>
  <r>
    <s v="ORD00813"/>
    <x v="5"/>
    <x v="4"/>
    <n v="4084.62"/>
    <n v="5"/>
    <n v="20423.099999999999"/>
    <d v="2024-02-26T00:00:00"/>
    <x v="1"/>
    <x v="17"/>
    <s v="February"/>
    <x v="0"/>
    <n v="4084.62"/>
    <n v="26"/>
    <x v="0"/>
    <x v="1"/>
    <n v="20423.099999999999"/>
    <n v="0"/>
    <n v="0.2"/>
    <n v="4084.62"/>
    <n v="816.92399999999998"/>
    <n v="2"/>
    <s v="Q1"/>
    <s v="Feb-2024"/>
    <n v="5310.0059999999994"/>
    <n v="15113.093999999999"/>
    <x v="10"/>
  </r>
  <r>
    <s v="ORD00814"/>
    <x v="7"/>
    <x v="4"/>
    <n v="9213.5499999999993"/>
    <n v="4"/>
    <n v="36854.199999999997"/>
    <d v="2024-07-17T00:00:00"/>
    <x v="3"/>
    <x v="15"/>
    <s v="July"/>
    <x v="0"/>
    <n v="7370.84"/>
    <n v="5"/>
    <x v="0"/>
    <x v="0"/>
    <n v="36854.199999999997"/>
    <n v="0"/>
    <n v="0.2"/>
    <n v="9213.5499999999993"/>
    <n v="1842.71"/>
    <n v="7"/>
    <s v="Q3"/>
    <s v="Jul-2024"/>
    <n v="1842.71"/>
    <n v="35011.49"/>
    <x v="5"/>
  </r>
  <r>
    <s v="ORD00815"/>
    <x v="15"/>
    <x v="1"/>
    <n v="6114.55"/>
    <n v="4"/>
    <n v="24458.2"/>
    <d v="2024-08-27T00:00:00"/>
    <x v="0"/>
    <x v="13"/>
    <s v="August"/>
    <x v="0"/>
    <n v="4891.6400000000003"/>
    <n v="22"/>
    <x v="1"/>
    <x v="3"/>
    <n v="24458.2"/>
    <n v="0"/>
    <n v="0.2"/>
    <n v="6114.55"/>
    <n v="1222.9100000000001"/>
    <n v="8"/>
    <s v="Q3"/>
    <s v="Aug-2024"/>
    <n v="5380.8040000000001"/>
    <n v="19077.396000000001"/>
    <x v="12"/>
  </r>
  <r>
    <s v="ORD00816"/>
    <x v="13"/>
    <x v="0"/>
    <n v="21670.52"/>
    <n v="4"/>
    <n v="86682.08"/>
    <d v="2024-04-09T00:00:00"/>
    <x v="3"/>
    <x v="33"/>
    <s v="April"/>
    <x v="0"/>
    <n v="17336.416000000001"/>
    <n v="19"/>
    <x v="0"/>
    <x v="3"/>
    <n v="86682.08"/>
    <n v="0"/>
    <n v="0.2"/>
    <n v="21670.52"/>
    <n v="4334.1040000000003"/>
    <n v="4"/>
    <s v="Q2"/>
    <s v="Apr-2024"/>
    <n v="16469.5952"/>
    <n v="70212.484800000006"/>
    <x v="9"/>
  </r>
  <r>
    <s v="ORD00817"/>
    <x v="2"/>
    <x v="2"/>
    <n v="37528.53"/>
    <n v="4"/>
    <n v="150114.12"/>
    <d v="2025-01-21T00:00:00"/>
    <x v="1"/>
    <x v="14"/>
    <s v="January"/>
    <x v="1"/>
    <n v="30022.824000000001"/>
    <n v="21"/>
    <x v="2"/>
    <x v="1"/>
    <n v="150114.12"/>
    <n v="0"/>
    <n v="0.2"/>
    <n v="37528.53"/>
    <n v="7505.7060000000001"/>
    <n v="1"/>
    <s v="Q1"/>
    <s v="Jan-2025"/>
    <n v="31523.965199999999"/>
    <n v="118590.15479999999"/>
    <x v="6"/>
  </r>
  <r>
    <s v="ORD00818"/>
    <x v="12"/>
    <x v="3"/>
    <n v="46526.93"/>
    <n v="5"/>
    <n v="232634.65"/>
    <d v="2024-12-20T00:00:00"/>
    <x v="5"/>
    <x v="21"/>
    <s v="December"/>
    <x v="0"/>
    <n v="46526.93"/>
    <n v="15"/>
    <x v="0"/>
    <x v="2"/>
    <n v="232634.65"/>
    <n v="0"/>
    <n v="0.2"/>
    <n v="46526.93"/>
    <n v="9305.3860000000004"/>
    <n v="12"/>
    <s v="Q4"/>
    <s v="Dec-2024"/>
    <n v="34895.197500000002"/>
    <n v="197739.45249999998"/>
    <x v="1"/>
  </r>
  <r>
    <s v="ORD00819"/>
    <x v="22"/>
    <x v="0"/>
    <n v="4042.56"/>
    <n v="2"/>
    <n v="8085.12"/>
    <d v="2024-03-14T00:00:00"/>
    <x v="0"/>
    <x v="13"/>
    <s v="March"/>
    <x v="0"/>
    <n v="1617.0240000000001"/>
    <n v="25"/>
    <x v="2"/>
    <x v="1"/>
    <n v="8085.12"/>
    <n v="0"/>
    <n v="0.2"/>
    <n v="4042.56"/>
    <n v="808.51200000000006"/>
    <n v="3"/>
    <s v="Q1"/>
    <s v="Mar-2024"/>
    <n v="2021.28"/>
    <n v="6063.84"/>
    <x v="7"/>
  </r>
  <r>
    <s v="ORD00820"/>
    <x v="4"/>
    <x v="4"/>
    <n v="35777.51"/>
    <n v="1"/>
    <n v="35777.51"/>
    <d v="2024-12-23T00:00:00"/>
    <x v="5"/>
    <x v="3"/>
    <s v="December"/>
    <x v="0"/>
    <n v="7155.5020000000004"/>
    <n v="30"/>
    <x v="1"/>
    <x v="1"/>
    <n v="35777.51"/>
    <n v="0"/>
    <n v="0.2"/>
    <n v="35777.51"/>
    <n v="7155.5020000000004"/>
    <n v="12"/>
    <s v="Q4"/>
    <s v="Dec-2024"/>
    <n v="10733.253000000001"/>
    <n v="25044.257000000001"/>
    <x v="1"/>
  </r>
  <r>
    <s v="ORD00821"/>
    <x v="16"/>
    <x v="4"/>
    <n v="4160.5200000000004"/>
    <n v="2"/>
    <n v="8321.0400000000009"/>
    <d v="2024-12-06T00:00:00"/>
    <x v="5"/>
    <x v="28"/>
    <s v="December"/>
    <x v="0"/>
    <n v="1664.2080000000003"/>
    <n v="29"/>
    <x v="2"/>
    <x v="1"/>
    <n v="8321.0400000000009"/>
    <n v="0"/>
    <n v="0.2"/>
    <n v="4160.5200000000004"/>
    <n v="832.10400000000016"/>
    <n v="12"/>
    <s v="Q4"/>
    <s v="Dec-2024"/>
    <n v="2413.1016000000004"/>
    <n v="5907.9384000000009"/>
    <x v="1"/>
  </r>
  <r>
    <s v="ORD00822"/>
    <x v="18"/>
    <x v="3"/>
    <n v="20754.919999999998"/>
    <n v="3"/>
    <n v="62264.76"/>
    <d v="2024-08-10T00:00:00"/>
    <x v="0"/>
    <x v="30"/>
    <s v="August"/>
    <x v="0"/>
    <n v="12452.952000000001"/>
    <n v="26"/>
    <x v="0"/>
    <x v="2"/>
    <n v="62264.759999999995"/>
    <n v="0"/>
    <n v="0.2"/>
    <n v="20754.920000000002"/>
    <n v="4150.9840000000004"/>
    <n v="8"/>
    <s v="Q3"/>
    <s v="Aug-2024"/>
    <n v="16188.837600000001"/>
    <n v="46075.922400000003"/>
    <x v="12"/>
  </r>
  <r>
    <s v="ORD00823"/>
    <x v="13"/>
    <x v="0"/>
    <n v="34460.43"/>
    <n v="2"/>
    <n v="68920.86"/>
    <d v="2024-03-06T00:00:00"/>
    <x v="3"/>
    <x v="33"/>
    <s v="March"/>
    <x v="0"/>
    <n v="13784.172"/>
    <n v="21"/>
    <x v="0"/>
    <x v="0"/>
    <n v="68920.86"/>
    <n v="0"/>
    <n v="0.2"/>
    <n v="34460.43"/>
    <n v="6892.0860000000002"/>
    <n v="3"/>
    <s v="Q1"/>
    <s v="Mar-2024"/>
    <n v="14473.3806"/>
    <n v="54447.479399999997"/>
    <x v="7"/>
  </r>
  <r>
    <s v="ORD00824"/>
    <x v="7"/>
    <x v="4"/>
    <n v="22835.78"/>
    <n v="5"/>
    <n v="114178.9"/>
    <d v="2024-02-22T00:00:00"/>
    <x v="2"/>
    <x v="27"/>
    <s v="February"/>
    <x v="0"/>
    <n v="22835.78"/>
    <n v="17"/>
    <x v="0"/>
    <x v="1"/>
    <n v="114178.9"/>
    <n v="0"/>
    <n v="0.2"/>
    <n v="22835.78"/>
    <n v="4567.1559999999999"/>
    <n v="2"/>
    <s v="Q1"/>
    <s v="Feb-2024"/>
    <n v="19410.412999999997"/>
    <n v="94768.486999999994"/>
    <x v="10"/>
  </r>
  <r>
    <s v="ORD00825"/>
    <x v="19"/>
    <x v="2"/>
    <n v="5361.18"/>
    <n v="2"/>
    <n v="10722.36"/>
    <d v="2024-10-16T00:00:00"/>
    <x v="5"/>
    <x v="32"/>
    <s v="October"/>
    <x v="0"/>
    <n v="2144.4720000000002"/>
    <n v="5"/>
    <x v="1"/>
    <x v="2"/>
    <n v="10722.36"/>
    <n v="0"/>
    <n v="0.2"/>
    <n v="5361.18"/>
    <n v="1072.2360000000001"/>
    <n v="10"/>
    <s v="Q4"/>
    <s v="Oct-2024"/>
    <n v="536.11800000000005"/>
    <n v="10186.242"/>
    <x v="4"/>
  </r>
  <r>
    <s v="ORD00826"/>
    <x v="8"/>
    <x v="1"/>
    <n v="41996.61"/>
    <n v="2"/>
    <n v="83993.22"/>
    <d v="2024-11-20T00:00:00"/>
    <x v="3"/>
    <x v="37"/>
    <s v="November"/>
    <x v="0"/>
    <n v="16798.644"/>
    <n v="6"/>
    <x v="1"/>
    <x v="0"/>
    <n v="83993.22"/>
    <n v="0"/>
    <n v="0.2"/>
    <n v="41996.61"/>
    <n v="8399.3220000000001"/>
    <n v="11"/>
    <s v="Q4"/>
    <s v="Nov-2024"/>
    <n v="5039.5932000000003"/>
    <n v="78953.626799999998"/>
    <x v="3"/>
  </r>
  <r>
    <s v="ORD00827"/>
    <x v="10"/>
    <x v="2"/>
    <n v="43606.83"/>
    <n v="4"/>
    <n v="174427.32"/>
    <d v="2024-04-11T00:00:00"/>
    <x v="0"/>
    <x v="22"/>
    <s v="April"/>
    <x v="0"/>
    <n v="34885.464"/>
    <n v="13"/>
    <x v="0"/>
    <x v="1"/>
    <n v="174427.32"/>
    <n v="0"/>
    <n v="0.19999999999999998"/>
    <n v="43606.83"/>
    <n v="8721.366"/>
    <n v="4"/>
    <s v="Q2"/>
    <s v="Apr-2024"/>
    <n v="22675.551600000003"/>
    <n v="151751.7684"/>
    <x v="9"/>
  </r>
  <r>
    <s v="ORD00828"/>
    <x v="3"/>
    <x v="3"/>
    <n v="14290.07"/>
    <n v="5"/>
    <n v="71450.350000000006"/>
    <d v="2024-12-12T00:00:00"/>
    <x v="0"/>
    <x v="10"/>
    <s v="December"/>
    <x v="0"/>
    <n v="14290.070000000002"/>
    <n v="7"/>
    <x v="2"/>
    <x v="3"/>
    <n v="71450.350000000006"/>
    <n v="0"/>
    <n v="0.2"/>
    <n v="14290.070000000002"/>
    <n v="2858.0140000000001"/>
    <n v="12"/>
    <s v="Q4"/>
    <s v="Dec-2024"/>
    <n v="5001.5245000000004"/>
    <n v="66448.825500000006"/>
    <x v="1"/>
  </r>
  <r>
    <s v="ORD00829"/>
    <x v="18"/>
    <x v="3"/>
    <n v="32760.67"/>
    <n v="3"/>
    <n v="98282.01"/>
    <d v="2024-06-26T00:00:00"/>
    <x v="5"/>
    <x v="34"/>
    <s v="June"/>
    <x v="0"/>
    <n v="19656.401999999998"/>
    <n v="5"/>
    <x v="1"/>
    <x v="0"/>
    <n v="98282.01"/>
    <n v="0"/>
    <n v="0.19999999999999998"/>
    <n v="32760.67"/>
    <n v="6552.1339999999991"/>
    <n v="6"/>
    <s v="Q2"/>
    <s v="Jun-2024"/>
    <n v="4914.1004999999996"/>
    <n v="93367.909499999994"/>
    <x v="11"/>
  </r>
  <r>
    <s v="ORD00830"/>
    <x v="13"/>
    <x v="0"/>
    <n v="26403.73"/>
    <n v="1"/>
    <n v="26403.73"/>
    <d v="2024-11-08T00:00:00"/>
    <x v="0"/>
    <x v="26"/>
    <s v="November"/>
    <x v="0"/>
    <n v="5280.7460000000001"/>
    <n v="25"/>
    <x v="0"/>
    <x v="1"/>
    <n v="26403.73"/>
    <n v="0"/>
    <n v="0.2"/>
    <n v="26403.73"/>
    <n v="5280.7460000000001"/>
    <n v="11"/>
    <s v="Q4"/>
    <s v="Nov-2024"/>
    <n v="6600.9324999999999"/>
    <n v="19802.797500000001"/>
    <x v="3"/>
  </r>
  <r>
    <s v="ORD00831"/>
    <x v="17"/>
    <x v="2"/>
    <n v="34069.64"/>
    <n v="1"/>
    <n v="34069.64"/>
    <d v="2024-11-14T00:00:00"/>
    <x v="2"/>
    <x v="32"/>
    <s v="November"/>
    <x v="0"/>
    <n v="6813.9279999999999"/>
    <n v="20"/>
    <x v="0"/>
    <x v="0"/>
    <n v="34069.64"/>
    <n v="0"/>
    <n v="0.2"/>
    <n v="34069.64"/>
    <n v="6813.9279999999999"/>
    <n v="11"/>
    <s v="Q4"/>
    <s v="Nov-2024"/>
    <n v="6813.9280000000008"/>
    <n v="27255.712"/>
    <x v="3"/>
  </r>
  <r>
    <s v="ORD00832"/>
    <x v="7"/>
    <x v="4"/>
    <n v="47284.54"/>
    <n v="5"/>
    <n v="236422.7"/>
    <d v="2024-03-01T00:00:00"/>
    <x v="5"/>
    <x v="7"/>
    <s v="March"/>
    <x v="0"/>
    <n v="47284.540000000008"/>
    <n v="27"/>
    <x v="1"/>
    <x v="0"/>
    <n v="236422.7"/>
    <n v="0"/>
    <n v="0.2"/>
    <n v="47284.54"/>
    <n v="9456.9080000000013"/>
    <n v="3"/>
    <s v="Q1"/>
    <s v="Mar-2024"/>
    <n v="63834.129000000001"/>
    <n v="172588.571"/>
    <x v="7"/>
  </r>
  <r>
    <s v="ORD00833"/>
    <x v="3"/>
    <x v="3"/>
    <n v="28678.880000000001"/>
    <n v="4"/>
    <n v="114715.52"/>
    <d v="2024-10-17T00:00:00"/>
    <x v="5"/>
    <x v="13"/>
    <s v="October"/>
    <x v="0"/>
    <n v="22943.104000000003"/>
    <n v="10"/>
    <x v="1"/>
    <x v="0"/>
    <n v="114715.52"/>
    <n v="0"/>
    <n v="0.2"/>
    <n v="28678.880000000001"/>
    <n v="5735.7760000000007"/>
    <n v="10"/>
    <s v="Q4"/>
    <s v="Oct-2024"/>
    <n v="11471.552"/>
    <n v="103243.96800000001"/>
    <x v="4"/>
  </r>
  <r>
    <s v="ORD00834"/>
    <x v="2"/>
    <x v="2"/>
    <n v="44918.35"/>
    <n v="5"/>
    <n v="224591.75"/>
    <d v="2024-07-23T00:00:00"/>
    <x v="2"/>
    <x v="2"/>
    <s v="July"/>
    <x v="0"/>
    <n v="44918.350000000006"/>
    <n v="21"/>
    <x v="1"/>
    <x v="0"/>
    <n v="224591.75"/>
    <n v="0"/>
    <n v="0.20000000000000004"/>
    <n v="44918.35"/>
    <n v="8983.6700000000019"/>
    <n v="7"/>
    <s v="Q3"/>
    <s v="Jul-2024"/>
    <n v="47164.267500000002"/>
    <n v="177427.48249999998"/>
    <x v="5"/>
  </r>
  <r>
    <s v="ORD00835"/>
    <x v="17"/>
    <x v="2"/>
    <n v="31727.37"/>
    <n v="1"/>
    <n v="31727.37"/>
    <d v="2024-11-11T00:00:00"/>
    <x v="0"/>
    <x v="5"/>
    <s v="November"/>
    <x v="0"/>
    <n v="6345.4740000000002"/>
    <n v="9"/>
    <x v="2"/>
    <x v="0"/>
    <n v="31727.37"/>
    <n v="0"/>
    <n v="0.2"/>
    <n v="31727.37"/>
    <n v="6345.4740000000002"/>
    <n v="11"/>
    <s v="Q4"/>
    <s v="Nov-2024"/>
    <n v="2855.4633000000003"/>
    <n v="28871.9067"/>
    <x v="3"/>
  </r>
  <r>
    <s v="ORD00836"/>
    <x v="16"/>
    <x v="4"/>
    <n v="10766.58"/>
    <n v="3"/>
    <n v="32299.74"/>
    <d v="2024-04-05T00:00:00"/>
    <x v="4"/>
    <x v="24"/>
    <s v="April"/>
    <x v="0"/>
    <n v="6459.9480000000003"/>
    <n v="9"/>
    <x v="2"/>
    <x v="0"/>
    <n v="32299.739999999998"/>
    <n v="0"/>
    <n v="0.2"/>
    <n v="10766.58"/>
    <n v="2153.3160000000003"/>
    <n v="4"/>
    <s v="Q2"/>
    <s v="Apr-2024"/>
    <n v="2906.9766000000004"/>
    <n v="29392.7634"/>
    <x v="9"/>
  </r>
  <r>
    <s v="ORD00837"/>
    <x v="11"/>
    <x v="2"/>
    <n v="25288.2"/>
    <n v="4"/>
    <n v="101152.8"/>
    <d v="2024-08-15T00:00:00"/>
    <x v="0"/>
    <x v="38"/>
    <s v="August"/>
    <x v="0"/>
    <n v="20230.560000000001"/>
    <n v="10"/>
    <x v="0"/>
    <x v="1"/>
    <n v="101152.8"/>
    <n v="0"/>
    <n v="0.2"/>
    <n v="25288.2"/>
    <n v="5057.6400000000003"/>
    <n v="8"/>
    <s v="Q3"/>
    <s v="Aug-2024"/>
    <n v="10115.280000000001"/>
    <n v="91037.52"/>
    <x v="12"/>
  </r>
  <r>
    <s v="ORD00838"/>
    <x v="18"/>
    <x v="3"/>
    <n v="35506.5"/>
    <n v="5"/>
    <n v="177532.5"/>
    <d v="2024-05-26T00:00:00"/>
    <x v="1"/>
    <x v="16"/>
    <s v="May"/>
    <x v="0"/>
    <n v="35506.5"/>
    <n v="7"/>
    <x v="1"/>
    <x v="3"/>
    <n v="177532.5"/>
    <n v="0"/>
    <n v="0.2"/>
    <n v="35506.5"/>
    <n v="7101.3"/>
    <n v="5"/>
    <s v="Q2"/>
    <s v="May-2024"/>
    <n v="12427.275"/>
    <n v="165105.22500000001"/>
    <x v="2"/>
  </r>
  <r>
    <s v="ORD00839"/>
    <x v="21"/>
    <x v="0"/>
    <n v="7682.98"/>
    <n v="4"/>
    <n v="30731.919999999998"/>
    <d v="2024-08-15T00:00:00"/>
    <x v="3"/>
    <x v="38"/>
    <s v="August"/>
    <x v="0"/>
    <n v="6146.384"/>
    <n v="25"/>
    <x v="2"/>
    <x v="2"/>
    <n v="30731.919999999998"/>
    <n v="0"/>
    <n v="0.2"/>
    <n v="7682.98"/>
    <n v="1536.596"/>
    <n v="8"/>
    <s v="Q3"/>
    <s v="Aug-2024"/>
    <n v="7682.98"/>
    <n v="23048.94"/>
    <x v="12"/>
  </r>
  <r>
    <s v="ORD00840"/>
    <x v="12"/>
    <x v="3"/>
    <n v="32664.01"/>
    <n v="2"/>
    <n v="65328.02"/>
    <d v="2024-03-22T00:00:00"/>
    <x v="5"/>
    <x v="15"/>
    <s v="March"/>
    <x v="0"/>
    <n v="13065.603999999999"/>
    <n v="27"/>
    <x v="1"/>
    <x v="0"/>
    <n v="65328.02"/>
    <n v="0"/>
    <n v="0.2"/>
    <n v="32664.01"/>
    <n v="6532.8019999999997"/>
    <n v="3"/>
    <s v="Q1"/>
    <s v="Mar-2024"/>
    <n v="17638.565399999999"/>
    <n v="47689.454599999997"/>
    <x v="7"/>
  </r>
  <r>
    <s v="ORD00841"/>
    <x v="7"/>
    <x v="4"/>
    <n v="14359.56"/>
    <n v="3"/>
    <n v="43078.68"/>
    <d v="2024-07-09T00:00:00"/>
    <x v="0"/>
    <x v="10"/>
    <s v="July"/>
    <x v="0"/>
    <n v="8615.7360000000008"/>
    <n v="9"/>
    <x v="0"/>
    <x v="2"/>
    <n v="43078.68"/>
    <n v="0"/>
    <n v="0.2"/>
    <n v="14359.56"/>
    <n v="2871.9120000000003"/>
    <n v="7"/>
    <s v="Q3"/>
    <s v="Jul-2024"/>
    <n v="3877.0812000000001"/>
    <n v="39201.5988"/>
    <x v="5"/>
  </r>
  <r>
    <s v="ORD00842"/>
    <x v="6"/>
    <x v="1"/>
    <n v="3632.93"/>
    <n v="5"/>
    <n v="18164.650000000001"/>
    <d v="2024-08-24T00:00:00"/>
    <x v="4"/>
    <x v="37"/>
    <s v="August"/>
    <x v="0"/>
    <n v="3632.9300000000003"/>
    <n v="25"/>
    <x v="2"/>
    <x v="1"/>
    <n v="18164.649999999998"/>
    <n v="0"/>
    <n v="0.2"/>
    <n v="3632.9300000000003"/>
    <n v="726.58600000000001"/>
    <n v="8"/>
    <s v="Q3"/>
    <s v="Aug-2024"/>
    <n v="4541.1625000000004"/>
    <n v="13623.487500000001"/>
    <x v="12"/>
  </r>
  <r>
    <s v="ORD00843"/>
    <x v="5"/>
    <x v="4"/>
    <n v="30519.71"/>
    <n v="1"/>
    <n v="30519.71"/>
    <d v="2024-02-13T00:00:00"/>
    <x v="5"/>
    <x v="3"/>
    <s v="February"/>
    <x v="0"/>
    <n v="6103.942"/>
    <n v="9"/>
    <x v="2"/>
    <x v="0"/>
    <n v="30519.71"/>
    <n v="0"/>
    <n v="0.2"/>
    <n v="30519.71"/>
    <n v="6103.942"/>
    <n v="2"/>
    <s v="Q1"/>
    <s v="Feb-2024"/>
    <n v="2746.7739000000001"/>
    <n v="27772.936099999999"/>
    <x v="10"/>
  </r>
  <r>
    <s v="ORD00844"/>
    <x v="23"/>
    <x v="4"/>
    <n v="999.54"/>
    <n v="3"/>
    <n v="2998.62"/>
    <d v="2025-01-03T00:00:00"/>
    <x v="0"/>
    <x v="3"/>
    <s v="January"/>
    <x v="1"/>
    <n v="599.72400000000005"/>
    <n v="14"/>
    <x v="2"/>
    <x v="3"/>
    <n v="2998.62"/>
    <n v="0"/>
    <n v="0.2"/>
    <n v="999.54"/>
    <n v="199.90800000000002"/>
    <n v="1"/>
    <s v="Q1"/>
    <s v="Jan-2025"/>
    <n v="419.80680000000001"/>
    <n v="2578.8132000000001"/>
    <x v="6"/>
  </r>
  <r>
    <s v="ORD00845"/>
    <x v="5"/>
    <x v="4"/>
    <n v="15481.49"/>
    <n v="3"/>
    <n v="46444.47"/>
    <d v="2024-05-20T00:00:00"/>
    <x v="2"/>
    <x v="37"/>
    <s v="May"/>
    <x v="0"/>
    <n v="9288.8940000000002"/>
    <n v="14"/>
    <x v="0"/>
    <x v="2"/>
    <n v="46444.47"/>
    <n v="0"/>
    <n v="0.2"/>
    <n v="15481.49"/>
    <n v="3096.2980000000002"/>
    <n v="5"/>
    <s v="Q2"/>
    <s v="May-2024"/>
    <n v="6502.2258000000011"/>
    <n v="39942.244200000001"/>
    <x v="2"/>
  </r>
  <r>
    <s v="ORD00846"/>
    <x v="7"/>
    <x v="4"/>
    <n v="33814.720000000001"/>
    <n v="2"/>
    <n v="67629.440000000002"/>
    <d v="2024-10-09T00:00:00"/>
    <x v="5"/>
    <x v="11"/>
    <s v="October"/>
    <x v="0"/>
    <n v="13525.888000000001"/>
    <n v="23"/>
    <x v="1"/>
    <x v="0"/>
    <n v="67629.440000000002"/>
    <n v="0"/>
    <n v="0.2"/>
    <n v="33814.720000000001"/>
    <n v="6762.9440000000004"/>
    <n v="10"/>
    <s v="Q4"/>
    <s v="Oct-2024"/>
    <n v="15554.771200000001"/>
    <n v="52074.668799999999"/>
    <x v="4"/>
  </r>
  <r>
    <s v="ORD00847"/>
    <x v="7"/>
    <x v="4"/>
    <n v="13559.39"/>
    <n v="3"/>
    <n v="40678.17"/>
    <d v="2024-09-15T00:00:00"/>
    <x v="5"/>
    <x v="22"/>
    <s v="September"/>
    <x v="0"/>
    <n v="8135.634"/>
    <n v="21"/>
    <x v="2"/>
    <x v="1"/>
    <n v="40678.17"/>
    <n v="0"/>
    <n v="0.2"/>
    <n v="13559.39"/>
    <n v="2711.8780000000002"/>
    <n v="9"/>
    <s v="Q3"/>
    <s v="Sep-2024"/>
    <n v="8542.4156999999996"/>
    <n v="32135.754300000001"/>
    <x v="0"/>
  </r>
  <r>
    <s v="ORD00848"/>
    <x v="15"/>
    <x v="1"/>
    <n v="18461.509999999998"/>
    <n v="3"/>
    <n v="55384.53"/>
    <d v="2024-09-14T00:00:00"/>
    <x v="3"/>
    <x v="2"/>
    <s v="September"/>
    <x v="0"/>
    <n v="11076.906000000001"/>
    <n v="25"/>
    <x v="0"/>
    <x v="3"/>
    <n v="55384.53"/>
    <n v="0"/>
    <n v="0.2"/>
    <n v="18461.509999999998"/>
    <n v="3692.3020000000001"/>
    <n v="9"/>
    <s v="Q3"/>
    <s v="Sep-2024"/>
    <n v="13846.1325"/>
    <n v="41538.397499999999"/>
    <x v="0"/>
  </r>
  <r>
    <s v="ORD00849"/>
    <x v="12"/>
    <x v="3"/>
    <n v="22868.39"/>
    <n v="4"/>
    <n v="91473.56"/>
    <d v="2024-06-03T00:00:00"/>
    <x v="0"/>
    <x v="11"/>
    <s v="June"/>
    <x v="0"/>
    <n v="18294.712"/>
    <n v="18"/>
    <x v="1"/>
    <x v="2"/>
    <n v="91473.56"/>
    <n v="0"/>
    <n v="0.2"/>
    <n v="22868.39"/>
    <n v="4573.6779999999999"/>
    <n v="6"/>
    <s v="Q2"/>
    <s v="Jun-2024"/>
    <n v="16465.2408"/>
    <n v="75008.319199999998"/>
    <x v="11"/>
  </r>
  <r>
    <s v="ORD00850"/>
    <x v="23"/>
    <x v="4"/>
    <n v="17795.7"/>
    <n v="2"/>
    <n v="35591.4"/>
    <d v="2024-06-15T00:00:00"/>
    <x v="3"/>
    <x v="24"/>
    <s v="June"/>
    <x v="0"/>
    <n v="7118.2800000000007"/>
    <n v="13"/>
    <x v="0"/>
    <x v="2"/>
    <n v="35591.4"/>
    <n v="0"/>
    <n v="0.2"/>
    <n v="17795.7"/>
    <n v="3559.1400000000003"/>
    <n v="6"/>
    <s v="Q2"/>
    <s v="Jun-2024"/>
    <n v="4626.8820000000005"/>
    <n v="30964.518"/>
    <x v="11"/>
  </r>
  <r>
    <s v="ORD00851"/>
    <x v="10"/>
    <x v="2"/>
    <n v="20095.189999999999"/>
    <n v="4"/>
    <n v="80380.759999999995"/>
    <d v="2025-01-13T00:00:00"/>
    <x v="4"/>
    <x v="29"/>
    <s v="January"/>
    <x v="1"/>
    <n v="16076.152"/>
    <n v="18"/>
    <x v="1"/>
    <x v="0"/>
    <n v="80380.759999999995"/>
    <n v="0"/>
    <n v="0.2"/>
    <n v="20095.189999999999"/>
    <n v="4019.038"/>
    <n v="1"/>
    <s v="Q1"/>
    <s v="Jan-2025"/>
    <n v="14468.5368"/>
    <n v="65912.223199999993"/>
    <x v="6"/>
  </r>
  <r>
    <s v="ORD00852"/>
    <x v="4"/>
    <x v="4"/>
    <n v="13998.81"/>
    <n v="2"/>
    <n v="27997.62"/>
    <d v="2024-07-13T00:00:00"/>
    <x v="5"/>
    <x v="29"/>
    <s v="July"/>
    <x v="0"/>
    <n v="5599.5240000000003"/>
    <n v="5"/>
    <x v="0"/>
    <x v="3"/>
    <n v="27997.62"/>
    <n v="0"/>
    <n v="0.2"/>
    <n v="13998.81"/>
    <n v="2799.7620000000002"/>
    <n v="7"/>
    <s v="Q3"/>
    <s v="Jul-2024"/>
    <n v="1399.8810000000001"/>
    <n v="26597.738999999998"/>
    <x v="5"/>
  </r>
  <r>
    <s v="ORD00853"/>
    <x v="5"/>
    <x v="4"/>
    <n v="787.27"/>
    <n v="3"/>
    <n v="2361.81"/>
    <d v="2024-04-06T00:00:00"/>
    <x v="1"/>
    <x v="37"/>
    <s v="April"/>
    <x v="0"/>
    <n v="472.36200000000002"/>
    <n v="23"/>
    <x v="1"/>
    <x v="3"/>
    <n v="2361.81"/>
    <n v="0"/>
    <n v="0.2"/>
    <n v="787.27"/>
    <n v="157.45400000000001"/>
    <n v="4"/>
    <s v="Q2"/>
    <s v="Apr-2024"/>
    <n v="543.21629999999993"/>
    <n v="1818.5936999999999"/>
    <x v="9"/>
  </r>
  <r>
    <s v="ORD00854"/>
    <x v="18"/>
    <x v="3"/>
    <n v="47363.199999999997"/>
    <n v="3"/>
    <n v="142089.60000000001"/>
    <d v="2024-11-12T00:00:00"/>
    <x v="4"/>
    <x v="26"/>
    <s v="November"/>
    <x v="0"/>
    <n v="28417.920000000002"/>
    <n v="17"/>
    <x v="2"/>
    <x v="3"/>
    <n v="142089.59999999998"/>
    <n v="0"/>
    <n v="0.2"/>
    <n v="47363.200000000004"/>
    <n v="9472.6400000000012"/>
    <n v="11"/>
    <s v="Q4"/>
    <s v="Nov-2024"/>
    <n v="24155.232000000004"/>
    <n v="117934.368"/>
    <x v="3"/>
  </r>
  <r>
    <s v="ORD00855"/>
    <x v="6"/>
    <x v="1"/>
    <n v="9655.0300000000007"/>
    <n v="4"/>
    <n v="38620.120000000003"/>
    <d v="2024-11-16T00:00:00"/>
    <x v="4"/>
    <x v="39"/>
    <s v="November"/>
    <x v="0"/>
    <n v="7724.0240000000013"/>
    <n v="17"/>
    <x v="1"/>
    <x v="3"/>
    <n v="38620.120000000003"/>
    <n v="0"/>
    <n v="0.2"/>
    <n v="9655.0300000000007"/>
    <n v="1931.0060000000003"/>
    <n v="11"/>
    <s v="Q4"/>
    <s v="Nov-2024"/>
    <n v="6565.4204"/>
    <n v="32054.699600000004"/>
    <x v="3"/>
  </r>
  <r>
    <s v="ORD00856"/>
    <x v="4"/>
    <x v="4"/>
    <n v="24151.49"/>
    <n v="1"/>
    <n v="24151.49"/>
    <d v="2024-10-02T00:00:00"/>
    <x v="1"/>
    <x v="38"/>
    <s v="October"/>
    <x v="0"/>
    <n v="4830.2980000000007"/>
    <n v="8"/>
    <x v="0"/>
    <x v="1"/>
    <n v="24151.49"/>
    <n v="0"/>
    <n v="0.2"/>
    <n v="24151.49"/>
    <n v="4830.2980000000007"/>
    <n v="10"/>
    <s v="Q4"/>
    <s v="Oct-2024"/>
    <n v="1932.1192000000001"/>
    <n v="22219.370800000001"/>
    <x v="4"/>
  </r>
  <r>
    <s v="ORD00857"/>
    <x v="13"/>
    <x v="0"/>
    <n v="3697.32"/>
    <n v="4"/>
    <n v="14789.28"/>
    <d v="2024-02-27T00:00:00"/>
    <x v="1"/>
    <x v="11"/>
    <s v="February"/>
    <x v="0"/>
    <n v="2957.8560000000002"/>
    <n v="5"/>
    <x v="0"/>
    <x v="3"/>
    <n v="14789.28"/>
    <n v="0"/>
    <n v="0.2"/>
    <n v="3697.32"/>
    <n v="739.46400000000006"/>
    <n v="2"/>
    <s v="Q1"/>
    <s v="Feb-2024"/>
    <n v="739.46400000000006"/>
    <n v="14049.816000000001"/>
    <x v="10"/>
  </r>
  <r>
    <s v="ORD00858"/>
    <x v="0"/>
    <x v="0"/>
    <n v="43840.04"/>
    <n v="5"/>
    <n v="219200.2"/>
    <d v="2024-12-12T00:00:00"/>
    <x v="4"/>
    <x v="32"/>
    <s v="December"/>
    <x v="0"/>
    <n v="43840.040000000008"/>
    <n v="21"/>
    <x v="1"/>
    <x v="2"/>
    <n v="219200.2"/>
    <n v="0"/>
    <n v="0.20000000000000004"/>
    <n v="43840.04"/>
    <n v="8768.0080000000016"/>
    <n v="12"/>
    <s v="Q4"/>
    <s v="Dec-2024"/>
    <n v="46032.042000000001"/>
    <n v="173168.158"/>
    <x v="1"/>
  </r>
  <r>
    <s v="ORD00859"/>
    <x v="23"/>
    <x v="4"/>
    <n v="6494.62"/>
    <n v="5"/>
    <n v="32473.1"/>
    <d v="2024-09-04T00:00:00"/>
    <x v="1"/>
    <x v="8"/>
    <s v="September"/>
    <x v="0"/>
    <n v="6494.62"/>
    <n v="12"/>
    <x v="2"/>
    <x v="2"/>
    <n v="32473.1"/>
    <n v="0"/>
    <n v="0.2"/>
    <n v="6494.62"/>
    <n v="1298.924"/>
    <n v="9"/>
    <s v="Q3"/>
    <s v="Sep-2024"/>
    <n v="3896.7719999999995"/>
    <n v="28576.327999999998"/>
    <x v="0"/>
  </r>
  <r>
    <s v="ORD00860"/>
    <x v="0"/>
    <x v="0"/>
    <n v="7761.67"/>
    <n v="1"/>
    <n v="7761.67"/>
    <d v="2025-02-03T00:00:00"/>
    <x v="1"/>
    <x v="38"/>
    <s v="February"/>
    <x v="1"/>
    <n v="1552.3340000000001"/>
    <n v="6"/>
    <x v="2"/>
    <x v="1"/>
    <n v="7761.67"/>
    <n v="0"/>
    <n v="0.2"/>
    <n v="7761.67"/>
    <n v="1552.3340000000001"/>
    <n v="2"/>
    <s v="Q1"/>
    <s v="Feb-2025"/>
    <n v="465.70020000000005"/>
    <n v="7295.9697999999999"/>
    <x v="8"/>
  </r>
  <r>
    <s v="ORD00861"/>
    <x v="17"/>
    <x v="2"/>
    <n v="43300.52"/>
    <n v="4"/>
    <n v="173202.08"/>
    <d v="2024-10-23T00:00:00"/>
    <x v="3"/>
    <x v="19"/>
    <s v="October"/>
    <x v="0"/>
    <n v="34640.415999999997"/>
    <n v="12"/>
    <x v="1"/>
    <x v="2"/>
    <n v="173202.08"/>
    <n v="0"/>
    <n v="0.2"/>
    <n v="43300.52"/>
    <n v="8660.1039999999994"/>
    <n v="10"/>
    <s v="Q4"/>
    <s v="Oct-2024"/>
    <n v="20784.249599999999"/>
    <n v="152417.83039999998"/>
    <x v="4"/>
  </r>
  <r>
    <s v="ORD00862"/>
    <x v="23"/>
    <x v="4"/>
    <n v="36583.040000000001"/>
    <n v="4"/>
    <n v="146332.16"/>
    <d v="2024-04-18T00:00:00"/>
    <x v="3"/>
    <x v="6"/>
    <s v="April"/>
    <x v="0"/>
    <n v="29266.432000000001"/>
    <n v="11"/>
    <x v="1"/>
    <x v="2"/>
    <n v="146332.16"/>
    <n v="0"/>
    <n v="0.2"/>
    <n v="36583.040000000001"/>
    <n v="7316.6080000000002"/>
    <n v="4"/>
    <s v="Q2"/>
    <s v="Apr-2024"/>
    <n v="16096.5376"/>
    <n v="130235.62240000001"/>
    <x v="9"/>
  </r>
  <r>
    <s v="ORD00863"/>
    <x v="3"/>
    <x v="3"/>
    <n v="43298.080000000002"/>
    <n v="3"/>
    <n v="129894.24"/>
    <d v="2024-07-28T00:00:00"/>
    <x v="1"/>
    <x v="14"/>
    <s v="July"/>
    <x v="0"/>
    <n v="25978.848000000002"/>
    <n v="30"/>
    <x v="0"/>
    <x v="3"/>
    <n v="129894.24"/>
    <n v="0"/>
    <n v="0.2"/>
    <n v="43298.080000000002"/>
    <n v="8659.616"/>
    <n v="7"/>
    <s v="Q3"/>
    <s v="Jul-2024"/>
    <n v="38968.272000000004"/>
    <n v="90925.967999999993"/>
    <x v="5"/>
  </r>
  <r>
    <s v="ORD00864"/>
    <x v="22"/>
    <x v="0"/>
    <n v="47427.3"/>
    <n v="5"/>
    <n v="237136.5"/>
    <d v="2024-03-29T00:00:00"/>
    <x v="2"/>
    <x v="9"/>
    <s v="March"/>
    <x v="0"/>
    <n v="47427.3"/>
    <n v="30"/>
    <x v="2"/>
    <x v="2"/>
    <n v="237136.5"/>
    <n v="0"/>
    <n v="0.2"/>
    <n v="47427.3"/>
    <n v="9485.4600000000009"/>
    <n v="3"/>
    <s v="Q1"/>
    <s v="Mar-2024"/>
    <n v="71140.95"/>
    <n v="165995.54999999999"/>
    <x v="7"/>
  </r>
  <r>
    <s v="ORD00865"/>
    <x v="12"/>
    <x v="3"/>
    <n v="32950.949999999997"/>
    <n v="5"/>
    <n v="164754.75"/>
    <d v="2024-07-26T00:00:00"/>
    <x v="5"/>
    <x v="21"/>
    <s v="July"/>
    <x v="0"/>
    <n v="32950.950000000004"/>
    <n v="6"/>
    <x v="1"/>
    <x v="1"/>
    <n v="164754.75"/>
    <n v="0"/>
    <n v="0.20000000000000004"/>
    <n v="32950.949999999997"/>
    <n v="6590.1900000000005"/>
    <n v="7"/>
    <s v="Q3"/>
    <s v="Jul-2024"/>
    <n v="9885.2849999999999"/>
    <n v="154869.465"/>
    <x v="5"/>
  </r>
  <r>
    <s v="ORD00866"/>
    <x v="2"/>
    <x v="2"/>
    <n v="14064.35"/>
    <n v="2"/>
    <n v="28128.7"/>
    <d v="2024-04-19T00:00:00"/>
    <x v="5"/>
    <x v="36"/>
    <s v="April"/>
    <x v="0"/>
    <n v="5625.7400000000007"/>
    <n v="26"/>
    <x v="2"/>
    <x v="3"/>
    <n v="28128.7"/>
    <n v="0"/>
    <n v="0.2"/>
    <n v="14064.35"/>
    <n v="2812.8700000000003"/>
    <n v="4"/>
    <s v="Q2"/>
    <s v="Apr-2024"/>
    <n v="7313.4620000000004"/>
    <n v="20815.238000000001"/>
    <x v="9"/>
  </r>
  <r>
    <s v="ORD00867"/>
    <x v="11"/>
    <x v="2"/>
    <n v="49911.75"/>
    <n v="3"/>
    <n v="149735.25"/>
    <d v="2024-05-18T00:00:00"/>
    <x v="2"/>
    <x v="4"/>
    <s v="May"/>
    <x v="0"/>
    <n v="29947.050000000003"/>
    <n v="26"/>
    <x v="1"/>
    <x v="0"/>
    <n v="149735.25"/>
    <n v="0"/>
    <n v="0.2"/>
    <n v="49911.75"/>
    <n v="9982.35"/>
    <n v="5"/>
    <s v="Q2"/>
    <s v="May-2024"/>
    <n v="38931.165000000001"/>
    <n v="110804.08499999999"/>
    <x v="2"/>
  </r>
  <r>
    <s v="ORD00868"/>
    <x v="20"/>
    <x v="3"/>
    <n v="40986.82"/>
    <n v="3"/>
    <n v="122960.46"/>
    <d v="2025-01-22T00:00:00"/>
    <x v="3"/>
    <x v="0"/>
    <s v="January"/>
    <x v="1"/>
    <n v="24592.092000000004"/>
    <n v="7"/>
    <x v="1"/>
    <x v="3"/>
    <n v="122960.45999999999"/>
    <n v="0"/>
    <n v="0.2"/>
    <n v="40986.82"/>
    <n v="8197.3640000000014"/>
    <n v="1"/>
    <s v="Q1"/>
    <s v="Jan-2025"/>
    <n v="8607.2322000000004"/>
    <n v="114353.22780000001"/>
    <x v="6"/>
  </r>
  <r>
    <s v="ORD00869"/>
    <x v="23"/>
    <x v="4"/>
    <n v="32863.879999999997"/>
    <n v="4"/>
    <n v="131455.51999999999"/>
    <d v="2024-03-15T00:00:00"/>
    <x v="2"/>
    <x v="35"/>
    <s v="March"/>
    <x v="0"/>
    <n v="26291.103999999999"/>
    <n v="22"/>
    <x v="2"/>
    <x v="1"/>
    <n v="131455.51999999999"/>
    <n v="0"/>
    <n v="0.2"/>
    <n v="32863.879999999997"/>
    <n v="6572.7759999999998"/>
    <n v="3"/>
    <s v="Q1"/>
    <s v="Mar-2024"/>
    <n v="28920.214400000001"/>
    <n v="102535.30559999999"/>
    <x v="7"/>
  </r>
  <r>
    <s v="ORD00870"/>
    <x v="10"/>
    <x v="2"/>
    <n v="37424.589999999997"/>
    <n v="4"/>
    <n v="149698.35999999999"/>
    <d v="2024-08-01T00:00:00"/>
    <x v="5"/>
    <x v="12"/>
    <s v="August"/>
    <x v="0"/>
    <n v="29939.671999999999"/>
    <n v="16"/>
    <x v="1"/>
    <x v="3"/>
    <n v="149698.35999999999"/>
    <n v="0"/>
    <n v="0.2"/>
    <n v="37424.589999999997"/>
    <n v="7484.9179999999997"/>
    <n v="8"/>
    <s v="Q3"/>
    <s v="Aug-2024"/>
    <n v="23951.737599999997"/>
    <n v="125746.62239999999"/>
    <x v="12"/>
  </r>
  <r>
    <s v="ORD00871"/>
    <x v="7"/>
    <x v="4"/>
    <n v="36930.76"/>
    <n v="2"/>
    <n v="73861.52"/>
    <d v="2024-05-15T00:00:00"/>
    <x v="0"/>
    <x v="30"/>
    <s v="May"/>
    <x v="0"/>
    <n v="14772.304000000002"/>
    <n v="5"/>
    <x v="1"/>
    <x v="3"/>
    <n v="73861.52"/>
    <n v="0"/>
    <n v="0.2"/>
    <n v="36930.76"/>
    <n v="7386.152000000001"/>
    <n v="5"/>
    <s v="Q2"/>
    <s v="May-2024"/>
    <n v="3693.0760000000005"/>
    <n v="70168.444000000003"/>
    <x v="2"/>
  </r>
  <r>
    <s v="ORD00872"/>
    <x v="14"/>
    <x v="0"/>
    <n v="40379.730000000003"/>
    <n v="1"/>
    <n v="40379.730000000003"/>
    <d v="2024-11-02T00:00:00"/>
    <x v="3"/>
    <x v="28"/>
    <s v="November"/>
    <x v="0"/>
    <n v="8075.9460000000008"/>
    <n v="26"/>
    <x v="0"/>
    <x v="1"/>
    <n v="40379.730000000003"/>
    <n v="0"/>
    <n v="0.2"/>
    <n v="40379.730000000003"/>
    <n v="8075.9460000000008"/>
    <n v="11"/>
    <s v="Q4"/>
    <s v="Nov-2024"/>
    <n v="10498.729799999999"/>
    <n v="29881.000200000002"/>
    <x v="3"/>
  </r>
  <r>
    <s v="ORD00873"/>
    <x v="15"/>
    <x v="1"/>
    <n v="16938.75"/>
    <n v="5"/>
    <n v="84693.75"/>
    <d v="2024-02-29T00:00:00"/>
    <x v="0"/>
    <x v="3"/>
    <s v="February"/>
    <x v="0"/>
    <n v="16938.75"/>
    <n v="16"/>
    <x v="1"/>
    <x v="3"/>
    <n v="84693.75"/>
    <n v="0"/>
    <n v="0.2"/>
    <n v="16938.75"/>
    <n v="3387.75"/>
    <n v="2"/>
    <s v="Q1"/>
    <s v="Feb-2024"/>
    <n v="13551"/>
    <n v="71142.75"/>
    <x v="10"/>
  </r>
  <r>
    <s v="ORD00874"/>
    <x v="24"/>
    <x v="1"/>
    <n v="2415.3200000000002"/>
    <n v="5"/>
    <n v="12076.6"/>
    <d v="2024-09-24T00:00:00"/>
    <x v="3"/>
    <x v="3"/>
    <s v="September"/>
    <x v="0"/>
    <n v="2415.3200000000002"/>
    <n v="9"/>
    <x v="1"/>
    <x v="1"/>
    <n v="12076.6"/>
    <n v="0"/>
    <n v="0.2"/>
    <n v="2415.3200000000002"/>
    <n v="483.06400000000002"/>
    <n v="9"/>
    <s v="Q3"/>
    <s v="Sep-2024"/>
    <n v="1086.894"/>
    <n v="10989.706"/>
    <x v="0"/>
  </r>
  <r>
    <s v="ORD00875"/>
    <x v="17"/>
    <x v="2"/>
    <n v="49127.14"/>
    <n v="3"/>
    <n v="147381.42000000001"/>
    <d v="2024-08-31T00:00:00"/>
    <x v="1"/>
    <x v="34"/>
    <s v="August"/>
    <x v="0"/>
    <n v="29476.284000000003"/>
    <n v="29"/>
    <x v="1"/>
    <x v="1"/>
    <n v="147381.41999999998"/>
    <n v="0"/>
    <n v="0.2"/>
    <n v="49127.140000000007"/>
    <n v="9825.4280000000017"/>
    <n v="8"/>
    <s v="Q3"/>
    <s v="Aug-2024"/>
    <n v="42740.611800000006"/>
    <n v="104640.8082"/>
    <x v="12"/>
  </r>
  <r>
    <s v="ORD00876"/>
    <x v="8"/>
    <x v="1"/>
    <n v="1416.84"/>
    <n v="3"/>
    <n v="4250.5200000000004"/>
    <d v="2024-06-07T00:00:00"/>
    <x v="5"/>
    <x v="31"/>
    <s v="June"/>
    <x v="0"/>
    <n v="850.10400000000016"/>
    <n v="21"/>
    <x v="0"/>
    <x v="0"/>
    <n v="4250.5199999999995"/>
    <n v="0"/>
    <n v="0.2"/>
    <n v="1416.8400000000001"/>
    <n v="283.36800000000005"/>
    <n v="6"/>
    <s v="Q2"/>
    <s v="Jun-2024"/>
    <n v="892.6092000000001"/>
    <n v="3357.9108000000006"/>
    <x v="11"/>
  </r>
  <r>
    <s v="ORD00877"/>
    <x v="17"/>
    <x v="2"/>
    <n v="21112.13"/>
    <n v="3"/>
    <n v="63336.39"/>
    <d v="2024-08-22T00:00:00"/>
    <x v="1"/>
    <x v="30"/>
    <s v="August"/>
    <x v="0"/>
    <n v="12667.278"/>
    <n v="20"/>
    <x v="2"/>
    <x v="2"/>
    <n v="63336.39"/>
    <n v="0"/>
    <n v="0.2"/>
    <n v="21112.13"/>
    <n v="4222.4260000000004"/>
    <n v="8"/>
    <s v="Q3"/>
    <s v="Aug-2024"/>
    <n v="12667.278"/>
    <n v="50669.112000000001"/>
    <x v="12"/>
  </r>
  <r>
    <s v="ORD00878"/>
    <x v="11"/>
    <x v="2"/>
    <n v="13061.91"/>
    <n v="5"/>
    <n v="65309.55"/>
    <d v="2024-10-24T00:00:00"/>
    <x v="0"/>
    <x v="30"/>
    <s v="October"/>
    <x v="0"/>
    <n v="13061.910000000002"/>
    <n v="19"/>
    <x v="0"/>
    <x v="2"/>
    <n v="65309.55"/>
    <n v="0"/>
    <n v="0.2"/>
    <n v="13061.91"/>
    <n v="2612.3820000000005"/>
    <n v="10"/>
    <s v="Q4"/>
    <s v="Oct-2024"/>
    <n v="12408.8145"/>
    <n v="52900.735500000003"/>
    <x v="4"/>
  </r>
  <r>
    <s v="ORD00879"/>
    <x v="22"/>
    <x v="0"/>
    <n v="7465.89"/>
    <n v="5"/>
    <n v="37329.449999999997"/>
    <d v="2024-03-28T00:00:00"/>
    <x v="0"/>
    <x v="2"/>
    <s v="March"/>
    <x v="0"/>
    <n v="7465.8899999999994"/>
    <n v="27"/>
    <x v="0"/>
    <x v="3"/>
    <n v="37329.450000000004"/>
    <n v="0"/>
    <n v="0.2"/>
    <n v="7465.8899999999994"/>
    <n v="1493.1779999999999"/>
    <n v="3"/>
    <s v="Q1"/>
    <s v="Mar-2024"/>
    <n v="10078.951499999999"/>
    <n v="27250.498499999998"/>
    <x v="7"/>
  </r>
  <r>
    <s v="ORD00880"/>
    <x v="21"/>
    <x v="0"/>
    <n v="38005.050000000003"/>
    <n v="1"/>
    <n v="38005.050000000003"/>
    <d v="2025-01-01T00:00:00"/>
    <x v="1"/>
    <x v="9"/>
    <s v="January"/>
    <x v="1"/>
    <n v="7601.0100000000011"/>
    <n v="19"/>
    <x v="2"/>
    <x v="3"/>
    <n v="38005.050000000003"/>
    <n v="0"/>
    <n v="0.2"/>
    <n v="38005.050000000003"/>
    <n v="7601.0100000000011"/>
    <n v="1"/>
    <s v="Q1"/>
    <s v="Jan-2025"/>
    <n v="7220.9595000000008"/>
    <n v="30784.090500000002"/>
    <x v="6"/>
  </r>
  <r>
    <s v="ORD00881"/>
    <x v="15"/>
    <x v="1"/>
    <n v="42307.18"/>
    <n v="5"/>
    <n v="211535.9"/>
    <d v="2024-08-21T00:00:00"/>
    <x v="3"/>
    <x v="27"/>
    <s v="August"/>
    <x v="0"/>
    <n v="42307.18"/>
    <n v="9"/>
    <x v="0"/>
    <x v="0"/>
    <n v="211535.9"/>
    <n v="0"/>
    <n v="0.2"/>
    <n v="42307.18"/>
    <n v="8461.4359999999997"/>
    <n v="8"/>
    <s v="Q3"/>
    <s v="Aug-2024"/>
    <n v="19038.231"/>
    <n v="192497.66899999999"/>
    <x v="12"/>
  </r>
  <r>
    <s v="ORD00882"/>
    <x v="5"/>
    <x v="4"/>
    <n v="28727.4"/>
    <n v="3"/>
    <n v="86182.2"/>
    <d v="2024-05-22T00:00:00"/>
    <x v="3"/>
    <x v="25"/>
    <s v="May"/>
    <x v="0"/>
    <n v="17236.439999999999"/>
    <n v="25"/>
    <x v="2"/>
    <x v="0"/>
    <n v="86182.200000000012"/>
    <n v="0"/>
    <n v="0.19999999999999998"/>
    <n v="28727.399999999998"/>
    <n v="5745.48"/>
    <n v="5"/>
    <s v="Q2"/>
    <s v="May-2024"/>
    <n v="21545.55"/>
    <n v="64636.649999999994"/>
    <x v="2"/>
  </r>
  <r>
    <s v="ORD00883"/>
    <x v="17"/>
    <x v="2"/>
    <n v="8465.2800000000007"/>
    <n v="3"/>
    <n v="25395.84"/>
    <d v="2024-12-12T00:00:00"/>
    <x v="4"/>
    <x v="31"/>
    <s v="December"/>
    <x v="0"/>
    <n v="5079.1680000000006"/>
    <n v="18"/>
    <x v="0"/>
    <x v="0"/>
    <n v="25395.840000000004"/>
    <n v="0"/>
    <n v="0.2"/>
    <n v="8465.2800000000007"/>
    <n v="1693.0560000000003"/>
    <n v="12"/>
    <s v="Q4"/>
    <s v="Dec-2024"/>
    <n v="4571.2511999999997"/>
    <n v="20824.588800000001"/>
    <x v="1"/>
  </r>
  <r>
    <s v="ORD00884"/>
    <x v="14"/>
    <x v="0"/>
    <n v="17194.75"/>
    <n v="3"/>
    <n v="51584.25"/>
    <d v="2024-05-15T00:00:00"/>
    <x v="2"/>
    <x v="30"/>
    <s v="May"/>
    <x v="0"/>
    <n v="10316.85"/>
    <n v="6"/>
    <x v="2"/>
    <x v="1"/>
    <n v="51584.25"/>
    <n v="0"/>
    <n v="0.2"/>
    <n v="17194.75"/>
    <n v="3438.9500000000003"/>
    <n v="5"/>
    <s v="Q2"/>
    <s v="May-2024"/>
    <n v="3095.0549999999998"/>
    <n v="48489.195"/>
    <x v="2"/>
  </r>
  <r>
    <s v="ORD00885"/>
    <x v="6"/>
    <x v="1"/>
    <n v="26550.66"/>
    <n v="4"/>
    <n v="106202.64"/>
    <d v="2024-03-09T00:00:00"/>
    <x v="3"/>
    <x v="26"/>
    <s v="March"/>
    <x v="0"/>
    <n v="21240.528000000002"/>
    <n v="15"/>
    <x v="1"/>
    <x v="0"/>
    <n v="106202.64"/>
    <n v="0"/>
    <n v="0.2"/>
    <n v="26550.66"/>
    <n v="5310.1320000000005"/>
    <n v="3"/>
    <s v="Q1"/>
    <s v="Mar-2024"/>
    <n v="15930.396000000001"/>
    <n v="90272.244000000006"/>
    <x v="7"/>
  </r>
  <r>
    <s v="ORD00886"/>
    <x v="0"/>
    <x v="0"/>
    <n v="24335.78"/>
    <n v="4"/>
    <n v="97343.12"/>
    <d v="2024-04-09T00:00:00"/>
    <x v="1"/>
    <x v="4"/>
    <s v="April"/>
    <x v="0"/>
    <n v="19468.624"/>
    <n v="23"/>
    <x v="0"/>
    <x v="0"/>
    <n v="97343.12"/>
    <n v="0"/>
    <n v="0.2"/>
    <n v="24335.78"/>
    <n v="4867.1559999999999"/>
    <n v="4"/>
    <s v="Q2"/>
    <s v="Apr-2024"/>
    <n v="22388.917599999997"/>
    <n v="74954.202399999995"/>
    <x v="9"/>
  </r>
  <r>
    <s v="ORD00887"/>
    <x v="23"/>
    <x v="4"/>
    <n v="17308.52"/>
    <n v="1"/>
    <n v="17308.52"/>
    <d v="2024-10-29T00:00:00"/>
    <x v="5"/>
    <x v="21"/>
    <s v="October"/>
    <x v="0"/>
    <n v="3461.7040000000002"/>
    <n v="11"/>
    <x v="0"/>
    <x v="3"/>
    <n v="17308.52"/>
    <n v="0"/>
    <n v="0.2"/>
    <n v="17308.52"/>
    <n v="3461.7040000000002"/>
    <n v="10"/>
    <s v="Q4"/>
    <s v="Oct-2024"/>
    <n v="1903.9372000000001"/>
    <n v="15404.5828"/>
    <x v="4"/>
  </r>
  <r>
    <s v="ORD00888"/>
    <x v="18"/>
    <x v="3"/>
    <n v="18097.79"/>
    <n v="1"/>
    <n v="18097.79"/>
    <d v="2024-05-22T00:00:00"/>
    <x v="5"/>
    <x v="28"/>
    <s v="May"/>
    <x v="0"/>
    <n v="3619.5580000000004"/>
    <n v="10"/>
    <x v="0"/>
    <x v="0"/>
    <n v="18097.79"/>
    <n v="0"/>
    <n v="0.2"/>
    <n v="18097.79"/>
    <n v="3619.5580000000004"/>
    <n v="5"/>
    <s v="Q2"/>
    <s v="May-2024"/>
    <n v="1809.7790000000002"/>
    <n v="16288.011"/>
    <x v="2"/>
  </r>
  <r>
    <s v="ORD00889"/>
    <x v="14"/>
    <x v="0"/>
    <n v="45792.57"/>
    <n v="2"/>
    <n v="91585.14"/>
    <d v="2024-06-10T00:00:00"/>
    <x v="4"/>
    <x v="4"/>
    <s v="June"/>
    <x v="0"/>
    <n v="18317.028000000002"/>
    <n v="6"/>
    <x v="0"/>
    <x v="1"/>
    <n v="91585.14"/>
    <n v="0"/>
    <n v="0.2"/>
    <n v="45792.57"/>
    <n v="9158.514000000001"/>
    <n v="6"/>
    <s v="Q2"/>
    <s v="Jun-2024"/>
    <n v="5495.1084000000001"/>
    <n v="86090.031600000002"/>
    <x v="11"/>
  </r>
  <r>
    <s v="ORD00890"/>
    <x v="17"/>
    <x v="2"/>
    <n v="35879.79"/>
    <n v="4"/>
    <n v="143519.16"/>
    <d v="2024-03-02T00:00:00"/>
    <x v="1"/>
    <x v="2"/>
    <s v="March"/>
    <x v="0"/>
    <n v="28703.832000000002"/>
    <n v="10"/>
    <x v="1"/>
    <x v="1"/>
    <n v="143519.16"/>
    <n v="0"/>
    <n v="0.2"/>
    <n v="35879.79"/>
    <n v="7175.9580000000005"/>
    <n v="3"/>
    <s v="Q1"/>
    <s v="Mar-2024"/>
    <n v="14351.916000000001"/>
    <n v="129167.24400000001"/>
    <x v="7"/>
  </r>
  <r>
    <s v="ORD00891"/>
    <x v="4"/>
    <x v="4"/>
    <n v="16158.74"/>
    <n v="3"/>
    <n v="48476.22"/>
    <d v="2024-08-24T00:00:00"/>
    <x v="3"/>
    <x v="24"/>
    <s v="August"/>
    <x v="0"/>
    <n v="9695.2440000000006"/>
    <n v="22"/>
    <x v="0"/>
    <x v="3"/>
    <n v="48476.22"/>
    <n v="0"/>
    <n v="0.2"/>
    <n v="16158.74"/>
    <n v="3231.748"/>
    <n v="8"/>
    <s v="Q3"/>
    <s v="Aug-2024"/>
    <n v="10664.768400000001"/>
    <n v="37811.4516"/>
    <x v="12"/>
  </r>
  <r>
    <s v="ORD00892"/>
    <x v="1"/>
    <x v="1"/>
    <n v="15387.4"/>
    <n v="1"/>
    <n v="15387.4"/>
    <d v="2024-03-03T00:00:00"/>
    <x v="1"/>
    <x v="24"/>
    <s v="March"/>
    <x v="0"/>
    <n v="3077.48"/>
    <n v="6"/>
    <x v="1"/>
    <x v="0"/>
    <n v="15387.4"/>
    <n v="0"/>
    <n v="0.2"/>
    <n v="15387.4"/>
    <n v="3077.48"/>
    <n v="3"/>
    <s v="Q1"/>
    <s v="Mar-2024"/>
    <n v="923.24399999999991"/>
    <n v="14464.155999999999"/>
    <x v="7"/>
  </r>
  <r>
    <s v="ORD00893"/>
    <x v="21"/>
    <x v="0"/>
    <n v="11134.83"/>
    <n v="5"/>
    <n v="55674.15"/>
    <d v="2024-10-09T00:00:00"/>
    <x v="5"/>
    <x v="3"/>
    <s v="October"/>
    <x v="0"/>
    <n v="11134.830000000002"/>
    <n v="22"/>
    <x v="1"/>
    <x v="0"/>
    <n v="55674.15"/>
    <n v="0"/>
    <n v="0.20000000000000004"/>
    <n v="11134.83"/>
    <n v="2226.9660000000003"/>
    <n v="10"/>
    <s v="Q4"/>
    <s v="Oct-2024"/>
    <n v="12248.313"/>
    <n v="43425.837"/>
    <x v="4"/>
  </r>
  <r>
    <s v="ORD00894"/>
    <x v="2"/>
    <x v="2"/>
    <n v="49835.85"/>
    <n v="3"/>
    <n v="149507.54999999999"/>
    <d v="2024-09-02T00:00:00"/>
    <x v="4"/>
    <x v="16"/>
    <s v="September"/>
    <x v="0"/>
    <n v="29901.51"/>
    <n v="19"/>
    <x v="1"/>
    <x v="1"/>
    <n v="149507.54999999999"/>
    <n v="0"/>
    <n v="0.2"/>
    <n v="49835.85"/>
    <n v="9967.17"/>
    <n v="9"/>
    <s v="Q3"/>
    <s v="Sep-2024"/>
    <n v="28406.434499999996"/>
    <n v="121101.11549999999"/>
    <x v="0"/>
  </r>
  <r>
    <s v="ORD00895"/>
    <x v="9"/>
    <x v="3"/>
    <n v="1002.29"/>
    <n v="1"/>
    <n v="1002.29"/>
    <d v="2025-01-08T00:00:00"/>
    <x v="1"/>
    <x v="23"/>
    <s v="January"/>
    <x v="1"/>
    <n v="200.458"/>
    <n v="23"/>
    <x v="1"/>
    <x v="0"/>
    <n v="1002.29"/>
    <n v="0"/>
    <n v="0.2"/>
    <n v="1002.29"/>
    <n v="200.458"/>
    <n v="1"/>
    <s v="Q1"/>
    <s v="Jan-2025"/>
    <n v="230.52669999999998"/>
    <n v="771.76329999999996"/>
    <x v="6"/>
  </r>
  <r>
    <s v="ORD00896"/>
    <x v="20"/>
    <x v="3"/>
    <n v="26448.240000000002"/>
    <n v="4"/>
    <n v="105792.96000000001"/>
    <d v="2024-07-20T00:00:00"/>
    <x v="5"/>
    <x v="12"/>
    <s v="July"/>
    <x v="0"/>
    <n v="21158.592000000004"/>
    <n v="6"/>
    <x v="2"/>
    <x v="0"/>
    <n v="105792.96000000001"/>
    <n v="0"/>
    <n v="0.20000000000000004"/>
    <n v="26448.240000000002"/>
    <n v="5289.648000000001"/>
    <n v="7"/>
    <s v="Q3"/>
    <s v="Jul-2024"/>
    <n v="6347.5776000000005"/>
    <n v="99445.382400000002"/>
    <x v="5"/>
  </r>
  <r>
    <s v="ORD00897"/>
    <x v="11"/>
    <x v="2"/>
    <n v="30650.46"/>
    <n v="5"/>
    <n v="153252.29999999999"/>
    <d v="2024-09-12T00:00:00"/>
    <x v="5"/>
    <x v="14"/>
    <s v="September"/>
    <x v="0"/>
    <n v="30650.46"/>
    <n v="24"/>
    <x v="2"/>
    <x v="0"/>
    <n v="153252.29999999999"/>
    <n v="0"/>
    <n v="0.2"/>
    <n v="30650.46"/>
    <n v="6130.0919999999996"/>
    <n v="9"/>
    <s v="Q3"/>
    <s v="Sep-2024"/>
    <n v="36780.551999999996"/>
    <n v="116471.74799999999"/>
    <x v="0"/>
  </r>
  <r>
    <s v="ORD00898"/>
    <x v="5"/>
    <x v="4"/>
    <n v="31978.03"/>
    <n v="2"/>
    <n v="63956.06"/>
    <d v="2024-05-19T00:00:00"/>
    <x v="4"/>
    <x v="13"/>
    <s v="May"/>
    <x v="0"/>
    <n v="12791.212"/>
    <n v="29"/>
    <x v="0"/>
    <x v="2"/>
    <n v="63956.06"/>
    <n v="0"/>
    <n v="0.2"/>
    <n v="31978.03"/>
    <n v="6395.6059999999998"/>
    <n v="5"/>
    <s v="Q2"/>
    <s v="May-2024"/>
    <n v="18547.257399999999"/>
    <n v="45408.802599999995"/>
    <x v="2"/>
  </r>
  <r>
    <s v="ORD00899"/>
    <x v="24"/>
    <x v="1"/>
    <n v="45516.21"/>
    <n v="1"/>
    <n v="45516.21"/>
    <d v="2024-07-19T00:00:00"/>
    <x v="1"/>
    <x v="34"/>
    <s v="July"/>
    <x v="0"/>
    <n v="9103.2420000000002"/>
    <n v="10"/>
    <x v="2"/>
    <x v="3"/>
    <n v="45516.21"/>
    <n v="0"/>
    <n v="0.2"/>
    <n v="45516.21"/>
    <n v="9103.2420000000002"/>
    <n v="7"/>
    <s v="Q3"/>
    <s v="Jul-2024"/>
    <n v="4551.6210000000001"/>
    <n v="40964.589"/>
    <x v="5"/>
  </r>
  <r>
    <s v="ORD00900"/>
    <x v="13"/>
    <x v="0"/>
    <n v="31922.03"/>
    <n v="1"/>
    <n v="31922.03"/>
    <d v="2024-05-21T00:00:00"/>
    <x v="5"/>
    <x v="15"/>
    <s v="May"/>
    <x v="0"/>
    <n v="6384.4059999999999"/>
    <n v="5"/>
    <x v="2"/>
    <x v="2"/>
    <n v="31922.03"/>
    <n v="0"/>
    <n v="0.2"/>
    <n v="31922.03"/>
    <n v="6384.4059999999999"/>
    <n v="5"/>
    <s v="Q2"/>
    <s v="May-2024"/>
    <n v="1596.1015"/>
    <n v="30325.928499999998"/>
    <x v="2"/>
  </r>
  <r>
    <s v="ORD00901"/>
    <x v="11"/>
    <x v="2"/>
    <n v="3481.52"/>
    <n v="3"/>
    <n v="10444.56"/>
    <d v="2024-08-04T00:00:00"/>
    <x v="5"/>
    <x v="19"/>
    <s v="August"/>
    <x v="0"/>
    <n v="2088.9119999999998"/>
    <n v="28"/>
    <x v="0"/>
    <x v="3"/>
    <n v="10444.56"/>
    <n v="0"/>
    <n v="0.19999999999999998"/>
    <n v="3481.52"/>
    <n v="696.30399999999997"/>
    <n v="8"/>
    <s v="Q3"/>
    <s v="Aug-2024"/>
    <n v="2924.4767999999999"/>
    <n v="7520.0831999999991"/>
    <x v="12"/>
  </r>
  <r>
    <s v="ORD00902"/>
    <x v="7"/>
    <x v="4"/>
    <n v="27507.360000000001"/>
    <n v="4"/>
    <n v="110029.44"/>
    <d v="2024-09-14T00:00:00"/>
    <x v="4"/>
    <x v="16"/>
    <s v="September"/>
    <x v="0"/>
    <n v="22005.888000000003"/>
    <n v="19"/>
    <x v="0"/>
    <x v="1"/>
    <n v="110029.44"/>
    <n v="0"/>
    <n v="0.2"/>
    <n v="27507.360000000001"/>
    <n v="5501.4720000000007"/>
    <n v="9"/>
    <s v="Q3"/>
    <s v="Sep-2024"/>
    <n v="20905.5936"/>
    <n v="89123.846400000009"/>
    <x v="0"/>
  </r>
  <r>
    <s v="ORD00903"/>
    <x v="7"/>
    <x v="4"/>
    <n v="34870.120000000003"/>
    <n v="5"/>
    <n v="174350.6"/>
    <d v="2025-01-23T00:00:00"/>
    <x v="0"/>
    <x v="29"/>
    <s v="January"/>
    <x v="1"/>
    <n v="34870.120000000003"/>
    <n v="27"/>
    <x v="0"/>
    <x v="0"/>
    <n v="174350.6"/>
    <n v="0"/>
    <n v="0.2"/>
    <n v="34870.120000000003"/>
    <n v="6974.0240000000003"/>
    <n v="1"/>
    <s v="Q1"/>
    <s v="Jan-2025"/>
    <n v="47074.662000000004"/>
    <n v="127275.93799999999"/>
    <x v="6"/>
  </r>
  <r>
    <s v="ORD00904"/>
    <x v="7"/>
    <x v="4"/>
    <n v="11540.73"/>
    <n v="1"/>
    <n v="11540.73"/>
    <d v="2024-08-08T00:00:00"/>
    <x v="2"/>
    <x v="22"/>
    <s v="August"/>
    <x v="0"/>
    <n v="2308.1460000000002"/>
    <n v="14"/>
    <x v="2"/>
    <x v="3"/>
    <n v="11540.73"/>
    <n v="0"/>
    <n v="0.2"/>
    <n v="11540.73"/>
    <n v="2308.1460000000002"/>
    <n v="8"/>
    <s v="Q3"/>
    <s v="Aug-2024"/>
    <n v="1615.7021999999999"/>
    <n v="9925.0277999999998"/>
    <x v="12"/>
  </r>
  <r>
    <s v="ORD00905"/>
    <x v="18"/>
    <x v="3"/>
    <n v="2926.8"/>
    <n v="4"/>
    <n v="11707.2"/>
    <d v="2024-02-19T00:00:00"/>
    <x v="4"/>
    <x v="10"/>
    <s v="February"/>
    <x v="0"/>
    <n v="2341.44"/>
    <n v="23"/>
    <x v="2"/>
    <x v="2"/>
    <n v="11707.2"/>
    <n v="0"/>
    <n v="0.19999999999999998"/>
    <n v="2926.8"/>
    <n v="585.36"/>
    <n v="2"/>
    <s v="Q1"/>
    <s v="Feb-2024"/>
    <n v="2692.6560000000004"/>
    <n v="9014.5439999999999"/>
    <x v="10"/>
  </r>
  <r>
    <s v="ORD00906"/>
    <x v="0"/>
    <x v="0"/>
    <n v="37341.949999999997"/>
    <n v="2"/>
    <n v="74683.899999999994"/>
    <d v="2024-10-02T00:00:00"/>
    <x v="0"/>
    <x v="38"/>
    <s v="October"/>
    <x v="0"/>
    <n v="14936.779999999999"/>
    <n v="21"/>
    <x v="0"/>
    <x v="0"/>
    <n v="74683.899999999994"/>
    <n v="0"/>
    <n v="0.2"/>
    <n v="37341.949999999997"/>
    <n v="7468.3899999999994"/>
    <n v="10"/>
    <s v="Q4"/>
    <s v="Oct-2024"/>
    <n v="15683.618999999999"/>
    <n v="59000.280999999995"/>
    <x v="4"/>
  </r>
  <r>
    <s v="ORD00907"/>
    <x v="7"/>
    <x v="4"/>
    <n v="30100.73"/>
    <n v="1"/>
    <n v="30100.73"/>
    <d v="2024-03-01T00:00:00"/>
    <x v="1"/>
    <x v="5"/>
    <s v="March"/>
    <x v="0"/>
    <n v="6020.1460000000006"/>
    <n v="9"/>
    <x v="1"/>
    <x v="1"/>
    <n v="30100.73"/>
    <n v="0"/>
    <n v="0.2"/>
    <n v="30100.73"/>
    <n v="6020.1460000000006"/>
    <n v="3"/>
    <s v="Q1"/>
    <s v="Mar-2024"/>
    <n v="2709.0657000000001"/>
    <n v="27391.6643"/>
    <x v="7"/>
  </r>
  <r>
    <s v="ORD00908"/>
    <x v="1"/>
    <x v="1"/>
    <n v="4442.1000000000004"/>
    <n v="3"/>
    <n v="13326.3"/>
    <d v="2024-03-29T00:00:00"/>
    <x v="0"/>
    <x v="18"/>
    <s v="March"/>
    <x v="0"/>
    <n v="2665.26"/>
    <n v="8"/>
    <x v="0"/>
    <x v="3"/>
    <n v="13326.300000000001"/>
    <n v="0"/>
    <n v="0.20000000000000004"/>
    <n v="4442.0999999999995"/>
    <n v="888.42000000000007"/>
    <n v="3"/>
    <s v="Q1"/>
    <s v="Mar-2024"/>
    <n v="1066.104"/>
    <n v="12260.196"/>
    <x v="7"/>
  </r>
  <r>
    <s v="ORD00909"/>
    <x v="16"/>
    <x v="4"/>
    <n v="18657.990000000002"/>
    <n v="5"/>
    <n v="93289.95"/>
    <d v="2025-01-02T00:00:00"/>
    <x v="5"/>
    <x v="5"/>
    <s v="January"/>
    <x v="1"/>
    <n v="18657.990000000002"/>
    <n v="14"/>
    <x v="1"/>
    <x v="3"/>
    <n v="93289.950000000012"/>
    <n v="0"/>
    <n v="0.2"/>
    <n v="18657.989999999998"/>
    <n v="3731.5980000000004"/>
    <n v="1"/>
    <s v="Q1"/>
    <s v="Jan-2025"/>
    <n v="13060.593000000001"/>
    <n v="80229.356999999989"/>
    <x v="6"/>
  </r>
  <r>
    <s v="ORD00910"/>
    <x v="19"/>
    <x v="2"/>
    <n v="41402.76"/>
    <n v="1"/>
    <n v="41402.76"/>
    <d v="2024-07-10T00:00:00"/>
    <x v="4"/>
    <x v="3"/>
    <s v="July"/>
    <x v="0"/>
    <n v="8280.5520000000015"/>
    <n v="28"/>
    <x v="1"/>
    <x v="3"/>
    <n v="41402.76"/>
    <n v="0"/>
    <n v="0.20000000000000004"/>
    <n v="41402.76"/>
    <n v="8280.5520000000015"/>
    <n v="7"/>
    <s v="Q3"/>
    <s v="Jul-2024"/>
    <n v="11592.772800000001"/>
    <n v="29809.987200000003"/>
    <x v="5"/>
  </r>
  <r>
    <s v="ORD00911"/>
    <x v="0"/>
    <x v="0"/>
    <n v="49796.61"/>
    <n v="1"/>
    <n v="49796.61"/>
    <d v="2024-10-25T00:00:00"/>
    <x v="3"/>
    <x v="27"/>
    <s v="October"/>
    <x v="0"/>
    <n v="9959.3220000000001"/>
    <n v="21"/>
    <x v="0"/>
    <x v="0"/>
    <n v="49796.61"/>
    <n v="0"/>
    <n v="0.2"/>
    <n v="49796.61"/>
    <n v="9959.3220000000001"/>
    <n v="10"/>
    <s v="Q4"/>
    <s v="Oct-2024"/>
    <n v="10457.2881"/>
    <n v="39339.321900000003"/>
    <x v="4"/>
  </r>
  <r>
    <s v="ORD00912"/>
    <x v="10"/>
    <x v="2"/>
    <n v="32712.91"/>
    <n v="2"/>
    <n v="65425.82"/>
    <d v="2024-05-03T00:00:00"/>
    <x v="5"/>
    <x v="24"/>
    <s v="May"/>
    <x v="0"/>
    <n v="13085.164000000001"/>
    <n v="14"/>
    <x v="0"/>
    <x v="2"/>
    <n v="65425.82"/>
    <n v="0"/>
    <n v="0.2"/>
    <n v="32712.91"/>
    <n v="6542.5820000000003"/>
    <n v="5"/>
    <s v="Q2"/>
    <s v="May-2024"/>
    <n v="9159.6147999999994"/>
    <n v="56266.205199999997"/>
    <x v="2"/>
  </r>
  <r>
    <s v="ORD00913"/>
    <x v="2"/>
    <x v="2"/>
    <n v="26281.98"/>
    <n v="1"/>
    <n v="26281.98"/>
    <d v="2024-06-24T00:00:00"/>
    <x v="0"/>
    <x v="17"/>
    <s v="June"/>
    <x v="0"/>
    <n v="5256.3960000000006"/>
    <n v="21"/>
    <x v="0"/>
    <x v="2"/>
    <n v="26281.98"/>
    <n v="0"/>
    <n v="0.20000000000000004"/>
    <n v="26281.98"/>
    <n v="5256.3960000000006"/>
    <n v="6"/>
    <s v="Q2"/>
    <s v="Jun-2024"/>
    <n v="5519.2157999999999"/>
    <n v="20762.764199999998"/>
    <x v="11"/>
  </r>
  <r>
    <s v="ORD00914"/>
    <x v="7"/>
    <x v="4"/>
    <n v="30805.88"/>
    <n v="5"/>
    <n v="154029.4"/>
    <d v="2024-06-15T00:00:00"/>
    <x v="4"/>
    <x v="19"/>
    <s v="June"/>
    <x v="0"/>
    <n v="30805.88"/>
    <n v="24"/>
    <x v="2"/>
    <x v="3"/>
    <n v="154029.4"/>
    <n v="0"/>
    <n v="0.2"/>
    <n v="30805.879999999997"/>
    <n v="6161.1760000000004"/>
    <n v="6"/>
    <s v="Q2"/>
    <s v="Jun-2024"/>
    <n v="36967.055999999997"/>
    <n v="117062.344"/>
    <x v="11"/>
  </r>
  <r>
    <s v="ORD00915"/>
    <x v="24"/>
    <x v="1"/>
    <n v="9045.23"/>
    <n v="5"/>
    <n v="45226.15"/>
    <d v="2024-07-04T00:00:00"/>
    <x v="3"/>
    <x v="33"/>
    <s v="July"/>
    <x v="0"/>
    <n v="9045.2300000000014"/>
    <n v="28"/>
    <x v="1"/>
    <x v="1"/>
    <n v="45226.149999999994"/>
    <n v="0"/>
    <n v="0.2"/>
    <n v="9045.23"/>
    <n v="1809.0460000000003"/>
    <n v="7"/>
    <s v="Q3"/>
    <s v="Jul-2024"/>
    <n v="12663.322"/>
    <n v="32562.828000000001"/>
    <x v="5"/>
  </r>
  <r>
    <s v="ORD00916"/>
    <x v="20"/>
    <x v="3"/>
    <n v="16003.38"/>
    <n v="2"/>
    <n v="32006.76"/>
    <d v="2024-09-13T00:00:00"/>
    <x v="1"/>
    <x v="27"/>
    <s v="September"/>
    <x v="0"/>
    <n v="6401.3519999999999"/>
    <n v="9"/>
    <x v="2"/>
    <x v="1"/>
    <n v="32006.76"/>
    <n v="0"/>
    <n v="0.2"/>
    <n v="16003.38"/>
    <n v="3200.6759999999999"/>
    <n v="9"/>
    <s v="Q3"/>
    <s v="Sep-2024"/>
    <n v="2880.6083999999996"/>
    <n v="29126.151599999997"/>
    <x v="0"/>
  </r>
  <r>
    <s v="ORD00917"/>
    <x v="1"/>
    <x v="1"/>
    <n v="35139.53"/>
    <n v="1"/>
    <n v="35139.53"/>
    <d v="2024-05-19T00:00:00"/>
    <x v="2"/>
    <x v="36"/>
    <s v="May"/>
    <x v="0"/>
    <n v="7027.9059999999999"/>
    <n v="6"/>
    <x v="2"/>
    <x v="2"/>
    <n v="35139.53"/>
    <n v="0"/>
    <n v="0.2"/>
    <n v="35139.53"/>
    <n v="7027.9059999999999"/>
    <n v="5"/>
    <s v="Q2"/>
    <s v="May-2024"/>
    <n v="2108.3717999999999"/>
    <n v="33031.158199999998"/>
    <x v="2"/>
  </r>
  <r>
    <s v="ORD00918"/>
    <x v="21"/>
    <x v="0"/>
    <n v="13640.1"/>
    <n v="4"/>
    <n v="54560.4"/>
    <d v="2024-04-10T00:00:00"/>
    <x v="2"/>
    <x v="26"/>
    <s v="April"/>
    <x v="0"/>
    <n v="10912.080000000002"/>
    <n v="10"/>
    <x v="0"/>
    <x v="1"/>
    <n v="54560.4"/>
    <n v="0"/>
    <n v="0.20000000000000004"/>
    <n v="13640.1"/>
    <n v="2728.0200000000004"/>
    <n v="4"/>
    <s v="Q2"/>
    <s v="Apr-2024"/>
    <n v="5456.04"/>
    <n v="49104.36"/>
    <x v="9"/>
  </r>
  <r>
    <s v="ORD00919"/>
    <x v="4"/>
    <x v="4"/>
    <n v="5535.76"/>
    <n v="2"/>
    <n v="11071.52"/>
    <d v="2025-02-04T00:00:00"/>
    <x v="1"/>
    <x v="22"/>
    <s v="February"/>
    <x v="1"/>
    <n v="2214.3040000000001"/>
    <n v="25"/>
    <x v="2"/>
    <x v="2"/>
    <n v="11071.52"/>
    <n v="0"/>
    <n v="0.2"/>
    <n v="5535.76"/>
    <n v="1107.152"/>
    <n v="2"/>
    <s v="Q1"/>
    <s v="Feb-2025"/>
    <n v="2767.88"/>
    <n v="8303.64"/>
    <x v="8"/>
  </r>
  <r>
    <s v="ORD00920"/>
    <x v="5"/>
    <x v="4"/>
    <n v="1039.1099999999999"/>
    <n v="4"/>
    <n v="4156.4399999999996"/>
    <d v="2024-10-17T00:00:00"/>
    <x v="4"/>
    <x v="28"/>
    <s v="October"/>
    <x v="0"/>
    <n v="831.28800000000001"/>
    <n v="6"/>
    <x v="0"/>
    <x v="3"/>
    <n v="4156.4399999999996"/>
    <n v="0"/>
    <n v="0.2"/>
    <n v="1039.1099999999999"/>
    <n v="207.822"/>
    <n v="10"/>
    <s v="Q4"/>
    <s v="Oct-2024"/>
    <n v="249.38639999999998"/>
    <n v="3907.0535999999997"/>
    <x v="4"/>
  </r>
  <r>
    <s v="ORD00921"/>
    <x v="7"/>
    <x v="4"/>
    <n v="41169.65"/>
    <n v="5"/>
    <n v="205848.25"/>
    <d v="2024-12-15T00:00:00"/>
    <x v="4"/>
    <x v="29"/>
    <s v="December"/>
    <x v="0"/>
    <n v="41169.65"/>
    <n v="17"/>
    <x v="1"/>
    <x v="2"/>
    <n v="205848.25"/>
    <n v="0"/>
    <n v="0.2"/>
    <n v="41169.65"/>
    <n v="8233.93"/>
    <n v="12"/>
    <s v="Q4"/>
    <s v="Dec-2024"/>
    <n v="34994.202499999999"/>
    <n v="170854.04749999999"/>
    <x v="1"/>
  </r>
  <r>
    <s v="ORD00922"/>
    <x v="18"/>
    <x v="3"/>
    <n v="21472.14"/>
    <n v="2"/>
    <n v="42944.28"/>
    <d v="2024-09-08T00:00:00"/>
    <x v="0"/>
    <x v="20"/>
    <s v="September"/>
    <x v="0"/>
    <n v="8588.8559999999998"/>
    <n v="15"/>
    <x v="0"/>
    <x v="2"/>
    <n v="42944.28"/>
    <n v="0"/>
    <n v="0.2"/>
    <n v="21472.14"/>
    <n v="4294.4279999999999"/>
    <n v="9"/>
    <s v="Q3"/>
    <s v="Sep-2024"/>
    <n v="6441.6419999999998"/>
    <n v="36502.637999999999"/>
    <x v="0"/>
  </r>
  <r>
    <s v="ORD00923"/>
    <x v="13"/>
    <x v="0"/>
    <n v="7936.7"/>
    <n v="5"/>
    <n v="39683.5"/>
    <d v="2024-12-10T00:00:00"/>
    <x v="0"/>
    <x v="4"/>
    <s v="December"/>
    <x v="0"/>
    <n v="7936.7000000000007"/>
    <n v="15"/>
    <x v="2"/>
    <x v="3"/>
    <n v="39683.5"/>
    <n v="0"/>
    <n v="0.2"/>
    <n v="7936.7"/>
    <n v="1587.3400000000001"/>
    <n v="12"/>
    <s v="Q4"/>
    <s v="Dec-2024"/>
    <n v="5952.5249999999996"/>
    <n v="33730.974999999999"/>
    <x v="1"/>
  </r>
  <r>
    <s v="ORD00924"/>
    <x v="8"/>
    <x v="1"/>
    <n v="23939.919999999998"/>
    <n v="3"/>
    <n v="71819.759999999995"/>
    <d v="2024-12-10T00:00:00"/>
    <x v="5"/>
    <x v="37"/>
    <s v="December"/>
    <x v="0"/>
    <n v="14363.951999999999"/>
    <n v="20"/>
    <x v="2"/>
    <x v="1"/>
    <n v="71819.759999999995"/>
    <n v="0"/>
    <n v="0.2"/>
    <n v="23939.919999999998"/>
    <n v="4787.9839999999995"/>
    <n v="12"/>
    <s v="Q4"/>
    <s v="Dec-2024"/>
    <n v="14363.951999999999"/>
    <n v="57455.807999999997"/>
    <x v="1"/>
  </r>
  <r>
    <s v="ORD00925"/>
    <x v="1"/>
    <x v="1"/>
    <n v="47480.71"/>
    <n v="5"/>
    <n v="237403.55"/>
    <d v="2024-09-09T00:00:00"/>
    <x v="1"/>
    <x v="4"/>
    <s v="September"/>
    <x v="0"/>
    <n v="47480.71"/>
    <n v="15"/>
    <x v="0"/>
    <x v="2"/>
    <n v="237403.55"/>
    <n v="0"/>
    <n v="0.2"/>
    <n v="47480.71"/>
    <n v="9496.1419999999998"/>
    <n v="9"/>
    <s v="Q3"/>
    <s v="Sep-2024"/>
    <n v="35610.532500000001"/>
    <n v="201793.01749999999"/>
    <x v="0"/>
  </r>
  <r>
    <s v="ORD00926"/>
    <x v="23"/>
    <x v="4"/>
    <n v="8058.4"/>
    <n v="3"/>
    <n v="24175.200000000001"/>
    <d v="2024-11-28T00:00:00"/>
    <x v="5"/>
    <x v="36"/>
    <s v="November"/>
    <x v="0"/>
    <n v="4835.04"/>
    <n v="23"/>
    <x v="0"/>
    <x v="2"/>
    <n v="24175.199999999997"/>
    <n v="0"/>
    <n v="0.19999999999999998"/>
    <n v="8058.4000000000005"/>
    <n v="1611.68"/>
    <n v="11"/>
    <s v="Q4"/>
    <s v="Nov-2024"/>
    <n v="5560.2959999999994"/>
    <n v="18614.904000000002"/>
    <x v="3"/>
  </r>
  <r>
    <s v="ORD00927"/>
    <x v="19"/>
    <x v="2"/>
    <n v="32369.52"/>
    <n v="2"/>
    <n v="64739.040000000001"/>
    <d v="2025-01-27T00:00:00"/>
    <x v="0"/>
    <x v="29"/>
    <s v="January"/>
    <x v="1"/>
    <n v="12947.808000000001"/>
    <n v="19"/>
    <x v="2"/>
    <x v="3"/>
    <n v="64739.040000000001"/>
    <n v="0"/>
    <n v="0.2"/>
    <n v="32369.52"/>
    <n v="6473.9040000000005"/>
    <n v="1"/>
    <s v="Q1"/>
    <s v="Jan-2025"/>
    <n v="12300.417600000001"/>
    <n v="52438.6224"/>
    <x v="6"/>
  </r>
  <r>
    <s v="ORD00928"/>
    <x v="1"/>
    <x v="1"/>
    <n v="29604.77"/>
    <n v="4"/>
    <n v="118419.08"/>
    <d v="2024-05-06T00:00:00"/>
    <x v="2"/>
    <x v="13"/>
    <s v="May"/>
    <x v="0"/>
    <n v="23683.816000000003"/>
    <n v="29"/>
    <x v="1"/>
    <x v="1"/>
    <n v="118419.08"/>
    <n v="0"/>
    <n v="0.2"/>
    <n v="29604.77"/>
    <n v="5920.9540000000006"/>
    <n v="5"/>
    <s v="Q2"/>
    <s v="May-2024"/>
    <n v="34341.533199999998"/>
    <n v="84077.546800000011"/>
    <x v="2"/>
  </r>
  <r>
    <s v="ORD00929"/>
    <x v="8"/>
    <x v="1"/>
    <n v="19927.72"/>
    <n v="2"/>
    <n v="39855.440000000002"/>
    <d v="2024-06-07T00:00:00"/>
    <x v="4"/>
    <x v="13"/>
    <s v="June"/>
    <x v="0"/>
    <n v="7971.0880000000006"/>
    <n v="27"/>
    <x v="1"/>
    <x v="2"/>
    <n v="39855.440000000002"/>
    <n v="0"/>
    <n v="0.2"/>
    <n v="19927.72"/>
    <n v="3985.5440000000003"/>
    <n v="6"/>
    <s v="Q2"/>
    <s v="Jun-2024"/>
    <n v="10760.968800000001"/>
    <n v="29094.4712"/>
    <x v="11"/>
  </r>
  <r>
    <s v="ORD00930"/>
    <x v="13"/>
    <x v="0"/>
    <n v="42170.48"/>
    <n v="1"/>
    <n v="42170.48"/>
    <d v="2024-10-29T00:00:00"/>
    <x v="1"/>
    <x v="2"/>
    <s v="October"/>
    <x v="0"/>
    <n v="8434.0960000000014"/>
    <n v="27"/>
    <x v="0"/>
    <x v="3"/>
    <n v="42170.48"/>
    <n v="0"/>
    <n v="0.2"/>
    <n v="42170.48"/>
    <n v="8434.0960000000014"/>
    <n v="10"/>
    <s v="Q4"/>
    <s v="Oct-2024"/>
    <n v="11386.029600000002"/>
    <n v="30784.450400000002"/>
    <x v="4"/>
  </r>
  <r>
    <s v="ORD00931"/>
    <x v="24"/>
    <x v="1"/>
    <n v="15950.41"/>
    <n v="5"/>
    <n v="79752.05"/>
    <d v="2024-12-06T00:00:00"/>
    <x v="3"/>
    <x v="39"/>
    <s v="December"/>
    <x v="0"/>
    <n v="15950.410000000002"/>
    <n v="20"/>
    <x v="1"/>
    <x v="2"/>
    <n v="79752.05"/>
    <n v="0"/>
    <n v="0.2"/>
    <n v="15950.41"/>
    <n v="3190.0820000000003"/>
    <n v="12"/>
    <s v="Q4"/>
    <s v="Dec-2024"/>
    <n v="15950.41"/>
    <n v="63801.64"/>
    <x v="1"/>
  </r>
  <r>
    <s v="ORD00932"/>
    <x v="21"/>
    <x v="0"/>
    <n v="791.45"/>
    <n v="4"/>
    <n v="3165.8"/>
    <d v="2024-03-21T00:00:00"/>
    <x v="4"/>
    <x v="12"/>
    <s v="March"/>
    <x v="0"/>
    <n v="633.16000000000008"/>
    <n v="15"/>
    <x v="2"/>
    <x v="0"/>
    <n v="3165.8"/>
    <n v="0"/>
    <n v="0.2"/>
    <n v="791.45"/>
    <n v="158.29000000000002"/>
    <n v="3"/>
    <s v="Q1"/>
    <s v="Mar-2024"/>
    <n v="474.87"/>
    <n v="2690.9300000000003"/>
    <x v="7"/>
  </r>
  <r>
    <s v="ORD00933"/>
    <x v="1"/>
    <x v="1"/>
    <n v="28534.99"/>
    <n v="3"/>
    <n v="85604.97"/>
    <d v="2024-08-15T00:00:00"/>
    <x v="5"/>
    <x v="31"/>
    <s v="August"/>
    <x v="0"/>
    <n v="17120.994000000002"/>
    <n v="26"/>
    <x v="0"/>
    <x v="3"/>
    <n v="85604.97"/>
    <n v="0"/>
    <n v="0.20000000000000004"/>
    <n v="28534.99"/>
    <n v="5706.9980000000005"/>
    <n v="8"/>
    <s v="Q3"/>
    <s v="Aug-2024"/>
    <n v="22257.292200000004"/>
    <n v="63347.677799999998"/>
    <x v="12"/>
  </r>
  <r>
    <s v="ORD00934"/>
    <x v="5"/>
    <x v="4"/>
    <n v="13371.43"/>
    <n v="4"/>
    <n v="53485.72"/>
    <d v="2024-06-06T00:00:00"/>
    <x v="5"/>
    <x v="12"/>
    <s v="June"/>
    <x v="0"/>
    <n v="10697.144"/>
    <n v="20"/>
    <x v="2"/>
    <x v="1"/>
    <n v="53485.72"/>
    <n v="0"/>
    <n v="0.2"/>
    <n v="13371.43"/>
    <n v="2674.2860000000001"/>
    <n v="6"/>
    <s v="Q2"/>
    <s v="Jun-2024"/>
    <n v="10697.143999999998"/>
    <n v="42788.576000000001"/>
    <x v="11"/>
  </r>
  <r>
    <s v="ORD00935"/>
    <x v="18"/>
    <x v="3"/>
    <n v="48073.8"/>
    <n v="4"/>
    <n v="192295.2"/>
    <d v="2024-10-03T00:00:00"/>
    <x v="4"/>
    <x v="27"/>
    <s v="October"/>
    <x v="0"/>
    <n v="38459.040000000001"/>
    <n v="12"/>
    <x v="2"/>
    <x v="1"/>
    <n v="192295.2"/>
    <n v="0"/>
    <n v="0.19999999999999998"/>
    <n v="48073.8"/>
    <n v="9614.76"/>
    <n v="10"/>
    <s v="Q4"/>
    <s v="Oct-2024"/>
    <n v="23075.424000000003"/>
    <n v="169219.77600000001"/>
    <x v="4"/>
  </r>
  <r>
    <s v="ORD00936"/>
    <x v="21"/>
    <x v="0"/>
    <n v="15240.16"/>
    <n v="5"/>
    <n v="76200.800000000003"/>
    <d v="2024-06-14T00:00:00"/>
    <x v="5"/>
    <x v="22"/>
    <s v="June"/>
    <x v="0"/>
    <n v="15240.160000000002"/>
    <n v="8"/>
    <x v="1"/>
    <x v="1"/>
    <n v="76200.800000000003"/>
    <n v="0"/>
    <n v="0.2"/>
    <n v="15240.16"/>
    <n v="3048.0320000000002"/>
    <n v="6"/>
    <s v="Q2"/>
    <s v="Jun-2024"/>
    <n v="6096.0640000000003"/>
    <n v="70104.736000000004"/>
    <x v="11"/>
  </r>
  <r>
    <s v="ORD00937"/>
    <x v="13"/>
    <x v="0"/>
    <n v="11216.38"/>
    <n v="5"/>
    <n v="56081.9"/>
    <d v="2024-03-11T00:00:00"/>
    <x v="3"/>
    <x v="18"/>
    <s v="March"/>
    <x v="0"/>
    <n v="11216.380000000001"/>
    <n v="12"/>
    <x v="0"/>
    <x v="1"/>
    <n v="56081.899999999994"/>
    <n v="0"/>
    <n v="0.2"/>
    <n v="11216.380000000001"/>
    <n v="2243.2760000000003"/>
    <n v="3"/>
    <s v="Q1"/>
    <s v="Mar-2024"/>
    <n v="6729.8280000000004"/>
    <n v="49352.072"/>
    <x v="7"/>
  </r>
  <r>
    <s v="ORD00938"/>
    <x v="21"/>
    <x v="0"/>
    <n v="540.63"/>
    <n v="3"/>
    <n v="1621.89"/>
    <d v="2024-04-12T00:00:00"/>
    <x v="3"/>
    <x v="0"/>
    <s v="April"/>
    <x v="0"/>
    <n v="324.37800000000004"/>
    <n v="8"/>
    <x v="0"/>
    <x v="2"/>
    <n v="1621.8899999999999"/>
    <n v="0"/>
    <n v="0.2"/>
    <n v="540.63"/>
    <n v="108.12600000000002"/>
    <n v="4"/>
    <s v="Q2"/>
    <s v="Apr-2024"/>
    <n v="129.75120000000001"/>
    <n v="1492.1388000000002"/>
    <x v="9"/>
  </r>
  <r>
    <s v="ORD00939"/>
    <x v="3"/>
    <x v="3"/>
    <n v="19845.72"/>
    <n v="3"/>
    <n v="59537.16"/>
    <d v="2024-05-08T00:00:00"/>
    <x v="3"/>
    <x v="9"/>
    <s v="May"/>
    <x v="0"/>
    <n v="11907.432000000001"/>
    <n v="28"/>
    <x v="1"/>
    <x v="2"/>
    <n v="59537.16"/>
    <n v="0"/>
    <n v="0.2"/>
    <n v="19845.72"/>
    <n v="3969.1440000000002"/>
    <n v="5"/>
    <s v="Q2"/>
    <s v="May-2024"/>
    <n v="16670.4048"/>
    <n v="42866.7552"/>
    <x v="2"/>
  </r>
  <r>
    <s v="ORD00940"/>
    <x v="8"/>
    <x v="1"/>
    <n v="31486.57"/>
    <n v="1"/>
    <n v="31486.57"/>
    <d v="2024-08-16T00:00:00"/>
    <x v="2"/>
    <x v="32"/>
    <s v="August"/>
    <x v="0"/>
    <n v="6297.3140000000003"/>
    <n v="29"/>
    <x v="2"/>
    <x v="1"/>
    <n v="31486.57"/>
    <n v="0"/>
    <n v="0.2"/>
    <n v="31486.57"/>
    <n v="6297.3140000000003"/>
    <n v="8"/>
    <s v="Q3"/>
    <s v="Aug-2024"/>
    <n v="9131.1053000000011"/>
    <n v="22355.464699999997"/>
    <x v="12"/>
  </r>
  <r>
    <s v="ORD00941"/>
    <x v="3"/>
    <x v="3"/>
    <n v="47899.72"/>
    <n v="2"/>
    <n v="95799.44"/>
    <d v="2024-07-10T00:00:00"/>
    <x v="3"/>
    <x v="9"/>
    <s v="July"/>
    <x v="0"/>
    <n v="19159.888000000003"/>
    <n v="7"/>
    <x v="2"/>
    <x v="1"/>
    <n v="95799.44"/>
    <n v="0"/>
    <n v="0.2"/>
    <n v="47899.72"/>
    <n v="9579.9440000000013"/>
    <n v="7"/>
    <s v="Q3"/>
    <s v="Jul-2024"/>
    <n v="6705.9608000000007"/>
    <n v="89093.479200000002"/>
    <x v="5"/>
  </r>
  <r>
    <s v="ORD00942"/>
    <x v="0"/>
    <x v="0"/>
    <n v="39842.15"/>
    <n v="5"/>
    <n v="199210.75"/>
    <d v="2025-01-17T00:00:00"/>
    <x v="0"/>
    <x v="38"/>
    <s v="January"/>
    <x v="1"/>
    <n v="39842.15"/>
    <n v="7"/>
    <x v="2"/>
    <x v="1"/>
    <n v="199210.75"/>
    <n v="0"/>
    <n v="0.2"/>
    <n v="39842.15"/>
    <n v="7968.43"/>
    <n v="1"/>
    <s v="Q1"/>
    <s v="Jan-2025"/>
    <n v="13944.752500000001"/>
    <n v="185265.9975"/>
    <x v="6"/>
  </r>
  <r>
    <s v="ORD00943"/>
    <x v="6"/>
    <x v="1"/>
    <n v="46101.14"/>
    <n v="2"/>
    <n v="92202.28"/>
    <d v="2024-03-01T00:00:00"/>
    <x v="5"/>
    <x v="9"/>
    <s v="March"/>
    <x v="0"/>
    <n v="18440.456000000002"/>
    <n v="22"/>
    <x v="2"/>
    <x v="2"/>
    <n v="92202.28"/>
    <n v="0"/>
    <n v="0.2"/>
    <n v="46101.14"/>
    <n v="9220.228000000001"/>
    <n v="3"/>
    <s v="Q1"/>
    <s v="Mar-2024"/>
    <n v="20284.5016"/>
    <n v="71917.778399999996"/>
    <x v="7"/>
  </r>
  <r>
    <s v="ORD00944"/>
    <x v="21"/>
    <x v="0"/>
    <n v="46563.35"/>
    <n v="5"/>
    <n v="232816.75"/>
    <d v="2024-05-08T00:00:00"/>
    <x v="0"/>
    <x v="12"/>
    <s v="May"/>
    <x v="0"/>
    <n v="46563.350000000006"/>
    <n v="30"/>
    <x v="0"/>
    <x v="1"/>
    <n v="232816.75"/>
    <n v="0"/>
    <n v="0.20000000000000004"/>
    <n v="46563.35"/>
    <n v="9312.6700000000019"/>
    <n v="5"/>
    <s v="Q2"/>
    <s v="May-2024"/>
    <n v="69845.024999999994"/>
    <n v="162971.72500000001"/>
    <x v="2"/>
  </r>
  <r>
    <s v="ORD00945"/>
    <x v="9"/>
    <x v="3"/>
    <n v="35922.639999999999"/>
    <n v="4"/>
    <n v="143690.56"/>
    <d v="2024-02-17T00:00:00"/>
    <x v="1"/>
    <x v="4"/>
    <s v="February"/>
    <x v="0"/>
    <n v="28738.112000000001"/>
    <n v="23"/>
    <x v="0"/>
    <x v="1"/>
    <n v="143690.56"/>
    <n v="0"/>
    <n v="0.2"/>
    <n v="35922.639999999999"/>
    <n v="7184.5280000000002"/>
    <n v="2"/>
    <s v="Q1"/>
    <s v="Feb-2024"/>
    <n v="33048.828799999996"/>
    <n v="110641.73120000001"/>
    <x v="10"/>
  </r>
  <r>
    <s v="ORD00946"/>
    <x v="18"/>
    <x v="3"/>
    <n v="33745.33"/>
    <n v="1"/>
    <n v="33745.33"/>
    <d v="2025-01-13T00:00:00"/>
    <x v="3"/>
    <x v="29"/>
    <s v="January"/>
    <x v="1"/>
    <n v="6749.0660000000007"/>
    <n v="23"/>
    <x v="1"/>
    <x v="0"/>
    <n v="33745.33"/>
    <n v="0"/>
    <n v="0.2"/>
    <n v="33745.33"/>
    <n v="6749.0660000000007"/>
    <n v="1"/>
    <s v="Q1"/>
    <s v="Jan-2025"/>
    <n v="7761.4259000000011"/>
    <n v="25983.9041"/>
    <x v="6"/>
  </r>
  <r>
    <s v="ORD00947"/>
    <x v="24"/>
    <x v="1"/>
    <n v="22870.53"/>
    <n v="5"/>
    <n v="114352.65"/>
    <d v="2024-06-20T00:00:00"/>
    <x v="3"/>
    <x v="23"/>
    <s v="June"/>
    <x v="0"/>
    <n v="22870.53"/>
    <n v="25"/>
    <x v="1"/>
    <x v="0"/>
    <n v="114352.65"/>
    <n v="0"/>
    <n v="0.2"/>
    <n v="22870.53"/>
    <n v="4574.1059999999998"/>
    <n v="6"/>
    <s v="Q2"/>
    <s v="Jun-2024"/>
    <n v="28588.162499999999"/>
    <n v="85764.487499999988"/>
    <x v="11"/>
  </r>
  <r>
    <s v="ORD00948"/>
    <x v="23"/>
    <x v="4"/>
    <n v="29715.31"/>
    <n v="2"/>
    <n v="59430.62"/>
    <d v="2024-04-12T00:00:00"/>
    <x v="3"/>
    <x v="0"/>
    <s v="April"/>
    <x v="0"/>
    <n v="11886.124000000002"/>
    <n v="9"/>
    <x v="0"/>
    <x v="1"/>
    <n v="59430.62"/>
    <n v="0"/>
    <n v="0.2"/>
    <n v="29715.31"/>
    <n v="5943.0620000000008"/>
    <n v="4"/>
    <s v="Q2"/>
    <s v="Apr-2024"/>
    <n v="5348.7558000000008"/>
    <n v="54081.864200000004"/>
    <x v="9"/>
  </r>
  <r>
    <s v="ORD00949"/>
    <x v="1"/>
    <x v="1"/>
    <n v="15543.65"/>
    <n v="4"/>
    <n v="62174.6"/>
    <d v="2024-05-31T00:00:00"/>
    <x v="4"/>
    <x v="29"/>
    <s v="May"/>
    <x v="0"/>
    <n v="12434.92"/>
    <n v="22"/>
    <x v="0"/>
    <x v="3"/>
    <n v="62174.6"/>
    <n v="0"/>
    <n v="0.2"/>
    <n v="15543.65"/>
    <n v="3108.73"/>
    <n v="5"/>
    <s v="Q2"/>
    <s v="May-2024"/>
    <n v="13678.412"/>
    <n v="48496.187999999995"/>
    <x v="2"/>
  </r>
  <r>
    <s v="ORD00950"/>
    <x v="12"/>
    <x v="3"/>
    <n v="8234.32"/>
    <n v="2"/>
    <n v="16468.64"/>
    <d v="2024-06-02T00:00:00"/>
    <x v="0"/>
    <x v="30"/>
    <s v="June"/>
    <x v="0"/>
    <n v="3293.7280000000001"/>
    <n v="14"/>
    <x v="2"/>
    <x v="1"/>
    <n v="16468.64"/>
    <n v="0"/>
    <n v="0.2"/>
    <n v="8234.32"/>
    <n v="1646.864"/>
    <n v="6"/>
    <s v="Q2"/>
    <s v="Jun-2024"/>
    <n v="2305.6095999999998"/>
    <n v="14163.0304"/>
    <x v="11"/>
  </r>
  <r>
    <s v="ORD00951"/>
    <x v="15"/>
    <x v="1"/>
    <n v="959.63"/>
    <n v="1"/>
    <n v="959.63"/>
    <d v="2024-11-21T00:00:00"/>
    <x v="2"/>
    <x v="14"/>
    <s v="November"/>
    <x v="0"/>
    <n v="191.92600000000002"/>
    <n v="26"/>
    <x v="2"/>
    <x v="0"/>
    <n v="959.63"/>
    <n v="0"/>
    <n v="0.2"/>
    <n v="959.63"/>
    <n v="191.92600000000002"/>
    <n v="11"/>
    <s v="Q4"/>
    <s v="Nov-2024"/>
    <n v="249.50380000000001"/>
    <n v="710.12619999999993"/>
    <x v="3"/>
  </r>
  <r>
    <s v="ORD00952"/>
    <x v="2"/>
    <x v="2"/>
    <n v="34969.69"/>
    <n v="5"/>
    <n v="174848.45"/>
    <d v="2024-03-30T00:00:00"/>
    <x v="5"/>
    <x v="9"/>
    <s v="March"/>
    <x v="0"/>
    <n v="34969.69"/>
    <n v="25"/>
    <x v="1"/>
    <x v="3"/>
    <n v="174848.45"/>
    <n v="0"/>
    <n v="0.2"/>
    <n v="34969.69"/>
    <n v="6993.9380000000001"/>
    <n v="3"/>
    <s v="Q1"/>
    <s v="Mar-2024"/>
    <n v="43712.112500000003"/>
    <n v="131136.33750000002"/>
    <x v="7"/>
  </r>
  <r>
    <s v="ORD00953"/>
    <x v="20"/>
    <x v="3"/>
    <n v="46553.58"/>
    <n v="3"/>
    <n v="139660.74"/>
    <d v="2025-01-04T00:00:00"/>
    <x v="3"/>
    <x v="10"/>
    <s v="January"/>
    <x v="1"/>
    <n v="27932.148000000001"/>
    <n v="10"/>
    <x v="0"/>
    <x v="3"/>
    <n v="139660.74"/>
    <n v="0"/>
    <n v="0.2"/>
    <n v="46553.579999999994"/>
    <n v="9310.7160000000003"/>
    <n v="1"/>
    <s v="Q1"/>
    <s v="Jan-2025"/>
    <n v="13966.073999999999"/>
    <n v="125694.666"/>
    <x v="6"/>
  </r>
  <r>
    <s v="ORD00954"/>
    <x v="2"/>
    <x v="2"/>
    <n v="33472.93"/>
    <n v="1"/>
    <n v="33472.93"/>
    <d v="2024-05-29T00:00:00"/>
    <x v="4"/>
    <x v="20"/>
    <s v="May"/>
    <x v="0"/>
    <n v="6694.5860000000002"/>
    <n v="5"/>
    <x v="1"/>
    <x v="1"/>
    <n v="33472.93"/>
    <n v="0"/>
    <n v="0.2"/>
    <n v="33472.93"/>
    <n v="6694.5860000000002"/>
    <n v="5"/>
    <s v="Q2"/>
    <s v="May-2024"/>
    <n v="1673.6464999999998"/>
    <n v="31799.283500000001"/>
    <x v="2"/>
  </r>
  <r>
    <s v="ORD00955"/>
    <x v="12"/>
    <x v="3"/>
    <n v="29781.11"/>
    <n v="2"/>
    <n v="59562.22"/>
    <d v="2024-03-08T00:00:00"/>
    <x v="0"/>
    <x v="22"/>
    <s v="March"/>
    <x v="0"/>
    <n v="11912.444000000001"/>
    <n v="9"/>
    <x v="0"/>
    <x v="0"/>
    <n v="59562.22"/>
    <n v="0"/>
    <n v="0.2"/>
    <n v="29781.11"/>
    <n v="5956.2220000000007"/>
    <n v="3"/>
    <s v="Q1"/>
    <s v="Mar-2024"/>
    <n v="5360.5998"/>
    <n v="54201.620200000005"/>
    <x v="7"/>
  </r>
  <r>
    <s v="ORD00956"/>
    <x v="4"/>
    <x v="4"/>
    <n v="30564.98"/>
    <n v="3"/>
    <n v="91694.94"/>
    <d v="2024-07-14T00:00:00"/>
    <x v="0"/>
    <x v="28"/>
    <s v="July"/>
    <x v="0"/>
    <n v="18338.988000000001"/>
    <n v="13"/>
    <x v="2"/>
    <x v="0"/>
    <n v="91694.94"/>
    <n v="0"/>
    <n v="0.2"/>
    <n v="30564.98"/>
    <n v="6112.9960000000001"/>
    <n v="7"/>
    <s v="Q3"/>
    <s v="Jul-2024"/>
    <n v="11920.342199999999"/>
    <n v="79774.597800000003"/>
    <x v="5"/>
  </r>
  <r>
    <s v="ORD00957"/>
    <x v="6"/>
    <x v="1"/>
    <n v="42407.519999999997"/>
    <n v="2"/>
    <n v="84815.039999999994"/>
    <d v="2024-05-26T00:00:00"/>
    <x v="0"/>
    <x v="25"/>
    <s v="May"/>
    <x v="0"/>
    <n v="16963.007999999998"/>
    <n v="16"/>
    <x v="1"/>
    <x v="3"/>
    <n v="84815.039999999994"/>
    <n v="0"/>
    <n v="0.19999999999999998"/>
    <n v="42407.519999999997"/>
    <n v="8481.503999999999"/>
    <n v="5"/>
    <s v="Q2"/>
    <s v="May-2024"/>
    <n v="13570.4064"/>
    <n v="71244.633600000001"/>
    <x v="2"/>
  </r>
  <r>
    <s v="ORD00958"/>
    <x v="21"/>
    <x v="0"/>
    <n v="10435.030000000001"/>
    <n v="1"/>
    <n v="10435.030000000001"/>
    <d v="2024-09-23T00:00:00"/>
    <x v="0"/>
    <x v="4"/>
    <s v="September"/>
    <x v="0"/>
    <n v="2087.0060000000003"/>
    <n v="30"/>
    <x v="1"/>
    <x v="1"/>
    <n v="10435.030000000001"/>
    <n v="0"/>
    <n v="0.2"/>
    <n v="10435.030000000001"/>
    <n v="2087.0060000000003"/>
    <n v="9"/>
    <s v="Q3"/>
    <s v="Sep-2024"/>
    <n v="3130.509"/>
    <n v="7304.5210000000006"/>
    <x v="0"/>
  </r>
  <r>
    <s v="ORD00959"/>
    <x v="20"/>
    <x v="3"/>
    <n v="35278.46"/>
    <n v="3"/>
    <n v="105835.38"/>
    <d v="2024-08-27T00:00:00"/>
    <x v="3"/>
    <x v="12"/>
    <s v="August"/>
    <x v="0"/>
    <n v="21167.076000000001"/>
    <n v="18"/>
    <x v="0"/>
    <x v="2"/>
    <n v="105835.38"/>
    <n v="0"/>
    <n v="0.2"/>
    <n v="35278.46"/>
    <n v="7055.692"/>
    <n v="8"/>
    <s v="Q3"/>
    <s v="Aug-2024"/>
    <n v="19050.368399999999"/>
    <n v="86785.011599999998"/>
    <x v="12"/>
  </r>
  <r>
    <s v="ORD00960"/>
    <x v="12"/>
    <x v="3"/>
    <n v="34844.54"/>
    <n v="3"/>
    <n v="104533.62"/>
    <d v="2024-09-26T00:00:00"/>
    <x v="4"/>
    <x v="38"/>
    <s v="September"/>
    <x v="0"/>
    <n v="20906.724000000002"/>
    <n v="6"/>
    <x v="2"/>
    <x v="2"/>
    <n v="104533.62"/>
    <n v="0"/>
    <n v="0.20000000000000004"/>
    <n v="34844.54"/>
    <n v="6968.9080000000004"/>
    <n v="9"/>
    <s v="Q3"/>
    <s v="Sep-2024"/>
    <n v="6272.0171999999993"/>
    <n v="98261.602799999993"/>
    <x v="0"/>
  </r>
  <r>
    <s v="ORD00961"/>
    <x v="13"/>
    <x v="0"/>
    <n v="31159.759999999998"/>
    <n v="5"/>
    <n v="155798.79999999999"/>
    <d v="2025-01-25T00:00:00"/>
    <x v="2"/>
    <x v="19"/>
    <s v="January"/>
    <x v="1"/>
    <n v="31159.759999999998"/>
    <n v="21"/>
    <x v="1"/>
    <x v="0"/>
    <n v="155798.79999999999"/>
    <n v="0"/>
    <n v="0.2"/>
    <n v="31159.759999999998"/>
    <n v="6231.9519999999993"/>
    <n v="1"/>
    <s v="Q1"/>
    <s v="Jan-2025"/>
    <n v="32717.748"/>
    <n v="123081.052"/>
    <x v="6"/>
  </r>
  <r>
    <s v="ORD00962"/>
    <x v="24"/>
    <x v="1"/>
    <n v="27369.17"/>
    <n v="4"/>
    <n v="109476.68"/>
    <d v="2024-09-11T00:00:00"/>
    <x v="1"/>
    <x v="0"/>
    <s v="September"/>
    <x v="0"/>
    <n v="21895.335999999999"/>
    <n v="18"/>
    <x v="2"/>
    <x v="2"/>
    <n v="109476.68"/>
    <n v="0"/>
    <n v="0.2"/>
    <n v="27369.17"/>
    <n v="5473.8339999999998"/>
    <n v="9"/>
    <s v="Q3"/>
    <s v="Sep-2024"/>
    <n v="19705.802399999997"/>
    <n v="89770.877599999993"/>
    <x v="0"/>
  </r>
  <r>
    <s v="ORD00963"/>
    <x v="11"/>
    <x v="2"/>
    <n v="47055.28"/>
    <n v="1"/>
    <n v="47055.28"/>
    <d v="2024-06-16T00:00:00"/>
    <x v="4"/>
    <x v="32"/>
    <s v="June"/>
    <x v="0"/>
    <n v="9411.0560000000005"/>
    <n v="30"/>
    <x v="1"/>
    <x v="0"/>
    <n v="47055.28"/>
    <n v="0"/>
    <n v="0.2"/>
    <n v="47055.28"/>
    <n v="9411.0560000000005"/>
    <n v="6"/>
    <s v="Q2"/>
    <s v="Jun-2024"/>
    <n v="14116.583999999999"/>
    <n v="32938.695999999996"/>
    <x v="11"/>
  </r>
  <r>
    <s v="ORD00964"/>
    <x v="18"/>
    <x v="3"/>
    <n v="30706.15"/>
    <n v="4"/>
    <n v="122824.6"/>
    <d v="2024-08-06T00:00:00"/>
    <x v="1"/>
    <x v="36"/>
    <s v="August"/>
    <x v="0"/>
    <n v="24564.920000000002"/>
    <n v="17"/>
    <x v="2"/>
    <x v="0"/>
    <n v="122824.6"/>
    <n v="0"/>
    <n v="0.2"/>
    <n v="30706.15"/>
    <n v="6141.2300000000005"/>
    <n v="8"/>
    <s v="Q3"/>
    <s v="Aug-2024"/>
    <n v="20880.182000000001"/>
    <n v="101944.41800000001"/>
    <x v="12"/>
  </r>
  <r>
    <s v="ORD00965"/>
    <x v="17"/>
    <x v="2"/>
    <n v="659.73"/>
    <n v="4"/>
    <n v="2638.92"/>
    <d v="2024-12-08T00:00:00"/>
    <x v="1"/>
    <x v="0"/>
    <s v="December"/>
    <x v="0"/>
    <n v="527.78399999999999"/>
    <n v="13"/>
    <x v="0"/>
    <x v="0"/>
    <n v="2638.92"/>
    <n v="0"/>
    <n v="0.19999999999999998"/>
    <n v="659.73"/>
    <n v="131.946"/>
    <n v="12"/>
    <s v="Q4"/>
    <s v="Dec-2024"/>
    <n v="343.05959999999999"/>
    <n v="2295.8604"/>
    <x v="1"/>
  </r>
  <r>
    <s v="ORD00966"/>
    <x v="10"/>
    <x v="2"/>
    <n v="14341.13"/>
    <n v="4"/>
    <n v="57364.52"/>
    <d v="2024-06-28T00:00:00"/>
    <x v="4"/>
    <x v="39"/>
    <s v="June"/>
    <x v="0"/>
    <n v="11472.904"/>
    <n v="30"/>
    <x v="1"/>
    <x v="2"/>
    <n v="57364.52"/>
    <n v="0"/>
    <n v="0.2"/>
    <n v="14341.13"/>
    <n v="2868.2260000000001"/>
    <n v="6"/>
    <s v="Q2"/>
    <s v="Jun-2024"/>
    <n v="17209.356"/>
    <n v="40155.163999999997"/>
    <x v="11"/>
  </r>
  <r>
    <s v="ORD00967"/>
    <x v="0"/>
    <x v="0"/>
    <n v="22923.93"/>
    <n v="4"/>
    <n v="91695.72"/>
    <d v="2024-12-10T00:00:00"/>
    <x v="3"/>
    <x v="29"/>
    <s v="December"/>
    <x v="0"/>
    <n v="18339.144"/>
    <n v="29"/>
    <x v="1"/>
    <x v="0"/>
    <n v="91695.72"/>
    <n v="0"/>
    <n v="0.2"/>
    <n v="22923.93"/>
    <n v="4584.7860000000001"/>
    <n v="12"/>
    <s v="Q4"/>
    <s v="Dec-2024"/>
    <n v="26591.7588"/>
    <n v="65103.961200000005"/>
    <x v="1"/>
  </r>
  <r>
    <s v="ORD00968"/>
    <x v="7"/>
    <x v="4"/>
    <n v="20766.47"/>
    <n v="2"/>
    <n v="41532.94"/>
    <d v="2024-04-23T00:00:00"/>
    <x v="3"/>
    <x v="31"/>
    <s v="April"/>
    <x v="0"/>
    <n v="8306.5880000000016"/>
    <n v="19"/>
    <x v="2"/>
    <x v="3"/>
    <n v="41532.94"/>
    <n v="0"/>
    <n v="0.20000000000000004"/>
    <n v="20766.47"/>
    <n v="4153.2940000000008"/>
    <n v="4"/>
    <s v="Q2"/>
    <s v="Apr-2024"/>
    <n v="7891.258600000001"/>
    <n v="33641.681400000001"/>
    <x v="9"/>
  </r>
  <r>
    <s v="ORD00969"/>
    <x v="18"/>
    <x v="3"/>
    <n v="36615.730000000003"/>
    <n v="5"/>
    <n v="183078.65"/>
    <d v="2024-04-10T00:00:00"/>
    <x v="5"/>
    <x v="6"/>
    <s v="April"/>
    <x v="0"/>
    <n v="36615.730000000003"/>
    <n v="29"/>
    <x v="2"/>
    <x v="1"/>
    <n v="183078.65000000002"/>
    <n v="0"/>
    <n v="0.2"/>
    <n v="36615.729999999996"/>
    <n v="7323.1460000000006"/>
    <n v="4"/>
    <s v="Q2"/>
    <s v="Apr-2024"/>
    <n v="53092.808499999999"/>
    <n v="129985.84149999999"/>
    <x v="9"/>
  </r>
  <r>
    <s v="ORD00970"/>
    <x v="15"/>
    <x v="1"/>
    <n v="879.25"/>
    <n v="4"/>
    <n v="3517"/>
    <d v="2024-09-07T00:00:00"/>
    <x v="2"/>
    <x v="35"/>
    <s v="September"/>
    <x v="0"/>
    <n v="703.40000000000009"/>
    <n v="26"/>
    <x v="1"/>
    <x v="1"/>
    <n v="3517"/>
    <n v="0"/>
    <n v="0.20000000000000004"/>
    <n v="879.25"/>
    <n v="175.85000000000002"/>
    <n v="9"/>
    <s v="Q3"/>
    <s v="Sep-2024"/>
    <n v="914.42"/>
    <n v="2602.58"/>
    <x v="0"/>
  </r>
  <r>
    <s v="ORD00971"/>
    <x v="16"/>
    <x v="4"/>
    <n v="8571.5499999999993"/>
    <n v="4"/>
    <n v="34286.199999999997"/>
    <d v="2025-01-12T00:00:00"/>
    <x v="2"/>
    <x v="1"/>
    <s v="January"/>
    <x v="1"/>
    <n v="6857.24"/>
    <n v="19"/>
    <x v="0"/>
    <x v="0"/>
    <n v="34286.199999999997"/>
    <n v="0"/>
    <n v="0.2"/>
    <n v="8571.5499999999993"/>
    <n v="1714.31"/>
    <n v="1"/>
    <s v="Q1"/>
    <s v="Jan-2025"/>
    <n v="6514.3779999999997"/>
    <n v="27771.821999999996"/>
    <x v="6"/>
  </r>
  <r>
    <s v="ORD00972"/>
    <x v="20"/>
    <x v="3"/>
    <n v="23125.33"/>
    <n v="5"/>
    <n v="115626.65"/>
    <d v="2025-01-19T00:00:00"/>
    <x v="0"/>
    <x v="13"/>
    <s v="January"/>
    <x v="1"/>
    <n v="23125.33"/>
    <n v="28"/>
    <x v="2"/>
    <x v="1"/>
    <n v="115626.65000000001"/>
    <n v="0"/>
    <n v="0.20000000000000004"/>
    <n v="23125.329999999998"/>
    <n v="4625.0660000000007"/>
    <n v="1"/>
    <s v="Q1"/>
    <s v="Jan-2025"/>
    <n v="32375.461999999996"/>
    <n v="83251.187999999995"/>
    <x v="6"/>
  </r>
  <r>
    <s v="ORD00973"/>
    <x v="0"/>
    <x v="0"/>
    <n v="5712.21"/>
    <n v="3"/>
    <n v="17136.63"/>
    <d v="2024-09-11T00:00:00"/>
    <x v="1"/>
    <x v="22"/>
    <s v="September"/>
    <x v="0"/>
    <n v="3427.3260000000005"/>
    <n v="15"/>
    <x v="2"/>
    <x v="2"/>
    <n v="17136.63"/>
    <n v="0"/>
    <n v="0.2"/>
    <n v="5712.21"/>
    <n v="1142.4420000000002"/>
    <n v="9"/>
    <s v="Q3"/>
    <s v="Sep-2024"/>
    <n v="2570.4945000000002"/>
    <n v="14566.1355"/>
    <x v="0"/>
  </r>
  <r>
    <s v="ORD00974"/>
    <x v="15"/>
    <x v="1"/>
    <n v="1434.23"/>
    <n v="2"/>
    <n v="2868.46"/>
    <d v="2024-03-24T00:00:00"/>
    <x v="1"/>
    <x v="0"/>
    <s v="March"/>
    <x v="0"/>
    <n v="573.69200000000001"/>
    <n v="20"/>
    <x v="2"/>
    <x v="2"/>
    <n v="2868.46"/>
    <n v="0"/>
    <n v="0.2"/>
    <n v="1434.23"/>
    <n v="286.846"/>
    <n v="3"/>
    <s v="Q1"/>
    <s v="Mar-2024"/>
    <n v="573.69200000000001"/>
    <n v="2294.768"/>
    <x v="7"/>
  </r>
  <r>
    <s v="ORD00975"/>
    <x v="21"/>
    <x v="0"/>
    <n v="43163.16"/>
    <n v="2"/>
    <n v="86326.32"/>
    <d v="2024-12-09T00:00:00"/>
    <x v="0"/>
    <x v="30"/>
    <s v="December"/>
    <x v="0"/>
    <n v="17265.264000000003"/>
    <n v="21"/>
    <x v="1"/>
    <x v="1"/>
    <n v="86326.32"/>
    <n v="0"/>
    <n v="0.2"/>
    <n v="43163.16"/>
    <n v="8632.6320000000014"/>
    <n v="12"/>
    <s v="Q4"/>
    <s v="Dec-2024"/>
    <n v="18128.5272"/>
    <n v="68197.79280000001"/>
    <x v="1"/>
  </r>
  <r>
    <s v="ORD00976"/>
    <x v="23"/>
    <x v="4"/>
    <n v="38545.29"/>
    <n v="1"/>
    <n v="38545.29"/>
    <d v="2024-09-06T00:00:00"/>
    <x v="2"/>
    <x v="11"/>
    <s v="September"/>
    <x v="0"/>
    <n v="7709.0580000000009"/>
    <n v="30"/>
    <x v="1"/>
    <x v="2"/>
    <n v="38545.29"/>
    <n v="0"/>
    <n v="0.2"/>
    <n v="38545.29"/>
    <n v="7709.0580000000009"/>
    <n v="9"/>
    <s v="Q3"/>
    <s v="Sep-2024"/>
    <n v="11563.587"/>
    <n v="26981.703000000001"/>
    <x v="0"/>
  </r>
  <r>
    <s v="ORD00977"/>
    <x v="11"/>
    <x v="2"/>
    <n v="8188.18"/>
    <n v="2"/>
    <n v="16376.36"/>
    <d v="2024-08-15T00:00:00"/>
    <x v="2"/>
    <x v="11"/>
    <s v="August"/>
    <x v="0"/>
    <n v="3275.2720000000004"/>
    <n v="8"/>
    <x v="1"/>
    <x v="1"/>
    <n v="16376.36"/>
    <n v="0"/>
    <n v="0.2"/>
    <n v="8188.18"/>
    <n v="1637.6360000000002"/>
    <n v="8"/>
    <s v="Q3"/>
    <s v="Aug-2024"/>
    <n v="1310.1088"/>
    <n v="15066.251200000001"/>
    <x v="12"/>
  </r>
  <r>
    <s v="ORD00978"/>
    <x v="7"/>
    <x v="4"/>
    <n v="35763.480000000003"/>
    <n v="4"/>
    <n v="143053.92000000001"/>
    <d v="2024-12-27T00:00:00"/>
    <x v="1"/>
    <x v="13"/>
    <s v="December"/>
    <x v="0"/>
    <n v="28610.784000000003"/>
    <n v="5"/>
    <x v="1"/>
    <x v="1"/>
    <n v="143053.92000000001"/>
    <n v="0"/>
    <n v="0.2"/>
    <n v="35763.480000000003"/>
    <n v="7152.6960000000008"/>
    <n v="12"/>
    <s v="Q4"/>
    <s v="Dec-2024"/>
    <n v="7152.6960000000008"/>
    <n v="135901.22400000002"/>
    <x v="1"/>
  </r>
  <r>
    <s v="ORD00979"/>
    <x v="4"/>
    <x v="4"/>
    <n v="10818.91"/>
    <n v="2"/>
    <n v="21637.82"/>
    <d v="2024-08-01T00:00:00"/>
    <x v="2"/>
    <x v="31"/>
    <s v="August"/>
    <x v="0"/>
    <n v="4327.5640000000003"/>
    <n v="12"/>
    <x v="0"/>
    <x v="1"/>
    <n v="21637.82"/>
    <n v="0"/>
    <n v="0.2"/>
    <n v="10818.91"/>
    <n v="2163.7820000000002"/>
    <n v="8"/>
    <s v="Q3"/>
    <s v="Aug-2024"/>
    <n v="2596.5383999999999"/>
    <n v="19041.281599999998"/>
    <x v="12"/>
  </r>
  <r>
    <s v="ORD00980"/>
    <x v="10"/>
    <x v="2"/>
    <n v="35506.410000000003"/>
    <n v="5"/>
    <n v="177532.05"/>
    <d v="2024-02-28T00:00:00"/>
    <x v="2"/>
    <x v="12"/>
    <s v="February"/>
    <x v="0"/>
    <n v="35506.409999999996"/>
    <n v="21"/>
    <x v="0"/>
    <x v="0"/>
    <n v="177532.05000000002"/>
    <n v="0"/>
    <n v="0.19999999999999998"/>
    <n v="35506.409999999996"/>
    <n v="7101.2819999999992"/>
    <n v="2"/>
    <s v="Q1"/>
    <s v="Feb-2024"/>
    <n v="37281.730499999998"/>
    <n v="140250.31949999998"/>
    <x v="10"/>
  </r>
  <r>
    <s v="ORD00981"/>
    <x v="9"/>
    <x v="3"/>
    <n v="19010.38"/>
    <n v="5"/>
    <n v="95051.9"/>
    <d v="2024-07-28T00:00:00"/>
    <x v="2"/>
    <x v="39"/>
    <s v="July"/>
    <x v="0"/>
    <n v="19010.38"/>
    <n v="7"/>
    <x v="1"/>
    <x v="1"/>
    <n v="95051.900000000009"/>
    <n v="0"/>
    <n v="0.2"/>
    <n v="19010.379999999997"/>
    <n v="3802.076"/>
    <n v="7"/>
    <s v="Q3"/>
    <s v="Jul-2024"/>
    <n v="6653.6329999999989"/>
    <n v="88398.266999999993"/>
    <x v="5"/>
  </r>
  <r>
    <s v="ORD00982"/>
    <x v="21"/>
    <x v="0"/>
    <n v="29678.85"/>
    <n v="3"/>
    <n v="89036.55"/>
    <d v="2024-10-25T00:00:00"/>
    <x v="1"/>
    <x v="36"/>
    <s v="October"/>
    <x v="0"/>
    <n v="17807.310000000001"/>
    <n v="24"/>
    <x v="0"/>
    <x v="0"/>
    <n v="89036.549999999988"/>
    <n v="0"/>
    <n v="0.2"/>
    <n v="29678.850000000002"/>
    <n v="5935.77"/>
    <n v="10"/>
    <s v="Q4"/>
    <s v="Oct-2024"/>
    <n v="21368.772000000001"/>
    <n v="67667.778000000006"/>
    <x v="4"/>
  </r>
  <r>
    <s v="ORD00983"/>
    <x v="13"/>
    <x v="0"/>
    <n v="5412.9"/>
    <n v="5"/>
    <n v="27064.5"/>
    <d v="2024-06-30T00:00:00"/>
    <x v="3"/>
    <x v="37"/>
    <s v="June"/>
    <x v="0"/>
    <n v="5412.9000000000015"/>
    <n v="19"/>
    <x v="2"/>
    <x v="1"/>
    <n v="27064.5"/>
    <n v="0"/>
    <n v="0.20000000000000007"/>
    <n v="5412.9"/>
    <n v="1082.5800000000004"/>
    <n v="6"/>
    <s v="Q2"/>
    <s v="Jun-2024"/>
    <n v="5142.2550000000001"/>
    <n v="21922.244999999999"/>
    <x v="11"/>
  </r>
  <r>
    <s v="ORD00984"/>
    <x v="1"/>
    <x v="1"/>
    <n v="22890.95"/>
    <n v="3"/>
    <n v="68672.850000000006"/>
    <d v="2024-11-30T00:00:00"/>
    <x v="4"/>
    <x v="32"/>
    <s v="November"/>
    <x v="0"/>
    <n v="13734.570000000002"/>
    <n v="19"/>
    <x v="2"/>
    <x v="1"/>
    <n v="68672.850000000006"/>
    <n v="0"/>
    <n v="0.2"/>
    <n v="22890.95"/>
    <n v="4578.1900000000005"/>
    <n v="11"/>
    <s v="Q4"/>
    <s v="Nov-2024"/>
    <n v="13047.841500000002"/>
    <n v="55625.008500000004"/>
    <x v="3"/>
  </r>
  <r>
    <s v="ORD00985"/>
    <x v="1"/>
    <x v="1"/>
    <n v="40905.69"/>
    <n v="5"/>
    <n v="204528.45"/>
    <d v="2025-01-27T00:00:00"/>
    <x v="3"/>
    <x v="30"/>
    <s v="January"/>
    <x v="1"/>
    <n v="40905.69"/>
    <n v="28"/>
    <x v="2"/>
    <x v="1"/>
    <n v="204528.45"/>
    <n v="0"/>
    <n v="0.2"/>
    <n v="40905.69"/>
    <n v="8181.1380000000008"/>
    <n v="1"/>
    <s v="Q1"/>
    <s v="Jan-2025"/>
    <n v="57267.966000000008"/>
    <n v="147260.484"/>
    <x v="6"/>
  </r>
  <r>
    <s v="ORD00986"/>
    <x v="16"/>
    <x v="4"/>
    <n v="17253.669999999998"/>
    <n v="3"/>
    <n v="51761.01"/>
    <d v="2024-11-24T00:00:00"/>
    <x v="0"/>
    <x v="33"/>
    <s v="November"/>
    <x v="0"/>
    <n v="10352.202000000001"/>
    <n v="26"/>
    <x v="1"/>
    <x v="2"/>
    <n v="51761.009999999995"/>
    <n v="0"/>
    <n v="0.2"/>
    <n v="17253.670000000002"/>
    <n v="3450.7340000000004"/>
    <n v="11"/>
    <s v="Q4"/>
    <s v="Nov-2024"/>
    <n v="13457.8626"/>
    <n v="38303.147400000002"/>
    <x v="3"/>
  </r>
  <r>
    <s v="ORD00987"/>
    <x v="0"/>
    <x v="0"/>
    <n v="27920.2"/>
    <n v="5"/>
    <n v="139601"/>
    <d v="2024-02-14T00:00:00"/>
    <x v="2"/>
    <x v="29"/>
    <s v="February"/>
    <x v="0"/>
    <n v="27920.2"/>
    <n v="18"/>
    <x v="2"/>
    <x v="0"/>
    <n v="139601"/>
    <n v="0"/>
    <n v="0.2"/>
    <n v="27920.2"/>
    <n v="5584.04"/>
    <n v="2"/>
    <s v="Q1"/>
    <s v="Feb-2024"/>
    <n v="25128.18"/>
    <n v="114472.82"/>
    <x v="10"/>
  </r>
  <r>
    <s v="ORD00988"/>
    <x v="8"/>
    <x v="1"/>
    <n v="46055.88"/>
    <n v="5"/>
    <n v="230279.4"/>
    <d v="2024-12-06T00:00:00"/>
    <x v="3"/>
    <x v="24"/>
    <s v="December"/>
    <x v="0"/>
    <n v="46055.880000000005"/>
    <n v="30"/>
    <x v="0"/>
    <x v="0"/>
    <n v="230279.4"/>
    <n v="0"/>
    <n v="0.20000000000000004"/>
    <n v="46055.88"/>
    <n v="9211.1760000000013"/>
    <n v="12"/>
    <s v="Q4"/>
    <s v="Dec-2024"/>
    <n v="69083.820000000007"/>
    <n v="161195.57999999999"/>
    <x v="1"/>
  </r>
  <r>
    <s v="ORD00989"/>
    <x v="3"/>
    <x v="3"/>
    <n v="49569.3"/>
    <n v="4"/>
    <n v="198277.2"/>
    <d v="2024-05-11T00:00:00"/>
    <x v="3"/>
    <x v="12"/>
    <s v="May"/>
    <x v="0"/>
    <n v="39655.440000000002"/>
    <n v="27"/>
    <x v="1"/>
    <x v="1"/>
    <n v="198277.2"/>
    <n v="0"/>
    <n v="0.2"/>
    <n v="49569.3"/>
    <n v="9913.86"/>
    <n v="5"/>
    <s v="Q2"/>
    <s v="May-2024"/>
    <n v="53534.844000000005"/>
    <n v="144742.356"/>
    <x v="2"/>
  </r>
  <r>
    <s v="ORD00990"/>
    <x v="0"/>
    <x v="0"/>
    <n v="35948.160000000003"/>
    <n v="5"/>
    <n v="179740.79999999999"/>
    <d v="2024-10-30T00:00:00"/>
    <x v="2"/>
    <x v="15"/>
    <s v="October"/>
    <x v="0"/>
    <n v="35948.159999999996"/>
    <n v="18"/>
    <x v="0"/>
    <x v="1"/>
    <n v="179740.80000000002"/>
    <n v="0"/>
    <n v="0.19999999999999998"/>
    <n v="35948.159999999996"/>
    <n v="7189.6319999999996"/>
    <n v="10"/>
    <s v="Q4"/>
    <s v="Oct-2024"/>
    <n v="32353.343999999997"/>
    <n v="147387.45600000001"/>
    <x v="4"/>
  </r>
  <r>
    <s v="ORD00991"/>
    <x v="21"/>
    <x v="0"/>
    <n v="9189.91"/>
    <n v="5"/>
    <n v="45949.55"/>
    <d v="2024-07-28T00:00:00"/>
    <x v="2"/>
    <x v="35"/>
    <s v="July"/>
    <x v="0"/>
    <n v="9189.9100000000017"/>
    <n v="28"/>
    <x v="2"/>
    <x v="2"/>
    <n v="45949.55"/>
    <n v="0"/>
    <n v="0.2"/>
    <n v="9189.91"/>
    <n v="1837.9820000000004"/>
    <n v="7"/>
    <s v="Q3"/>
    <s v="Jul-2024"/>
    <n v="12865.874000000002"/>
    <n v="33083.675999999999"/>
    <x v="5"/>
  </r>
  <r>
    <s v="ORD00992"/>
    <x v="5"/>
    <x v="4"/>
    <n v="6075.65"/>
    <n v="2"/>
    <n v="12151.3"/>
    <d v="2024-03-06T00:00:00"/>
    <x v="4"/>
    <x v="37"/>
    <s v="March"/>
    <x v="0"/>
    <n v="2430.2599999999998"/>
    <n v="6"/>
    <x v="2"/>
    <x v="2"/>
    <n v="12151.3"/>
    <n v="0"/>
    <n v="0.19999999999999998"/>
    <n v="6075.65"/>
    <n v="1215.1299999999999"/>
    <n v="3"/>
    <s v="Q1"/>
    <s v="Mar-2024"/>
    <n v="729.07799999999986"/>
    <n v="11422.222"/>
    <x v="7"/>
  </r>
  <r>
    <s v="ORD00993"/>
    <x v="5"/>
    <x v="4"/>
    <n v="25511.46"/>
    <n v="2"/>
    <n v="51022.92"/>
    <d v="2024-11-27T00:00:00"/>
    <x v="5"/>
    <x v="13"/>
    <s v="November"/>
    <x v="0"/>
    <n v="10204.584000000001"/>
    <n v="17"/>
    <x v="2"/>
    <x v="2"/>
    <n v="51022.92"/>
    <n v="0"/>
    <n v="0.2"/>
    <n v="25511.46"/>
    <n v="5102.2920000000004"/>
    <n v="11"/>
    <s v="Q4"/>
    <s v="Nov-2024"/>
    <n v="8673.8963999999996"/>
    <n v="42349.0236"/>
    <x v="3"/>
  </r>
  <r>
    <s v="ORD00994"/>
    <x v="5"/>
    <x v="4"/>
    <n v="5815.52"/>
    <n v="4"/>
    <n v="23262.080000000002"/>
    <d v="2024-10-12T00:00:00"/>
    <x v="1"/>
    <x v="21"/>
    <s v="October"/>
    <x v="0"/>
    <n v="4652.4160000000002"/>
    <n v="30"/>
    <x v="1"/>
    <x v="0"/>
    <n v="23262.080000000002"/>
    <n v="0"/>
    <n v="0.19999999999999998"/>
    <n v="5815.52"/>
    <n v="1163.104"/>
    <n v="10"/>
    <s v="Q4"/>
    <s v="Oct-2024"/>
    <n v="6978.6239999999998"/>
    <n v="16283.456000000002"/>
    <x v="4"/>
  </r>
  <r>
    <s v="ORD00995"/>
    <x v="6"/>
    <x v="1"/>
    <n v="11479.89"/>
    <n v="3"/>
    <n v="34439.67"/>
    <d v="2024-07-30T00:00:00"/>
    <x v="5"/>
    <x v="15"/>
    <s v="July"/>
    <x v="0"/>
    <n v="6887.9340000000002"/>
    <n v="18"/>
    <x v="0"/>
    <x v="0"/>
    <n v="34439.67"/>
    <n v="0"/>
    <n v="0.2"/>
    <n v="11479.89"/>
    <n v="2295.9780000000001"/>
    <n v="7"/>
    <s v="Q3"/>
    <s v="Jul-2024"/>
    <n v="6199.1405999999997"/>
    <n v="28240.529399999999"/>
    <x v="5"/>
  </r>
  <r>
    <s v="ORD00996"/>
    <x v="12"/>
    <x v="3"/>
    <n v="28995.81"/>
    <n v="3"/>
    <n v="86987.43"/>
    <d v="2025-01-13T00:00:00"/>
    <x v="3"/>
    <x v="40"/>
    <s v="January"/>
    <x v="1"/>
    <n v="17397.486000000001"/>
    <n v="28"/>
    <x v="1"/>
    <x v="0"/>
    <n v="86987.430000000008"/>
    <n v="0"/>
    <n v="0.20000000000000004"/>
    <n v="28995.809999999998"/>
    <n v="5799.1620000000003"/>
    <n v="1"/>
    <s v="Q1"/>
    <s v="Jan-2025"/>
    <n v="24356.4804"/>
    <n v="62630.949599999993"/>
    <x v="6"/>
  </r>
  <r>
    <s v="ORD00997"/>
    <x v="10"/>
    <x v="2"/>
    <n v="32799.51"/>
    <n v="2"/>
    <n v="65599.02"/>
    <d v="2024-12-18T00:00:00"/>
    <x v="2"/>
    <x v="7"/>
    <s v="December"/>
    <x v="0"/>
    <n v="13119.804000000002"/>
    <n v="23"/>
    <x v="1"/>
    <x v="1"/>
    <n v="65599.02"/>
    <n v="0"/>
    <n v="0.2"/>
    <n v="32799.51"/>
    <n v="6559.902000000001"/>
    <n v="12"/>
    <s v="Q4"/>
    <s v="Dec-2024"/>
    <n v="15087.774600000002"/>
    <n v="50511.2454"/>
    <x v="1"/>
  </r>
  <r>
    <s v="ORD00998"/>
    <x v="2"/>
    <x v="2"/>
    <n v="40840.800000000003"/>
    <n v="1"/>
    <n v="40840.800000000003"/>
    <d v="2024-07-26T00:00:00"/>
    <x v="1"/>
    <x v="4"/>
    <s v="July"/>
    <x v="0"/>
    <n v="8168.1600000000008"/>
    <n v="11"/>
    <x v="2"/>
    <x v="0"/>
    <n v="40840.800000000003"/>
    <n v="0"/>
    <n v="0.2"/>
    <n v="40840.800000000003"/>
    <n v="8168.1600000000008"/>
    <n v="7"/>
    <s v="Q3"/>
    <s v="Jul-2024"/>
    <n v="4492.4880000000003"/>
    <n v="36348.312000000005"/>
    <x v="5"/>
  </r>
  <r>
    <s v="ORD00999"/>
    <x v="4"/>
    <x v="4"/>
    <n v="34741.79"/>
    <n v="4"/>
    <n v="138967.16"/>
    <d v="2024-10-02T00:00:00"/>
    <x v="5"/>
    <x v="3"/>
    <s v="October"/>
    <x v="0"/>
    <n v="27793.432000000001"/>
    <n v="7"/>
    <x v="1"/>
    <x v="3"/>
    <n v="138967.16"/>
    <n v="0"/>
    <n v="0.2"/>
    <n v="34741.79"/>
    <n v="6948.3580000000002"/>
    <n v="10"/>
    <s v="Q4"/>
    <s v="Oct-2024"/>
    <n v="9727.7011999999995"/>
    <n v="129239.45880000001"/>
    <x v="4"/>
  </r>
  <r>
    <s v="ORD01000"/>
    <x v="7"/>
    <x v="4"/>
    <n v="16698.12"/>
    <n v="4"/>
    <n v="66792.479999999996"/>
    <d v="2024-03-26T00:00:00"/>
    <x v="4"/>
    <x v="14"/>
    <s v="March"/>
    <x v="0"/>
    <n v="13358.495999999999"/>
    <n v="19"/>
    <x v="1"/>
    <x v="3"/>
    <n v="66792.479999999996"/>
    <n v="0"/>
    <n v="0.2"/>
    <n v="16698.12"/>
    <n v="3339.6239999999998"/>
    <n v="3"/>
    <s v="Q1"/>
    <s v="Mar-2024"/>
    <n v="12690.571199999998"/>
    <n v="54101.908799999997"/>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4BC217-5A85-421C-BBF2-D9BDBF38487F}"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39:J46" firstHeaderRow="1" firstDataRow="2" firstDataCol="1"/>
  <pivotFields count="29">
    <pivotField showAll="0"/>
    <pivotField showAll="0"/>
    <pivotField axis="axisRow" showAll="0">
      <items count="6">
        <item x="2"/>
        <item x="0"/>
        <item x="1"/>
        <item x="3"/>
        <item x="4"/>
        <item t="default"/>
      </items>
    </pivotField>
    <pivotField numFmtId="2" showAll="0"/>
    <pivotField numFmtId="1" showAll="0"/>
    <pivotField dataField="1" numFmtId="2" showAll="0"/>
    <pivotField numFmtId="14" showAll="0"/>
    <pivotField showAll="0">
      <items count="7">
        <item x="3"/>
        <item x="4"/>
        <item x="0"/>
        <item x="5"/>
        <item x="1"/>
        <item x="2"/>
        <item t="default"/>
      </items>
    </pivotField>
    <pivotField showAll="0"/>
    <pivotField showAll="0"/>
    <pivotField showAll="0">
      <items count="3">
        <item x="0"/>
        <item x="1"/>
        <item t="default"/>
      </items>
    </pivotField>
    <pivotField showAll="0"/>
    <pivotField showAll="0"/>
    <pivotField axis="axisCol" showAll="0">
      <items count="4">
        <item x="0"/>
        <item x="2"/>
        <item x="1"/>
        <item t="default"/>
      </items>
    </pivotField>
    <pivotField showAll="0">
      <items count="5">
        <item x="3"/>
        <item x="1"/>
        <item x="2"/>
        <item x="0"/>
        <item t="default"/>
      </items>
    </pivotField>
    <pivotField showAll="0"/>
    <pivotField showAll="0"/>
    <pivotField numFmtId="10" showAll="0"/>
    <pivotField showAll="0"/>
    <pivotField showAll="0"/>
    <pivotField showAll="0"/>
    <pivotField showAll="0"/>
    <pivotField showAll="0"/>
    <pivotField showAll="0"/>
    <pivotField numFmtId="2" showAll="0"/>
    <pivotField numFmtId="165" showAll="0">
      <items count="14">
        <item x="10"/>
        <item x="7"/>
        <item x="9"/>
        <item x="2"/>
        <item x="11"/>
        <item x="5"/>
        <item x="12"/>
        <item x="0"/>
        <item x="4"/>
        <item x="3"/>
        <item x="1"/>
        <item x="6"/>
        <item x="8"/>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i>
    <i>
      <x v="1"/>
    </i>
    <i>
      <x v="2"/>
    </i>
    <i>
      <x v="3"/>
    </i>
    <i>
      <x v="4"/>
    </i>
    <i t="grand">
      <x/>
    </i>
  </rowItems>
  <colFields count="1">
    <field x="13"/>
  </colFields>
  <colItems count="4">
    <i>
      <x/>
    </i>
    <i>
      <x v="1"/>
    </i>
    <i>
      <x v="2"/>
    </i>
    <i t="grand">
      <x/>
    </i>
  </colItems>
  <dataFields count="1">
    <dataField name="Sum of Total Sales (INR)" fld="5"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562D7F-9702-4D73-A3F8-1FC4B190D065}" name="PivotTable10"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L39:M44" firstHeaderRow="1" firstDataRow="1" firstDataCol="1"/>
  <pivotFields count="29">
    <pivotField showAll="0"/>
    <pivotField showAll="0"/>
    <pivotField showAll="0">
      <items count="6">
        <item x="2"/>
        <item x="0"/>
        <item x="1"/>
        <item x="3"/>
        <item x="4"/>
        <item t="default"/>
      </items>
    </pivotField>
    <pivotField numFmtId="2" showAll="0"/>
    <pivotField numFmtId="1" showAll="0"/>
    <pivotField dataField="1" numFmtId="2" showAll="0"/>
    <pivotField numFmtId="14" showAll="0"/>
    <pivotField showAll="0">
      <items count="7">
        <item x="3"/>
        <item x="4"/>
        <item x="0"/>
        <item x="5"/>
        <item x="1"/>
        <item x="2"/>
        <item t="default"/>
      </items>
    </pivotField>
    <pivotField showAll="0"/>
    <pivotField showAll="0"/>
    <pivotField showAll="0">
      <items count="3">
        <item x="0"/>
        <item x="1"/>
        <item t="default"/>
      </items>
    </pivotField>
    <pivotField showAll="0"/>
    <pivotField showAll="0"/>
    <pivotField showAll="0">
      <items count="4">
        <item x="0"/>
        <item x="2"/>
        <item x="1"/>
        <item t="default"/>
      </items>
    </pivotField>
    <pivotField axis="axisRow"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pivotField showAll="0"/>
    <pivotField numFmtId="10" showAll="0"/>
    <pivotField showAll="0"/>
    <pivotField showAll="0"/>
    <pivotField showAll="0"/>
    <pivotField showAll="0"/>
    <pivotField showAll="0"/>
    <pivotField showAll="0"/>
    <pivotField numFmtId="2" showAll="0"/>
    <pivotField numFmtId="165" showAll="0">
      <items count="14">
        <item x="10"/>
        <item x="7"/>
        <item x="9"/>
        <item x="2"/>
        <item x="11"/>
        <item x="5"/>
        <item x="12"/>
        <item x="0"/>
        <item x="4"/>
        <item x="3"/>
        <item x="1"/>
        <item x="6"/>
        <item x="8"/>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4"/>
  </rowFields>
  <rowItems count="5">
    <i>
      <x v="1"/>
    </i>
    <i>
      <x v="2"/>
    </i>
    <i>
      <x v="3"/>
    </i>
    <i>
      <x/>
    </i>
    <i t="grand">
      <x/>
    </i>
  </rowItems>
  <colItems count="1">
    <i/>
  </colItems>
  <dataFields count="1">
    <dataField name="Sum of Total Sales (INR)" fld="5" baseField="0" baseItem="0" numFmtId="2"/>
  </dataFields>
  <chartFormats count="1">
    <chartFormat chart="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F48936-F5D5-4AC4-8688-8F2AAEF014DF}"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I27" firstHeaderRow="0" firstDataRow="1" firstDataCol="1"/>
  <pivotFields count="29">
    <pivotField showAll="0"/>
    <pivotField axis="axisRow" showAll="0" sortType="descending">
      <items count="26">
        <item x="16"/>
        <item x="13"/>
        <item x="14"/>
        <item x="4"/>
        <item x="24"/>
        <item x="0"/>
        <item x="2"/>
        <item x="21"/>
        <item x="17"/>
        <item x="20"/>
        <item x="8"/>
        <item x="1"/>
        <item x="18"/>
        <item x="11"/>
        <item x="5"/>
        <item x="10"/>
        <item x="22"/>
        <item x="19"/>
        <item x="12"/>
        <item x="3"/>
        <item x="6"/>
        <item x="23"/>
        <item x="7"/>
        <item x="9"/>
        <item x="15"/>
        <item t="default"/>
      </items>
      <autoSortScope>
        <pivotArea dataOnly="0" outline="0" fieldPosition="0">
          <references count="1">
            <reference field="4294967294" count="1" selected="0">
              <x v="0"/>
            </reference>
          </references>
        </pivotArea>
      </autoSortScope>
    </pivotField>
    <pivotField showAll="0">
      <items count="6">
        <item x="2"/>
        <item x="0"/>
        <item x="1"/>
        <item x="3"/>
        <item x="4"/>
        <item t="default"/>
      </items>
    </pivotField>
    <pivotField numFmtId="2" showAll="0"/>
    <pivotField dataField="1" numFmtId="1" showAll="0"/>
    <pivotField dataField="1" numFmtId="2" showAll="0"/>
    <pivotField numFmtId="14" showAll="0"/>
    <pivotField showAll="0">
      <items count="7">
        <item x="3"/>
        <item x="4"/>
        <item x="0"/>
        <item x="5"/>
        <item x="1"/>
        <item x="2"/>
        <item t="default"/>
      </items>
    </pivotField>
    <pivotField showAll="0"/>
    <pivotField showAll="0"/>
    <pivotField showAll="0">
      <items count="3">
        <item x="0"/>
        <item x="1"/>
        <item t="default"/>
      </items>
    </pivotField>
    <pivotField dataField="1" showAll="0"/>
    <pivotField showAll="0"/>
    <pivotField showAll="0">
      <items count="4">
        <item x="0"/>
        <item x="2"/>
        <item x="1"/>
        <item t="default"/>
      </items>
    </pivotField>
    <pivotField showAll="0">
      <items count="5">
        <item x="3"/>
        <item x="1"/>
        <item x="2"/>
        <item x="0"/>
        <item t="default"/>
      </items>
    </pivotField>
    <pivotField showAll="0"/>
    <pivotField showAll="0"/>
    <pivotField numFmtId="10" showAll="0"/>
    <pivotField showAll="0"/>
    <pivotField showAll="0"/>
    <pivotField showAll="0"/>
    <pivotField showAll="0"/>
    <pivotField showAll="0"/>
    <pivotField showAll="0"/>
    <pivotField numFmtId="2" showAll="0"/>
    <pivotField numFmtId="165" showAll="0">
      <items count="14">
        <item x="10"/>
        <item x="7"/>
        <item x="9"/>
        <item x="2"/>
        <item x="11"/>
        <item x="5"/>
        <item x="12"/>
        <item x="0"/>
        <item x="4"/>
        <item x="3"/>
        <item x="1"/>
        <item x="6"/>
        <item x="8"/>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26">
    <i>
      <x v="5"/>
    </i>
    <i>
      <x v="12"/>
    </i>
    <i>
      <x v="22"/>
    </i>
    <i>
      <x v="9"/>
    </i>
    <i>
      <x v="11"/>
    </i>
    <i>
      <x v="19"/>
    </i>
    <i>
      <x v="6"/>
    </i>
    <i>
      <x v="15"/>
    </i>
    <i>
      <x v="7"/>
    </i>
    <i>
      <x v="10"/>
    </i>
    <i>
      <x v="24"/>
    </i>
    <i>
      <x v="23"/>
    </i>
    <i>
      <x v="20"/>
    </i>
    <i>
      <x v="18"/>
    </i>
    <i>
      <x v="13"/>
    </i>
    <i>
      <x v="21"/>
    </i>
    <i>
      <x v="16"/>
    </i>
    <i>
      <x v="2"/>
    </i>
    <i>
      <x v="8"/>
    </i>
    <i>
      <x v="3"/>
    </i>
    <i>
      <x v="4"/>
    </i>
    <i>
      <x v="17"/>
    </i>
    <i>
      <x v="14"/>
    </i>
    <i>
      <x v="1"/>
    </i>
    <i>
      <x/>
    </i>
    <i t="grand">
      <x/>
    </i>
  </rowItems>
  <colFields count="1">
    <field x="-2"/>
  </colFields>
  <colItems count="3">
    <i>
      <x/>
    </i>
    <i i="1">
      <x v="1"/>
    </i>
    <i i="2">
      <x v="2"/>
    </i>
  </colItems>
  <dataFields count="3">
    <dataField name="Sum of Total Sales (INR)" fld="5" baseField="0" baseItem="0" numFmtId="2"/>
    <dataField name="Sum of Profit (INR)" fld="11" baseField="0" baseItem="0"/>
    <dataField name="Sum of Quantity Sold" fld="4"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C0F075-C52B-4D2F-9C96-9B3B6DA0E895}"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0:L36" firstHeaderRow="1" firstDataRow="2" firstDataCol="1"/>
  <pivotFields count="29">
    <pivotField showAll="0"/>
    <pivotField showAll="0"/>
    <pivotField axis="axisCol" showAll="0">
      <items count="6">
        <item x="2"/>
        <item x="0"/>
        <item x="1"/>
        <item x="3"/>
        <item x="4"/>
        <item t="default"/>
      </items>
    </pivotField>
    <pivotField numFmtId="2" showAll="0"/>
    <pivotField numFmtId="1" showAll="0"/>
    <pivotField dataField="1" numFmtId="2" showAll="0"/>
    <pivotField numFmtId="14" showAll="0"/>
    <pivotField showAll="0">
      <items count="7">
        <item x="3"/>
        <item x="4"/>
        <item x="0"/>
        <item x="5"/>
        <item x="1"/>
        <item x="2"/>
        <item t="default"/>
      </items>
    </pivotField>
    <pivotField showAll="0"/>
    <pivotField showAll="0"/>
    <pivotField showAll="0">
      <items count="3">
        <item x="0"/>
        <item x="1"/>
        <item t="default"/>
      </items>
    </pivotField>
    <pivotField showAll="0"/>
    <pivotField showAll="0"/>
    <pivotField showAll="0">
      <items count="4">
        <item x="0"/>
        <item x="2"/>
        <item x="1"/>
        <item t="default"/>
      </items>
    </pivotField>
    <pivotField axis="axisRow" showAll="0">
      <items count="5">
        <item x="3"/>
        <item x="1"/>
        <item x="2"/>
        <item x="0"/>
        <item t="default"/>
      </items>
    </pivotField>
    <pivotField showAll="0"/>
    <pivotField showAll="0"/>
    <pivotField numFmtId="10" showAll="0"/>
    <pivotField showAll="0"/>
    <pivotField showAll="0"/>
    <pivotField showAll="0"/>
    <pivotField showAll="0"/>
    <pivotField showAll="0"/>
    <pivotField showAll="0"/>
    <pivotField numFmtId="2" showAll="0"/>
    <pivotField numFmtId="165" showAll="0">
      <items count="14">
        <item x="10"/>
        <item x="7"/>
        <item x="9"/>
        <item x="2"/>
        <item x="11"/>
        <item x="5"/>
        <item x="12"/>
        <item x="0"/>
        <item x="4"/>
        <item x="3"/>
        <item x="1"/>
        <item x="6"/>
        <item x="8"/>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4"/>
  </rowFields>
  <rowItems count="5">
    <i>
      <x/>
    </i>
    <i>
      <x v="1"/>
    </i>
    <i>
      <x v="2"/>
    </i>
    <i>
      <x v="3"/>
    </i>
    <i t="grand">
      <x/>
    </i>
  </rowItems>
  <colFields count="1">
    <field x="2"/>
  </colFields>
  <colItems count="6">
    <i>
      <x/>
    </i>
    <i>
      <x v="1"/>
    </i>
    <i>
      <x v="2"/>
    </i>
    <i>
      <x v="3"/>
    </i>
    <i>
      <x v="4"/>
    </i>
    <i t="grand">
      <x/>
    </i>
  </colItems>
  <dataFields count="1">
    <dataField name="Sum of Total Sales (INR)" fld="5"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05983D9-7366-4971-9E59-F858F27E62F3}" name="PivotTable7"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K14:M28" firstHeaderRow="0" firstDataRow="1" firstDataCol="1"/>
  <pivotFields count="29">
    <pivotField showAll="0"/>
    <pivotField showAll="0"/>
    <pivotField showAll="0">
      <items count="6">
        <item x="2"/>
        <item x="0"/>
        <item x="1"/>
        <item x="3"/>
        <item x="4"/>
        <item t="default"/>
      </items>
    </pivotField>
    <pivotField numFmtId="2" showAll="0"/>
    <pivotField numFmtId="1" showAll="0"/>
    <pivotField dataField="1" numFmtId="2" showAll="0"/>
    <pivotField numFmtId="14" showAll="0"/>
    <pivotField showAll="0">
      <items count="7">
        <item x="3"/>
        <item x="4"/>
        <item x="0"/>
        <item x="5"/>
        <item x="1"/>
        <item x="2"/>
        <item t="default"/>
      </items>
    </pivotField>
    <pivotField showAll="0"/>
    <pivotField showAll="0" sortType="descending">
      <autoSortScope>
        <pivotArea dataOnly="0" outline="0" fieldPosition="0">
          <references count="1">
            <reference field="4294967294" count="1" selected="0">
              <x v="0"/>
            </reference>
          </references>
        </pivotArea>
      </autoSortScope>
    </pivotField>
    <pivotField showAll="0">
      <items count="3">
        <item x="0"/>
        <item x="1"/>
        <item t="default"/>
      </items>
    </pivotField>
    <pivotField dataField="1" showAll="0"/>
    <pivotField showAll="0"/>
    <pivotField showAll="0">
      <items count="4">
        <item x="0"/>
        <item x="2"/>
        <item x="1"/>
        <item t="default"/>
      </items>
    </pivotField>
    <pivotField showAll="0">
      <items count="5">
        <item x="3"/>
        <item x="1"/>
        <item x="2"/>
        <item x="0"/>
        <item t="default"/>
      </items>
    </pivotField>
    <pivotField showAll="0"/>
    <pivotField showAll="0"/>
    <pivotField numFmtId="10" showAll="0"/>
    <pivotField showAll="0"/>
    <pivotField showAll="0"/>
    <pivotField showAll="0"/>
    <pivotField showAll="0"/>
    <pivotField showAll="0"/>
    <pivotField showAll="0"/>
    <pivotField numFmtId="2" showAll="0"/>
    <pivotField axis="axisRow" numFmtId="165" showAll="0">
      <items count="14">
        <item x="10"/>
        <item x="7"/>
        <item x="9"/>
        <item x="2"/>
        <item x="11"/>
        <item x="5"/>
        <item x="12"/>
        <item x="0"/>
        <item x="4"/>
        <item x="3"/>
        <item x="1"/>
        <item x="6"/>
        <item x="8"/>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5"/>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Total Sales (INR)" fld="5" baseField="0" baseItem="0" numFmtId="2"/>
    <dataField name="Sum of Profit (INR)" fld="11" baseField="0" baseItem="0"/>
  </dataFields>
  <chartFormats count="2">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9EA6C4-BFD0-4F84-9B70-F410ED550619}"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43" firstHeaderRow="0" firstDataRow="1" firstDataCol="1"/>
  <pivotFields count="29">
    <pivotField dataField="1" showAll="0"/>
    <pivotField showAll="0"/>
    <pivotField showAll="0">
      <items count="6">
        <item x="2"/>
        <item x="0"/>
        <item x="1"/>
        <item x="3"/>
        <item x="4"/>
        <item t="default"/>
      </items>
    </pivotField>
    <pivotField numFmtId="2" showAll="0"/>
    <pivotField numFmtId="1" showAll="0"/>
    <pivotField dataField="1" numFmtId="2" showAll="0"/>
    <pivotField numFmtId="14" showAll="0"/>
    <pivotField showAll="0">
      <items count="7">
        <item x="3"/>
        <item x="4"/>
        <item x="0"/>
        <item x="5"/>
        <item x="1"/>
        <item x="2"/>
        <item t="default"/>
      </items>
    </pivotField>
    <pivotField axis="axisRow" showAll="0">
      <items count="42">
        <item x="34"/>
        <item x="19"/>
        <item x="12"/>
        <item x="11"/>
        <item x="23"/>
        <item x="39"/>
        <item x="14"/>
        <item x="5"/>
        <item x="31"/>
        <item x="30"/>
        <item x="6"/>
        <item x="37"/>
        <item x="21"/>
        <item x="10"/>
        <item x="7"/>
        <item x="15"/>
        <item x="8"/>
        <item x="29"/>
        <item x="18"/>
        <item x="36"/>
        <item x="32"/>
        <item x="4"/>
        <item x="3"/>
        <item x="26"/>
        <item x="20"/>
        <item x="0"/>
        <item x="22"/>
        <item x="13"/>
        <item x="28"/>
        <item x="1"/>
        <item x="9"/>
        <item x="27"/>
        <item x="24"/>
        <item x="17"/>
        <item x="2"/>
        <item x="16"/>
        <item x="33"/>
        <item x="25"/>
        <item x="38"/>
        <item x="35"/>
        <item x="40"/>
        <item t="default"/>
      </items>
    </pivotField>
    <pivotField showAll="0"/>
    <pivotField showAll="0">
      <items count="3">
        <item x="0"/>
        <item x="1"/>
        <item t="default"/>
      </items>
    </pivotField>
    <pivotField dataField="1" showAll="0"/>
    <pivotField showAll="0"/>
    <pivotField showAll="0">
      <items count="4">
        <item x="0"/>
        <item x="2"/>
        <item x="1"/>
        <item t="default"/>
      </items>
    </pivotField>
    <pivotField showAll="0">
      <items count="5">
        <item x="3"/>
        <item x="1"/>
        <item x="2"/>
        <item x="0"/>
        <item t="default"/>
      </items>
    </pivotField>
    <pivotField showAll="0"/>
    <pivotField showAll="0"/>
    <pivotField numFmtId="10" showAll="0"/>
    <pivotField showAll="0"/>
    <pivotField showAll="0"/>
    <pivotField showAll="0"/>
    <pivotField showAll="0"/>
    <pivotField showAll="0"/>
    <pivotField showAll="0"/>
    <pivotField numFmtId="2" showAll="0"/>
    <pivotField numFmtId="165" showAll="0">
      <items count="14">
        <item x="10"/>
        <item x="7"/>
        <item x="9"/>
        <item x="2"/>
        <item x="11"/>
        <item x="5"/>
        <item x="12"/>
        <item x="0"/>
        <item x="4"/>
        <item x="3"/>
        <item x="1"/>
        <item x="6"/>
        <item x="8"/>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Fields count="1">
    <field x="-2"/>
  </colFields>
  <colItems count="3">
    <i>
      <x/>
    </i>
    <i i="1">
      <x v="1"/>
    </i>
    <i i="2">
      <x v="2"/>
    </i>
  </colItems>
  <dataFields count="3">
    <dataField name="Count of Order ID" fld="0" subtotal="count" baseField="0" baseItem="0"/>
    <dataField name="Sum of Total Sales (INR)" fld="5" baseField="0" baseItem="0" numFmtId="2"/>
    <dataField name="Sum of Profit (INR)"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24B76A7-1889-42A2-9499-8B60C1E78B4A}" name="PivotTable8"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N2:O9" firstHeaderRow="1" firstDataRow="1" firstDataCol="1"/>
  <pivotFields count="29">
    <pivotField showAll="0"/>
    <pivotField showAll="0"/>
    <pivotField showAll="0">
      <items count="6">
        <item x="2"/>
        <item x="0"/>
        <item x="1"/>
        <item x="3"/>
        <item x="4"/>
        <item t="default"/>
      </items>
    </pivotField>
    <pivotField numFmtId="2" showAll="0"/>
    <pivotField numFmtId="1" showAll="0"/>
    <pivotField dataField="1" numFmtId="2" showAll="0"/>
    <pivotField numFmtId="14" showAll="0"/>
    <pivotField axis="axisRow" showAll="0" sortType="descending">
      <items count="7">
        <item x="3"/>
        <item x="4"/>
        <item x="0"/>
        <item x="5"/>
        <item x="1"/>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0"/>
        <item x="1"/>
        <item t="default"/>
      </items>
    </pivotField>
    <pivotField showAll="0"/>
    <pivotField showAll="0"/>
    <pivotField showAll="0">
      <items count="4">
        <item x="0"/>
        <item x="2"/>
        <item x="1"/>
        <item t="default"/>
      </items>
    </pivotField>
    <pivotField showAll="0">
      <items count="5">
        <item x="3"/>
        <item x="1"/>
        <item x="2"/>
        <item x="0"/>
        <item t="default"/>
      </items>
    </pivotField>
    <pivotField showAll="0"/>
    <pivotField showAll="0"/>
    <pivotField numFmtId="10" showAll="0"/>
    <pivotField showAll="0"/>
    <pivotField showAll="0"/>
    <pivotField showAll="0"/>
    <pivotField showAll="0"/>
    <pivotField showAll="0"/>
    <pivotField showAll="0"/>
    <pivotField numFmtId="2" showAll="0"/>
    <pivotField numFmtId="165" showAll="0">
      <items count="14">
        <item x="10"/>
        <item x="7"/>
        <item x="9"/>
        <item x="2"/>
        <item x="11"/>
        <item x="5"/>
        <item x="12"/>
        <item x="0"/>
        <item x="4"/>
        <item x="3"/>
        <item x="1"/>
        <item x="6"/>
        <item x="8"/>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7">
    <i>
      <x v="5"/>
    </i>
    <i>
      <x v="3"/>
    </i>
    <i>
      <x v="4"/>
    </i>
    <i>
      <x/>
    </i>
    <i>
      <x v="2"/>
    </i>
    <i>
      <x v="1"/>
    </i>
    <i t="grand">
      <x/>
    </i>
  </rowItems>
  <colItems count="1">
    <i/>
  </colItems>
  <dataFields count="1">
    <dataField name="Sum of Total Sales (INR)" fld="5" baseField="0" baseItem="0" numFmtId="2"/>
  </dataFields>
  <chartFormats count="1">
    <chartFormat chart="1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DC28D06-DCDD-45D1-84BE-6CDE9AC47BAB}" name="PivotTable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K1:L12" firstHeaderRow="1" firstDataRow="1" firstDataCol="1"/>
  <pivotFields count="29">
    <pivotField showAll="0"/>
    <pivotField axis="axisRow" showAll="0" measureFilter="1" sortType="descending">
      <items count="26">
        <item x="16"/>
        <item x="13"/>
        <item x="14"/>
        <item x="4"/>
        <item x="24"/>
        <item x="0"/>
        <item x="2"/>
        <item x="21"/>
        <item x="17"/>
        <item x="20"/>
        <item x="8"/>
        <item x="1"/>
        <item x="18"/>
        <item x="11"/>
        <item x="5"/>
        <item x="10"/>
        <item x="22"/>
        <item x="19"/>
        <item x="12"/>
        <item x="3"/>
        <item x="6"/>
        <item x="23"/>
        <item x="7"/>
        <item x="9"/>
        <item x="15"/>
        <item t="default"/>
      </items>
      <autoSortScope>
        <pivotArea dataOnly="0" outline="0" fieldPosition="0">
          <references count="1">
            <reference field="4294967294" count="1" selected="0">
              <x v="0"/>
            </reference>
          </references>
        </pivotArea>
      </autoSortScope>
    </pivotField>
    <pivotField showAll="0">
      <items count="6">
        <item x="2"/>
        <item x="0"/>
        <item x="1"/>
        <item x="3"/>
        <item x="4"/>
        <item t="default"/>
      </items>
    </pivotField>
    <pivotField numFmtId="2" showAll="0"/>
    <pivotField numFmtId="1" showAll="0"/>
    <pivotField dataField="1" numFmtId="2" showAll="0"/>
    <pivotField numFmtId="14" showAll="0"/>
    <pivotField showAll="0">
      <items count="7">
        <item x="3"/>
        <item x="4"/>
        <item x="0"/>
        <item x="5"/>
        <item x="1"/>
        <item x="2"/>
        <item t="default"/>
      </items>
    </pivotField>
    <pivotField showAll="0"/>
    <pivotField showAll="0"/>
    <pivotField showAll="0">
      <items count="3">
        <item x="0"/>
        <item x="1"/>
        <item t="default"/>
      </items>
    </pivotField>
    <pivotField showAll="0"/>
    <pivotField showAll="0"/>
    <pivotField showAll="0">
      <items count="4">
        <item x="0"/>
        <item x="2"/>
        <item x="1"/>
        <item t="default"/>
      </items>
    </pivotField>
    <pivotField showAll="0">
      <items count="5">
        <item x="3"/>
        <item x="1"/>
        <item x="2"/>
        <item x="0"/>
        <item t="default"/>
      </items>
    </pivotField>
    <pivotField showAll="0"/>
    <pivotField showAll="0"/>
    <pivotField numFmtId="10" showAll="0"/>
    <pivotField showAll="0"/>
    <pivotField showAll="0"/>
    <pivotField showAll="0"/>
    <pivotField showAll="0"/>
    <pivotField showAll="0"/>
    <pivotField showAll="0"/>
    <pivotField numFmtId="2" showAll="0"/>
    <pivotField numFmtId="165" showAll="0">
      <items count="14">
        <item x="10"/>
        <item x="7"/>
        <item x="9"/>
        <item x="2"/>
        <item x="11"/>
        <item x="5"/>
        <item x="12"/>
        <item x="0"/>
        <item x="4"/>
        <item x="3"/>
        <item x="1"/>
        <item x="6"/>
        <item x="8"/>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11">
    <i>
      <x v="5"/>
    </i>
    <i>
      <x v="12"/>
    </i>
    <i>
      <x v="22"/>
    </i>
    <i>
      <x v="9"/>
    </i>
    <i>
      <x v="11"/>
    </i>
    <i>
      <x v="19"/>
    </i>
    <i>
      <x v="6"/>
    </i>
    <i>
      <x v="15"/>
    </i>
    <i>
      <x v="7"/>
    </i>
    <i>
      <x v="10"/>
    </i>
    <i t="grand">
      <x/>
    </i>
  </rowItems>
  <colItems count="1">
    <i/>
  </colItems>
  <dataFields count="1">
    <dataField name="Sum of Total Sales (INR)" fld="5" baseField="0" baseItem="0" numFmtId="2"/>
  </dataFields>
  <chartFormats count="1">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E6306EA-A913-4419-8964-127947D3F09F}" name="PivotTable1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N30:O34" firstHeaderRow="1" firstDataRow="1" firstDataCol="1"/>
  <pivotFields count="29">
    <pivotField showAll="0"/>
    <pivotField showAll="0"/>
    <pivotField showAll="0">
      <items count="6">
        <item x="2"/>
        <item x="0"/>
        <item x="1"/>
        <item x="3"/>
        <item x="4"/>
        <item t="default"/>
      </items>
    </pivotField>
    <pivotField numFmtId="2" showAll="0"/>
    <pivotField numFmtId="1" showAll="0"/>
    <pivotField dataField="1" numFmtId="2" showAll="0"/>
    <pivotField numFmtId="14" showAll="0"/>
    <pivotField showAll="0">
      <items count="7">
        <item x="3"/>
        <item x="4"/>
        <item x="0"/>
        <item x="5"/>
        <item x="1"/>
        <item x="2"/>
        <item t="default"/>
      </items>
    </pivotField>
    <pivotField showAll="0"/>
    <pivotField showAll="0"/>
    <pivotField showAll="0">
      <items count="3">
        <item x="0"/>
        <item x="1"/>
        <item t="default"/>
      </items>
    </pivotField>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5">
        <item x="3"/>
        <item x="1"/>
        <item x="2"/>
        <item x="0"/>
        <item t="default"/>
      </items>
    </pivotField>
    <pivotField showAll="0"/>
    <pivotField showAll="0"/>
    <pivotField numFmtId="10" showAll="0"/>
    <pivotField showAll="0"/>
    <pivotField showAll="0"/>
    <pivotField showAll="0"/>
    <pivotField showAll="0"/>
    <pivotField showAll="0"/>
    <pivotField showAll="0"/>
    <pivotField numFmtId="2" showAll="0"/>
    <pivotField numFmtId="165" showAll="0">
      <items count="14">
        <item x="10"/>
        <item x="7"/>
        <item x="9"/>
        <item x="2"/>
        <item x="11"/>
        <item x="5"/>
        <item x="12"/>
        <item x="0"/>
        <item x="4"/>
        <item x="3"/>
        <item x="1"/>
        <item x="6"/>
        <item x="8"/>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3"/>
  </rowFields>
  <rowItems count="4">
    <i>
      <x v="2"/>
    </i>
    <i>
      <x/>
    </i>
    <i>
      <x v="1"/>
    </i>
    <i t="grand">
      <x/>
    </i>
  </rowItems>
  <colItems count="1">
    <i/>
  </colItems>
  <dataFields count="1">
    <dataField name="Sum of Total Sales (INR)" fld="5" baseField="0" baseItem="0" numFmtId="2"/>
  </dataFields>
  <chartFormats count="4">
    <chartFormat chart="6" format="11" series="1">
      <pivotArea type="data" outline="0" fieldPosition="0">
        <references count="1">
          <reference field="4294967294" count="1" selected="0">
            <x v="0"/>
          </reference>
        </references>
      </pivotArea>
    </chartFormat>
    <chartFormat chart="6" format="12">
      <pivotArea type="data" outline="0" fieldPosition="0">
        <references count="2">
          <reference field="4294967294" count="1" selected="0">
            <x v="0"/>
          </reference>
          <reference field="13" count="1" selected="0">
            <x v="2"/>
          </reference>
        </references>
      </pivotArea>
    </chartFormat>
    <chartFormat chart="6" format="13">
      <pivotArea type="data" outline="0" fieldPosition="0">
        <references count="2">
          <reference field="4294967294" count="1" selected="0">
            <x v="0"/>
          </reference>
          <reference field="13" count="1" selected="0">
            <x v="0"/>
          </reference>
        </references>
      </pivotArea>
    </chartFormat>
    <chartFormat chart="6" format="14">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6B276FD-9704-4967-BF69-9122EC3EB8C9}" name="PivotTable1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N12:O18" firstHeaderRow="1" firstDataRow="1" firstDataCol="1"/>
  <pivotFields count="29">
    <pivotField showAll="0"/>
    <pivotField showAll="0"/>
    <pivotField axis="axisRow" showAll="0">
      <items count="6">
        <item x="2"/>
        <item x="0"/>
        <item x="1"/>
        <item x="3"/>
        <item x="4"/>
        <item t="default"/>
      </items>
    </pivotField>
    <pivotField numFmtId="2" showAll="0"/>
    <pivotField numFmtId="1" showAll="0"/>
    <pivotField dataField="1" numFmtId="2" showAll="0"/>
    <pivotField numFmtId="14" showAll="0"/>
    <pivotField showAll="0">
      <items count="7">
        <item x="3"/>
        <item x="4"/>
        <item x="0"/>
        <item x="5"/>
        <item x="1"/>
        <item x="2"/>
        <item t="default"/>
      </items>
    </pivotField>
    <pivotField showAll="0"/>
    <pivotField showAll="0"/>
    <pivotField showAll="0">
      <items count="3">
        <item x="0"/>
        <item x="1"/>
        <item t="default"/>
      </items>
    </pivotField>
    <pivotField showAll="0"/>
    <pivotField showAll="0"/>
    <pivotField showAll="0">
      <items count="4">
        <item x="0"/>
        <item x="2"/>
        <item x="1"/>
        <item t="default"/>
      </items>
    </pivotField>
    <pivotField showAll="0">
      <items count="5">
        <item x="3"/>
        <item x="1"/>
        <item x="2"/>
        <item x="0"/>
        <item t="default"/>
      </items>
    </pivotField>
    <pivotField showAll="0"/>
    <pivotField showAll="0"/>
    <pivotField numFmtId="10" showAll="0"/>
    <pivotField showAll="0"/>
    <pivotField showAll="0"/>
    <pivotField showAll="0"/>
    <pivotField showAll="0"/>
    <pivotField showAll="0"/>
    <pivotField showAll="0"/>
    <pivotField numFmtId="2" showAll="0"/>
    <pivotField numFmtId="165" showAll="0">
      <items count="14">
        <item x="10"/>
        <item x="7"/>
        <item x="9"/>
        <item x="2"/>
        <item x="11"/>
        <item x="5"/>
        <item x="12"/>
        <item x="0"/>
        <item x="4"/>
        <item x="3"/>
        <item x="1"/>
        <item x="6"/>
        <item x="8"/>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i>
    <i>
      <x v="1"/>
    </i>
    <i>
      <x v="2"/>
    </i>
    <i>
      <x v="3"/>
    </i>
    <i>
      <x v="4"/>
    </i>
    <i t="grand">
      <x/>
    </i>
  </rowItems>
  <colItems count="1">
    <i/>
  </colItems>
  <dataFields count="1">
    <dataField name="Sum of Total Sales (INR)" fld="5" baseField="0" baseItem="0" numFmtId="2"/>
  </dataFields>
  <chartFormats count="1">
    <chartFormat chart="8"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90939003-432F-4BD4-AF01-1E89C119E3AC}" autoFormatId="16" applyNumberFormats="0" applyBorderFormats="0" applyFontFormats="0" applyPatternFormats="0" applyAlignmentFormats="0" applyWidthHeightFormats="0">
  <queryTableRefresh nextId="28" unboundColumnsRight="11">
    <queryTableFields count="26">
      <queryTableField id="1" name="Order ID" tableColumnId="1"/>
      <queryTableField id="2" name="Product Name" tableColumnId="2"/>
      <queryTableField id="3" name="Category" tableColumnId="3"/>
      <queryTableField id="4" name="Price (INR)" tableColumnId="4"/>
      <queryTableField id="5" name="Quantity Sold" tableColumnId="5"/>
      <queryTableField id="6" name="Total Sales (INR)" tableColumnId="6"/>
      <queryTableField id="7" name="Order Date" tableColumnId="7"/>
      <queryTableField id="8" name="Payment Method" tableColumnId="8"/>
      <queryTableField id="9" name="Customer Rating" tableColumnId="9"/>
      <queryTableField id="10" name="Month" tableColumnId="10"/>
      <queryTableField id="11" name="Year" tableColumnId="11"/>
      <queryTableField id="12" name="Profit (INR)" tableColumnId="12"/>
      <queryTableField id="13" name="Discount %" tableColumnId="13"/>
      <queryTableField id="14" name="Customer Segment" tableColumnId="14"/>
      <queryTableField id="15" name="Region" tableColumnId="15"/>
      <queryTableField id="17" dataBound="0" tableColumnId="17"/>
      <queryTableField id="18" dataBound="0" tableColumnId="18"/>
      <queryTableField id="19" dataBound="0" tableColumnId="16"/>
      <queryTableField id="20" dataBound="0" tableColumnId="19"/>
      <queryTableField id="21" dataBound="0" tableColumnId="20"/>
      <queryTableField id="22" dataBound="0" tableColumnId="21"/>
      <queryTableField id="23" dataBound="0" tableColumnId="22"/>
      <queryTableField id="24" dataBound="0" tableColumnId="23"/>
      <queryTableField id="25" dataBound="0" tableColumnId="24"/>
      <queryTableField id="26" dataBound="0" tableColumnId="25"/>
      <queryTableField id="27" dataBound="0" tableColumnId="2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8BBE6EF7-68BB-4421-B4BB-3F3EEFDAB993}" autoFormatId="16" applyNumberFormats="0" applyBorderFormats="0" applyFontFormats="0" applyPatternFormats="0" applyAlignmentFormats="0" applyWidthHeightFormats="0">
  <queryTableRefresh nextId="16">
    <queryTableFields count="15">
      <queryTableField id="1" name="Order ID" tableColumnId="1"/>
      <queryTableField id="2" name="Product Name" tableColumnId="2"/>
      <queryTableField id="3" name="Category" tableColumnId="3"/>
      <queryTableField id="4" name="Price (INR)" tableColumnId="4"/>
      <queryTableField id="5" name="Quantity Sold" tableColumnId="5"/>
      <queryTableField id="6" name="Total Sales (INR)" tableColumnId="6"/>
      <queryTableField id="7" name="Order Date" tableColumnId="7"/>
      <queryTableField id="8" name="Payment Method" tableColumnId="8"/>
      <queryTableField id="9" name="Customer Rating" tableColumnId="9"/>
      <queryTableField id="10" name="Month" tableColumnId="10"/>
      <queryTableField id="11" name="Year" tableColumnId="11"/>
      <queryTableField id="12" name="Profit (INR)" tableColumnId="12"/>
      <queryTableField id="13" name="Discount %" tableColumnId="13"/>
      <queryTableField id="14" name="Customer Segment" tableColumnId="14"/>
      <queryTableField id="15" name="Region"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7E1D2EE-039F-4F27-82C7-E06185721EA1}" sourceName="Year">
  <pivotTables>
    <pivotTable tabId="12" name="PivotTable1"/>
    <pivotTable tabId="12" name="PivotTable3"/>
    <pivotTable tabId="12" name="PivotTable4"/>
    <pivotTable tabId="12" name="PivotTable5"/>
    <pivotTable tabId="12" name="PivotTable6"/>
    <pivotTable tabId="12" name="PivotTable7"/>
    <pivotTable tabId="12" name="PivotTable8"/>
    <pivotTable tabId="12" name="PivotTable10"/>
    <pivotTable tabId="12" name="PivotTable11"/>
    <pivotTable tabId="12" name="PivotTable12"/>
  </pivotTables>
  <data>
    <tabular pivotCacheId="54033401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E392E6E-3653-43DB-951A-18FC16B721E5}" sourceName="Region">
  <pivotTables>
    <pivotTable tabId="12" name="PivotTable1"/>
    <pivotTable tabId="12" name="PivotTable3"/>
    <pivotTable tabId="12" name="PivotTable4"/>
    <pivotTable tabId="12" name="PivotTable5"/>
    <pivotTable tabId="12" name="PivotTable6"/>
    <pivotTable tabId="12" name="PivotTable7"/>
    <pivotTable tabId="12" name="PivotTable8"/>
    <pivotTable tabId="12" name="PivotTable10"/>
    <pivotTable tabId="12" name="PivotTable11"/>
    <pivotTable tabId="12" name="PivotTable12"/>
  </pivotTables>
  <data>
    <tabular pivotCacheId="540334015">
      <items count="4">
        <i x="3" s="1"/>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4F9C9B3-A872-4B7D-9272-829636F3002F}" sourceName="Category">
  <pivotTables>
    <pivotTable tabId="12" name="PivotTable1"/>
    <pivotTable tabId="12" name="PivotTable3"/>
    <pivotTable tabId="12" name="PivotTable4"/>
    <pivotTable tabId="12" name="PivotTable5"/>
    <pivotTable tabId="12" name="PivotTable6"/>
    <pivotTable tabId="12" name="PivotTable7"/>
    <pivotTable tabId="12" name="PivotTable8"/>
    <pivotTable tabId="12" name="PivotTable10"/>
    <pivotTable tabId="12" name="PivotTable11"/>
    <pivotTable tabId="12" name="PivotTable12"/>
  </pivotTables>
  <data>
    <tabular pivotCacheId="540334015">
      <items count="5">
        <i x="2" s="1"/>
        <i x="0" s="1"/>
        <i x="1"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4D0D2AC9-9A16-405F-B059-04D42E0BB26A}" sourceName="Customer Segment">
  <pivotTables>
    <pivotTable tabId="12" name="PivotTable1"/>
    <pivotTable tabId="12" name="PivotTable3"/>
    <pivotTable tabId="12" name="PivotTable4"/>
    <pivotTable tabId="12" name="PivotTable5"/>
    <pivotTable tabId="12" name="PivotTable6"/>
    <pivotTable tabId="12" name="PivotTable7"/>
    <pivotTable tabId="12" name="PivotTable8"/>
    <pivotTable tabId="12" name="PivotTable10"/>
    <pivotTable tabId="12" name="PivotTable11"/>
    <pivotTable tabId="12" name="PivotTable12"/>
  </pivotTables>
  <data>
    <tabular pivotCacheId="540334015">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66889789-807C-4734-8D55-3F91E9634754}" sourceName="Payment Method">
  <pivotTables>
    <pivotTable tabId="12" name="PivotTable8"/>
    <pivotTable tabId="12" name="PivotTable1"/>
    <pivotTable tabId="12" name="PivotTable10"/>
    <pivotTable tabId="12" name="PivotTable11"/>
    <pivotTable tabId="12" name="PivotTable12"/>
    <pivotTable tabId="12" name="PivotTable3"/>
    <pivotTable tabId="12" name="PivotTable4"/>
    <pivotTable tabId="12" name="PivotTable5"/>
    <pivotTable tabId="12" name="PivotTable6"/>
    <pivotTable tabId="12" name="PivotTable7"/>
  </pivotTables>
  <data>
    <tabular pivotCacheId="540334015">
      <items count="6">
        <i x="3" s="1"/>
        <i x="4" s="1"/>
        <i x="0" s="1"/>
        <i x="5"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7195ADB1-6992-4836-B400-8E67A3270F07}" cache="Slicer_Year" caption="Year" rowHeight="234950"/>
  <slicer name="Region 1" xr10:uid="{115B53C2-4D41-49FC-8C2B-2B00E841E174}" cache="Slicer_Region" caption="Region" rowHeight="234950"/>
  <slicer name="Category 1" xr10:uid="{01088E78-56D7-43FE-B673-82E10EBBD95F}" cache="Slicer_Category" caption="Category" rowHeight="234950"/>
  <slicer name="Customer Segment 1" xr10:uid="{C061600B-0538-45F2-853E-855D1457AA02}" cache="Slicer_Customer_Segment" caption="Customer Segment" rowHeight="234950"/>
  <slicer name="Payment Method" xr10:uid="{6B5745C2-F032-4C70-AE64-8514D956D269}" cache="Slicer_Payment_Method" caption="Payment Method"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7025AE0-1833-40C2-91CA-C4B5A3D53125}" name="FlipkartSales" displayName="FlipkartSales" ref="A1:Z1001" tableType="queryTable" totalsRowShown="0">
  <autoFilter ref="A1:Z1001" xr:uid="{F1D49758-EE48-4B07-A970-8944CE8E7E7A}"/>
  <tableColumns count="26">
    <tableColumn id="1" xr3:uid="{B3721A40-7F5B-421B-B555-BB82AF4D68BB}" uniqueName="1" name="Order ID" queryTableFieldId="1" dataDxfId="30"/>
    <tableColumn id="2" xr3:uid="{A8EE0097-2CFF-485D-9BBD-36BB3FBB379B}" uniqueName="2" name="Product Name" queryTableFieldId="2" dataDxfId="29"/>
    <tableColumn id="3" xr3:uid="{9900FFFE-1F6D-4077-82D8-80EC7C5B1A42}" uniqueName="3" name="Category" queryTableFieldId="3" dataDxfId="28"/>
    <tableColumn id="4" xr3:uid="{F637B9E9-114B-47EC-8C21-902F774333B4}" uniqueName="4" name="Price (INR)" queryTableFieldId="4" dataDxfId="27"/>
    <tableColumn id="5" xr3:uid="{4D56881C-0047-4B8D-AF74-2A8B7DEB63DF}" uniqueName="5" name="Quantity Sold" queryTableFieldId="5" dataDxfId="26"/>
    <tableColumn id="6" xr3:uid="{2A5A0616-9BDC-4408-A07B-BF774A14F4DF}" uniqueName="6" name="Total Sales (INR)" queryTableFieldId="6" dataDxfId="25"/>
    <tableColumn id="7" xr3:uid="{FF8025F7-AD0A-47CB-BF15-8009338483DE}" uniqueName="7" name="Order Date" queryTableFieldId="7" dataDxfId="24"/>
    <tableColumn id="8" xr3:uid="{41490468-7A16-45D6-A4C7-70E1469A080E}" uniqueName="8" name="Payment Method" queryTableFieldId="8" dataDxfId="23"/>
    <tableColumn id="9" xr3:uid="{93BCD05A-83B1-4ED4-9E86-9F479C6F304B}" uniqueName="9" name="Customer Rating" queryTableFieldId="9"/>
    <tableColumn id="10" xr3:uid="{0D077CBC-0D64-49C0-8F32-773097AFF8FC}" uniqueName="10" name="Month" queryTableFieldId="10" dataDxfId="22"/>
    <tableColumn id="11" xr3:uid="{30465B09-5020-4102-BE8B-3FDE406415FB}" uniqueName="11" name="Year" queryTableFieldId="11"/>
    <tableColumn id="12" xr3:uid="{E3A325C8-6B61-4D91-BB29-0CAE47BA8DC4}" uniqueName="12" name="Profit (INR)" queryTableFieldId="12"/>
    <tableColumn id="13" xr3:uid="{9AF48171-F0DE-4701-A1C3-6472337E8625}" uniqueName="13" name="Discount %" queryTableFieldId="13"/>
    <tableColumn id="14" xr3:uid="{DE3891A4-7544-455F-B339-F5EE17735251}" uniqueName="14" name="Customer Segment" queryTableFieldId="14" dataDxfId="21"/>
    <tableColumn id="15" xr3:uid="{A7E62C47-351D-46BE-B8F3-8E2706CD61EB}" uniqueName="15" name="Region" queryTableFieldId="15" dataDxfId="20"/>
    <tableColumn id="17" xr3:uid="{3E81A3BA-1342-43FF-A5AC-AA083B05FC5A}" uniqueName="17" name="Calculated Sales" queryTableFieldId="17" dataDxfId="19">
      <calculatedColumnFormula>FlipkartSales[[#This Row],[Price (INR)]]*FlipkartSales[[#This Row],[Quantity Sold]]</calculatedColumnFormula>
    </tableColumn>
    <tableColumn id="18" xr3:uid="{E1270875-CF50-4B09-8692-81CCEDA6C90A}" uniqueName="18" name="Sales Difference" queryTableFieldId="18" dataDxfId="18">
      <calculatedColumnFormula>FlipkartSales[[#This Row],[Total Sales (INR)]]-FlipkartSales[[#This Row],[Calculated Sales]]</calculatedColumnFormula>
    </tableColumn>
    <tableColumn id="16" xr3:uid="{E9A549F8-9FCA-433F-8E36-0B02622781A7}" uniqueName="16" name="Profit Margin %" queryTableFieldId="19" dataDxfId="17" dataCellStyle="Percent">
      <calculatedColumnFormula>L2/F2</calculatedColumnFormula>
    </tableColumn>
    <tableColumn id="19" xr3:uid="{6624FFE4-8C11-4EC4-A59D-95F0A5BEFC4E}" uniqueName="19" name="Revenue per Unit" queryTableFieldId="20" dataDxfId="16">
      <calculatedColumnFormula>F2/E2</calculatedColumnFormula>
    </tableColumn>
    <tableColumn id="20" xr3:uid="{02AC8D34-5184-4908-818F-22A1ADB58E23}" uniqueName="20" name="Profit per Unit" queryTableFieldId="21" dataDxfId="15">
      <calculatedColumnFormula>L2/E2</calculatedColumnFormula>
    </tableColumn>
    <tableColumn id="21" xr3:uid="{9ECA4416-EBE6-4F20-AEDE-FE7B1CC464B1}" uniqueName="21" name="Month Number" queryTableFieldId="22" dataDxfId="14">
      <calculatedColumnFormula>MONTH(G2)</calculatedColumnFormula>
    </tableColumn>
    <tableColumn id="22" xr3:uid="{674A99BD-571F-4E2E-90A3-647437E311CF}" uniqueName="22" name="Quarter" queryTableFieldId="23" dataDxfId="13">
      <calculatedColumnFormula>"Q"&amp;ROUNDUP(MONTH(G2)/3,0)</calculatedColumnFormula>
    </tableColumn>
    <tableColumn id="23" xr3:uid="{1BB5E130-1A23-4F05-9233-8CF3222B2E52}" uniqueName="23" name="Year-Month" queryTableFieldId="24" dataDxfId="12">
      <calculatedColumnFormula>TEXT(G2,"mmm-yyyy")</calculatedColumnFormula>
    </tableColumn>
    <tableColumn id="24" xr3:uid="{585A1E7C-48BD-4BE6-8E43-DD484E550DE3}" uniqueName="24" name="Discount Amount" queryTableFieldId="25" dataDxfId="11">
      <calculatedColumnFormula>F2*M2/100</calculatedColumnFormula>
    </tableColumn>
    <tableColumn id="25" xr3:uid="{8F9E1229-5470-4E52-871B-2C7FA6FC5789}" uniqueName="25" name="Net Sales After Discount" queryTableFieldId="26" dataDxfId="10">
      <calculatedColumnFormula>F2-X2</calculatedColumnFormula>
    </tableColumn>
    <tableColumn id="26" xr3:uid="{516311BD-8F02-4AF9-9A0A-A947AEECD52C}" uniqueName="26" name="Month Start" queryTableFieldId="27" dataDxfId="9">
      <calculatedColumnFormula>DATE(K2,MATCH(J2,{"January","February","March","April","May","June","July","August","September","October","November","December"},0),1)</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D49758-EE48-4B07-A970-8944CE8E7E7A}" name="flipkart_sales_enriched" displayName="flipkart_sales_enriched" ref="A1:O1001" tableType="queryTable" totalsRowShown="0">
  <autoFilter ref="A1:O1001" xr:uid="{F1D49758-EE48-4B07-A970-8944CE8E7E7A}"/>
  <tableColumns count="15">
    <tableColumn id="1" xr3:uid="{2291722B-69E5-4F7A-A789-9D079ADCE109}" uniqueName="1" name="Order ID" queryTableFieldId="1" dataDxfId="8"/>
    <tableColumn id="2" xr3:uid="{0D326859-3A19-4D62-BCFA-F87B1DD7D064}" uniqueName="2" name="Product Name" queryTableFieldId="2" dataDxfId="7"/>
    <tableColumn id="3" xr3:uid="{6232B4B7-2578-46C9-A1B3-EE40C5DA3EAB}" uniqueName="3" name="Category" queryTableFieldId="3" dataDxfId="6"/>
    <tableColumn id="4" xr3:uid="{99FB7EFF-2C5E-482C-B9D9-ACBDE811E957}" uniqueName="4" name="Price (INR)" queryTableFieldId="4"/>
    <tableColumn id="5" xr3:uid="{C7B7C610-7824-4E3F-B07E-1A0F803D86ED}" uniqueName="5" name="Quantity Sold" queryTableFieldId="5"/>
    <tableColumn id="6" xr3:uid="{AC304E7D-529A-48EE-8BCD-624D890665FB}" uniqueName="6" name="Total Sales (INR)" queryTableFieldId="6"/>
    <tableColumn id="7" xr3:uid="{CCF0208F-7C39-479A-856E-53DC05B29760}" uniqueName="7" name="Order Date" queryTableFieldId="7" dataDxfId="5"/>
    <tableColumn id="8" xr3:uid="{AA5F9FDA-5727-4E28-8DEB-3120D2917210}" uniqueName="8" name="Payment Method" queryTableFieldId="8" dataDxfId="4"/>
    <tableColumn id="9" xr3:uid="{F45D9193-42CA-46E6-8B45-DD93E290DEA8}" uniqueName="9" name="Customer Rating" queryTableFieldId="9"/>
    <tableColumn id="10" xr3:uid="{192D4E2E-CEE2-4F63-923D-EB1D04939789}" uniqueName="10" name="Month" queryTableFieldId="10" dataDxfId="3"/>
    <tableColumn id="11" xr3:uid="{7AF33866-65CC-49C0-8E06-1A196DFB7DE6}" uniqueName="11" name="Year" queryTableFieldId="11"/>
    <tableColumn id="12" xr3:uid="{BC60AD1F-E7E1-43D4-9DE2-7F5FE98FA4C5}" uniqueName="12" name="Profit (INR)" queryTableFieldId="12"/>
    <tableColumn id="13" xr3:uid="{DB1C07C9-93F8-40FA-9EA1-EBC53CE9F644}" uniqueName="13" name="Discount %" queryTableFieldId="13"/>
    <tableColumn id="14" xr3:uid="{38976701-F637-4A3B-8860-D9AF88018F41}" uniqueName="14" name="Customer Segment" queryTableFieldId="14" dataDxfId="2"/>
    <tableColumn id="15" xr3:uid="{DE31B74A-C881-4F66-8E2A-42B794E10946}" uniqueName="15" name="Region" queryTableFieldId="15"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val="F8D706"/>
        </a:solidFill>
        <a:ln>
          <a:solidFill>
            <a:srgbClr val="F8D706"/>
          </a:solidFill>
        </a:ln>
      </a:spPr>
      <a:bodyPr vertOverflow="clip" horzOverflow="clip" rtlCol="0" anchor="ctr"/>
      <a:lstStyle>
        <a:defPPr algn="ctr">
          <a:defRPr sz="5400" i="1" u="sng">
            <a:solidFill>
              <a:srgbClr val="F8D706"/>
            </a:solidFill>
          </a:defRPr>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4F306-1F71-4189-992F-050878F07154}">
  <dimension ref="A1:Y60"/>
  <sheetViews>
    <sheetView showGridLines="0" tabSelected="1" topLeftCell="A3" zoomScale="78" zoomScaleNormal="40" workbookViewId="0">
      <selection activeCell="Y6" sqref="Y6"/>
    </sheetView>
  </sheetViews>
  <sheetFormatPr defaultRowHeight="14.4" x14ac:dyDescent="0.3"/>
  <sheetData>
    <row r="1" spans="1:25" ht="25.8" x14ac:dyDescent="0.3">
      <c r="A1" s="25" t="s">
        <v>1118</v>
      </c>
      <c r="B1" s="26"/>
      <c r="C1" s="26"/>
      <c r="D1" s="26"/>
      <c r="E1" s="26"/>
      <c r="F1" s="26"/>
      <c r="G1" s="26"/>
      <c r="H1" s="26"/>
      <c r="I1" s="26"/>
      <c r="J1" s="26"/>
      <c r="K1" s="26"/>
      <c r="L1" s="26"/>
      <c r="M1" s="26"/>
      <c r="N1" s="26"/>
      <c r="O1" s="26"/>
      <c r="P1" s="26"/>
      <c r="Q1" s="26"/>
      <c r="R1" s="26"/>
      <c r="S1" s="26"/>
      <c r="T1" s="26"/>
      <c r="U1" s="26"/>
      <c r="V1" s="26"/>
      <c r="W1" s="26"/>
    </row>
    <row r="2" spans="1:25" ht="25.8" x14ac:dyDescent="0.5">
      <c r="A2" s="27" t="s">
        <v>1126</v>
      </c>
      <c r="B2" s="28"/>
      <c r="C2" s="28"/>
      <c r="D2" s="28"/>
      <c r="E2" s="28"/>
      <c r="F2" s="28"/>
      <c r="G2" s="28"/>
      <c r="H2" s="28"/>
      <c r="I2" s="28"/>
      <c r="J2" s="28"/>
      <c r="K2" s="28"/>
      <c r="L2" s="28"/>
      <c r="M2" s="28"/>
      <c r="N2" s="28"/>
      <c r="O2" s="28"/>
      <c r="P2" s="28"/>
      <c r="Q2" s="28"/>
      <c r="R2" s="28"/>
      <c r="S2" s="28"/>
      <c r="T2" s="28"/>
      <c r="U2" s="28"/>
      <c r="V2" s="28"/>
      <c r="W2" s="28"/>
    </row>
    <row r="3" spans="1:25" x14ac:dyDescent="0.3">
      <c r="A3" s="24"/>
      <c r="B3" s="24"/>
      <c r="C3" s="24"/>
      <c r="D3" s="24"/>
      <c r="E3" s="24"/>
      <c r="F3" s="24"/>
      <c r="G3" s="24"/>
      <c r="H3" s="24"/>
      <c r="I3" s="24"/>
      <c r="J3" s="24"/>
      <c r="K3" s="24"/>
      <c r="L3" s="24"/>
      <c r="M3" s="24"/>
      <c r="N3" s="24"/>
      <c r="O3" s="24"/>
      <c r="P3" s="24"/>
      <c r="Q3" s="24"/>
      <c r="R3" s="24"/>
      <c r="S3" s="24"/>
      <c r="T3" s="24"/>
      <c r="U3" s="24"/>
      <c r="V3" s="24"/>
      <c r="W3" s="24"/>
    </row>
    <row r="4" spans="1:25" ht="14.4" customHeight="1" x14ac:dyDescent="0.3">
      <c r="A4" s="29" t="s">
        <v>1119</v>
      </c>
      <c r="B4" s="30"/>
      <c r="C4" s="30"/>
      <c r="D4" s="35" t="s">
        <v>1120</v>
      </c>
      <c r="E4" s="36"/>
      <c r="F4" s="36"/>
      <c r="G4" s="29" t="s">
        <v>1121</v>
      </c>
      <c r="H4" s="30"/>
      <c r="I4" s="30"/>
      <c r="J4" s="29" t="s">
        <v>1122</v>
      </c>
      <c r="K4" s="30"/>
      <c r="L4" s="30"/>
      <c r="M4" s="29" t="s">
        <v>1123</v>
      </c>
      <c r="N4" s="30"/>
      <c r="O4" s="30"/>
      <c r="P4" s="29" t="s">
        <v>1124</v>
      </c>
      <c r="Q4" s="30"/>
      <c r="R4" s="30"/>
      <c r="S4" s="24"/>
      <c r="T4" s="24"/>
      <c r="U4" s="24"/>
      <c r="V4" s="24"/>
      <c r="W4" s="24"/>
    </row>
    <row r="5" spans="1:25" ht="14.4" customHeight="1" x14ac:dyDescent="0.3">
      <c r="A5" s="37">
        <f>Calculations!B4</f>
        <v>75213112.740000069</v>
      </c>
      <c r="B5" s="37"/>
      <c r="C5" s="37"/>
      <c r="D5" s="37">
        <f>Calculations!B5</f>
        <v>15042622.547999997</v>
      </c>
      <c r="E5" s="37"/>
      <c r="F5" s="37"/>
      <c r="G5" s="32">
        <f>Calculations!B6</f>
        <v>1000</v>
      </c>
      <c r="H5" s="32"/>
      <c r="I5" s="32"/>
      <c r="J5" s="31">
        <f>Calculations!B7</f>
        <v>3097</v>
      </c>
      <c r="K5" s="32"/>
      <c r="L5" s="32"/>
      <c r="M5" s="33">
        <f>Calculations!B8</f>
        <v>75213.11274000007</v>
      </c>
      <c r="N5" s="32"/>
      <c r="O5" s="32"/>
      <c r="P5" s="34">
        <f>Calculations!B10</f>
        <v>0.19999999999999976</v>
      </c>
      <c r="Q5" s="32"/>
      <c r="R5" s="32"/>
      <c r="S5" s="24"/>
      <c r="T5" s="24"/>
      <c r="U5" s="24"/>
      <c r="V5" s="24"/>
      <c r="W5" s="24"/>
    </row>
    <row r="6" spans="1:25" x14ac:dyDescent="0.3">
      <c r="A6" s="37"/>
      <c r="B6" s="37"/>
      <c r="C6" s="37"/>
      <c r="D6" s="37"/>
      <c r="E6" s="37"/>
      <c r="F6" s="37"/>
      <c r="G6" s="32"/>
      <c r="H6" s="32"/>
      <c r="I6" s="32"/>
      <c r="J6" s="32"/>
      <c r="K6" s="32"/>
      <c r="L6" s="32"/>
      <c r="M6" s="32"/>
      <c r="N6" s="32"/>
      <c r="O6" s="32"/>
      <c r="P6" s="32"/>
      <c r="Q6" s="32"/>
      <c r="R6" s="32"/>
      <c r="S6" s="24"/>
      <c r="T6" s="24"/>
      <c r="U6" s="24"/>
      <c r="V6" s="24"/>
      <c r="W6" s="24"/>
      <c r="Y6" s="5"/>
    </row>
    <row r="7" spans="1:25" x14ac:dyDescent="0.3">
      <c r="A7" s="24"/>
      <c r="B7" s="24"/>
      <c r="C7" s="24"/>
      <c r="D7" s="24"/>
      <c r="E7" s="24"/>
      <c r="F7" s="24"/>
      <c r="G7" s="24"/>
      <c r="H7" s="24"/>
      <c r="I7" s="24"/>
      <c r="J7" s="24"/>
      <c r="K7" s="24"/>
      <c r="L7" s="24"/>
      <c r="M7" s="24"/>
      <c r="N7" s="24"/>
      <c r="O7" s="24"/>
      <c r="P7" s="24"/>
      <c r="Q7" s="24"/>
      <c r="R7" s="24"/>
      <c r="S7" s="24"/>
      <c r="T7" s="24"/>
      <c r="U7" s="24"/>
      <c r="V7" s="24"/>
      <c r="W7" s="24"/>
    </row>
    <row r="8" spans="1:25" x14ac:dyDescent="0.3">
      <c r="A8" s="24"/>
      <c r="B8" s="24"/>
      <c r="C8" s="24"/>
      <c r="D8" s="24"/>
      <c r="E8" s="24"/>
      <c r="F8" s="24"/>
      <c r="G8" s="24"/>
      <c r="H8" s="24"/>
      <c r="I8" s="24"/>
      <c r="J8" s="24"/>
      <c r="K8" s="24"/>
      <c r="L8" s="24"/>
      <c r="M8" s="24"/>
      <c r="N8" s="24"/>
      <c r="O8" s="24"/>
      <c r="P8" s="24"/>
      <c r="Q8" s="24"/>
      <c r="R8" s="24"/>
      <c r="S8" s="24"/>
      <c r="T8" s="24"/>
      <c r="U8" s="24"/>
      <c r="V8" s="24"/>
      <c r="W8" s="24"/>
    </row>
    <row r="9" spans="1:25" x14ac:dyDescent="0.3">
      <c r="A9" s="24"/>
      <c r="B9" s="24"/>
      <c r="C9" s="24"/>
      <c r="D9" s="24"/>
      <c r="E9" s="24"/>
      <c r="F9" s="24"/>
      <c r="G9" s="24"/>
      <c r="H9" s="24"/>
      <c r="I9" s="24"/>
      <c r="J9" s="24"/>
      <c r="K9" s="24"/>
      <c r="L9" s="24"/>
      <c r="M9" s="24"/>
      <c r="N9" s="24"/>
      <c r="O9" s="24"/>
      <c r="P9" s="24"/>
      <c r="Q9" s="24"/>
      <c r="R9" s="24"/>
      <c r="S9" s="24"/>
      <c r="T9" s="24"/>
      <c r="U9" s="24"/>
      <c r="V9" s="24"/>
      <c r="W9" s="24"/>
    </row>
    <row r="10" spans="1:25" x14ac:dyDescent="0.3">
      <c r="A10" s="24"/>
      <c r="B10" s="24"/>
      <c r="C10" s="24"/>
      <c r="D10" s="24"/>
      <c r="E10" s="24"/>
      <c r="F10" s="24"/>
      <c r="G10" s="24"/>
      <c r="H10" s="24"/>
      <c r="I10" s="24"/>
      <c r="J10" s="24"/>
      <c r="K10" s="24"/>
      <c r="L10" s="24"/>
      <c r="M10" s="24"/>
      <c r="N10" s="24"/>
      <c r="O10" s="24"/>
      <c r="P10" s="24"/>
      <c r="Q10" s="24"/>
      <c r="R10" s="24"/>
      <c r="S10" s="24"/>
      <c r="T10" s="24"/>
      <c r="U10" s="24"/>
      <c r="V10" s="24"/>
      <c r="W10" s="24"/>
    </row>
    <row r="11" spans="1:25" x14ac:dyDescent="0.3">
      <c r="A11" s="24"/>
      <c r="B11" s="24"/>
      <c r="C11" s="24"/>
      <c r="D11" s="24"/>
      <c r="E11" s="24"/>
      <c r="F11" s="24"/>
      <c r="G11" s="24"/>
      <c r="H11" s="24"/>
      <c r="I11" s="24"/>
      <c r="J11" s="24"/>
      <c r="K11" s="24"/>
      <c r="L11" s="24"/>
      <c r="M11" s="24"/>
      <c r="N11" s="24"/>
      <c r="O11" s="24"/>
      <c r="P11" s="24"/>
      <c r="Q11" s="24"/>
      <c r="R11" s="24"/>
      <c r="S11" s="24"/>
      <c r="T11" s="24"/>
      <c r="U11" s="24"/>
      <c r="V11" s="24"/>
      <c r="W11" s="24"/>
    </row>
    <row r="12" spans="1:25" x14ac:dyDescent="0.3">
      <c r="A12" s="24"/>
      <c r="B12" s="24"/>
      <c r="C12" s="24"/>
      <c r="D12" s="24"/>
      <c r="E12" s="24"/>
      <c r="F12" s="24"/>
      <c r="G12" s="24"/>
      <c r="H12" s="24"/>
      <c r="I12" s="24"/>
      <c r="J12" s="24"/>
      <c r="K12" s="24"/>
      <c r="L12" s="24"/>
      <c r="M12" s="24"/>
      <c r="N12" s="24"/>
      <c r="O12" s="24"/>
      <c r="P12" s="24"/>
      <c r="Q12" s="24"/>
      <c r="R12" s="24"/>
      <c r="S12" s="24"/>
      <c r="T12" s="24"/>
      <c r="U12" s="24"/>
      <c r="V12" s="24"/>
      <c r="W12" s="24"/>
    </row>
    <row r="13" spans="1:25" x14ac:dyDescent="0.3">
      <c r="A13" s="24"/>
      <c r="B13" s="24"/>
      <c r="C13" s="24"/>
      <c r="D13" s="24"/>
      <c r="E13" s="24"/>
      <c r="F13" s="24"/>
      <c r="G13" s="24"/>
      <c r="H13" s="24"/>
      <c r="I13" s="24"/>
      <c r="J13" s="24"/>
      <c r="K13" s="24"/>
      <c r="L13" s="24"/>
      <c r="M13" s="24"/>
      <c r="N13" s="24"/>
      <c r="O13" s="24"/>
      <c r="P13" s="24"/>
      <c r="Q13" s="24"/>
      <c r="R13" s="24"/>
      <c r="S13" s="24"/>
      <c r="T13" s="24"/>
      <c r="U13" s="24"/>
      <c r="V13" s="24"/>
      <c r="W13" s="24"/>
    </row>
    <row r="14" spans="1:25" ht="14.4" customHeight="1" x14ac:dyDescent="0.3">
      <c r="A14" s="24"/>
      <c r="B14" s="24"/>
      <c r="C14" s="24"/>
      <c r="D14" s="24"/>
      <c r="E14" s="24"/>
      <c r="F14" s="24"/>
      <c r="G14" s="24"/>
      <c r="H14" s="24"/>
      <c r="I14" s="24"/>
      <c r="J14" s="24"/>
      <c r="K14" s="24"/>
      <c r="L14" s="24"/>
      <c r="M14" s="24"/>
      <c r="N14" s="24"/>
      <c r="O14" s="24"/>
      <c r="P14" s="24"/>
      <c r="Q14" s="24"/>
      <c r="R14" s="24"/>
      <c r="S14" s="24"/>
      <c r="T14" s="24"/>
      <c r="U14" s="24"/>
      <c r="V14" s="24"/>
      <c r="W14" s="24"/>
    </row>
    <row r="15" spans="1:25" ht="14.4" customHeight="1" x14ac:dyDescent="0.3">
      <c r="A15" s="24"/>
      <c r="B15" s="24"/>
      <c r="C15" s="24"/>
      <c r="D15" s="24"/>
      <c r="E15" s="24"/>
      <c r="F15" s="24"/>
      <c r="G15" s="24"/>
      <c r="H15" s="24"/>
      <c r="I15" s="24"/>
      <c r="J15" s="24"/>
      <c r="K15" s="24"/>
      <c r="L15" s="24"/>
      <c r="M15" s="24"/>
      <c r="N15" s="24"/>
      <c r="O15" s="24"/>
      <c r="P15" s="24"/>
      <c r="Q15" s="24"/>
      <c r="R15" s="24"/>
      <c r="S15" s="24"/>
      <c r="T15" s="24"/>
      <c r="U15" s="24"/>
      <c r="V15" s="24"/>
      <c r="W15" s="24"/>
    </row>
    <row r="16" spans="1:25" x14ac:dyDescent="0.3">
      <c r="A16" s="24"/>
      <c r="B16" s="24"/>
      <c r="C16" s="24"/>
      <c r="D16" s="24"/>
      <c r="E16" s="24"/>
      <c r="F16" s="24"/>
      <c r="G16" s="24"/>
      <c r="H16" s="24"/>
      <c r="I16" s="24"/>
      <c r="J16" s="24"/>
      <c r="K16" s="24"/>
      <c r="L16" s="24"/>
      <c r="M16" s="24"/>
      <c r="N16" s="24"/>
      <c r="O16" s="24"/>
      <c r="P16" s="24"/>
      <c r="Q16" s="24"/>
      <c r="R16" s="24"/>
      <c r="S16" s="24"/>
      <c r="T16" s="24"/>
      <c r="U16" s="24"/>
      <c r="V16" s="24"/>
      <c r="W16" s="24"/>
    </row>
    <row r="17" spans="1:23" x14ac:dyDescent="0.3">
      <c r="A17" s="24"/>
      <c r="B17" s="24"/>
      <c r="C17" s="24"/>
      <c r="D17" s="24"/>
      <c r="E17" s="24"/>
      <c r="F17" s="24"/>
      <c r="G17" s="24"/>
      <c r="H17" s="24"/>
      <c r="I17" s="24"/>
      <c r="J17" s="24"/>
      <c r="K17" s="24"/>
      <c r="L17" s="24"/>
      <c r="M17" s="24"/>
      <c r="N17" s="24"/>
      <c r="O17" s="24"/>
      <c r="P17" s="24"/>
      <c r="Q17" s="24"/>
      <c r="R17" s="24"/>
      <c r="S17" s="24"/>
      <c r="T17" s="24"/>
      <c r="U17" s="24"/>
      <c r="V17" s="24"/>
      <c r="W17" s="24"/>
    </row>
    <row r="18" spans="1:23" x14ac:dyDescent="0.3">
      <c r="A18" s="24"/>
      <c r="B18" s="24"/>
      <c r="C18" s="24"/>
      <c r="D18" s="24"/>
      <c r="E18" s="24"/>
      <c r="F18" s="24"/>
      <c r="G18" s="24"/>
      <c r="H18" s="24"/>
      <c r="I18" s="24"/>
      <c r="J18" s="24"/>
      <c r="K18" s="24"/>
      <c r="L18" s="24"/>
      <c r="M18" s="24"/>
      <c r="N18" s="24"/>
      <c r="O18" s="24"/>
      <c r="P18" s="24"/>
      <c r="Q18" s="24"/>
      <c r="R18" s="24"/>
      <c r="S18" s="24"/>
      <c r="T18" s="24"/>
      <c r="U18" s="24"/>
      <c r="V18" s="24"/>
      <c r="W18" s="24"/>
    </row>
    <row r="19" spans="1:23" x14ac:dyDescent="0.3">
      <c r="A19" s="24"/>
      <c r="B19" s="24"/>
      <c r="C19" s="24"/>
      <c r="D19" s="24"/>
      <c r="E19" s="24"/>
      <c r="F19" s="24"/>
      <c r="G19" s="24"/>
      <c r="H19" s="24"/>
      <c r="I19" s="24"/>
      <c r="J19" s="24"/>
      <c r="K19" s="24"/>
      <c r="L19" s="24"/>
      <c r="M19" s="24"/>
      <c r="N19" s="24"/>
      <c r="O19" s="24"/>
      <c r="P19" s="24"/>
      <c r="Q19" s="24"/>
      <c r="R19" s="24"/>
      <c r="S19" s="24"/>
      <c r="T19" s="24"/>
      <c r="U19" s="24"/>
      <c r="V19" s="24"/>
      <c r="W19" s="24"/>
    </row>
    <row r="20" spans="1:23" x14ac:dyDescent="0.3">
      <c r="A20" s="24"/>
      <c r="B20" s="24"/>
      <c r="C20" s="24"/>
      <c r="D20" s="24"/>
      <c r="E20" s="24"/>
      <c r="F20" s="24"/>
      <c r="G20" s="24"/>
      <c r="H20" s="24"/>
      <c r="I20" s="24"/>
      <c r="J20" s="24"/>
      <c r="K20" s="24"/>
      <c r="L20" s="24"/>
      <c r="M20" s="24"/>
      <c r="N20" s="24"/>
      <c r="O20" s="24"/>
      <c r="P20" s="24"/>
      <c r="Q20" s="24"/>
      <c r="R20" s="24"/>
      <c r="S20" s="24"/>
      <c r="T20" s="24"/>
      <c r="U20" s="24"/>
      <c r="V20" s="24"/>
      <c r="W20" s="24"/>
    </row>
    <row r="21" spans="1:23" x14ac:dyDescent="0.3">
      <c r="A21" s="24"/>
      <c r="B21" s="24"/>
      <c r="C21" s="24"/>
      <c r="D21" s="24"/>
      <c r="E21" s="24"/>
      <c r="F21" s="24"/>
      <c r="G21" s="24"/>
      <c r="H21" s="24"/>
      <c r="I21" s="24"/>
      <c r="J21" s="24"/>
      <c r="K21" s="24"/>
      <c r="L21" s="24"/>
      <c r="M21" s="24"/>
      <c r="N21" s="24"/>
      <c r="O21" s="24"/>
      <c r="P21" s="24"/>
      <c r="Q21" s="24"/>
      <c r="R21" s="24"/>
      <c r="S21" s="24"/>
      <c r="T21" s="24"/>
      <c r="U21" s="24"/>
      <c r="V21" s="24"/>
      <c r="W21" s="24"/>
    </row>
    <row r="22" spans="1:23" x14ac:dyDescent="0.3">
      <c r="A22" s="24"/>
      <c r="B22" s="24"/>
      <c r="C22" s="24"/>
      <c r="D22" s="24"/>
      <c r="E22" s="24"/>
      <c r="F22" s="24"/>
      <c r="G22" s="24"/>
      <c r="H22" s="24"/>
      <c r="I22" s="24"/>
      <c r="J22" s="24"/>
      <c r="K22" s="24"/>
      <c r="L22" s="24"/>
      <c r="M22" s="24"/>
      <c r="N22" s="24"/>
      <c r="O22" s="24"/>
      <c r="P22" s="24"/>
      <c r="Q22" s="24"/>
      <c r="R22" s="24"/>
      <c r="S22" s="24"/>
      <c r="T22" s="24"/>
      <c r="U22" s="24"/>
      <c r="V22" s="24"/>
      <c r="W22" s="24"/>
    </row>
    <row r="23" spans="1:23" x14ac:dyDescent="0.3">
      <c r="A23" s="24"/>
      <c r="B23" s="24"/>
      <c r="C23" s="24"/>
      <c r="D23" s="24"/>
      <c r="E23" s="24"/>
      <c r="F23" s="24"/>
      <c r="G23" s="24"/>
      <c r="H23" s="24"/>
      <c r="I23" s="24"/>
      <c r="J23" s="24"/>
      <c r="K23" s="24"/>
      <c r="L23" s="24"/>
      <c r="M23" s="24"/>
      <c r="N23" s="24"/>
      <c r="O23" s="24"/>
      <c r="P23" s="24"/>
      <c r="Q23" s="24"/>
      <c r="R23" s="24"/>
      <c r="S23" s="24"/>
      <c r="T23" s="24"/>
      <c r="U23" s="24"/>
      <c r="V23" s="24"/>
      <c r="W23" s="24"/>
    </row>
    <row r="24" spans="1:23" x14ac:dyDescent="0.3">
      <c r="A24" s="24"/>
      <c r="B24" s="24"/>
      <c r="C24" s="24"/>
      <c r="D24" s="24"/>
      <c r="E24" s="24"/>
      <c r="F24" s="24"/>
      <c r="G24" s="24"/>
      <c r="H24" s="24"/>
      <c r="I24" s="24"/>
      <c r="J24" s="24"/>
      <c r="K24" s="24"/>
      <c r="L24" s="24"/>
      <c r="M24" s="24"/>
      <c r="N24" s="24"/>
      <c r="O24" s="24"/>
      <c r="P24" s="24"/>
      <c r="Q24" s="24"/>
      <c r="R24" s="24"/>
      <c r="S24" s="24"/>
      <c r="T24" s="24"/>
      <c r="U24" s="24"/>
      <c r="V24" s="24"/>
      <c r="W24" s="24"/>
    </row>
    <row r="25" spans="1:23" x14ac:dyDescent="0.3">
      <c r="A25" s="24"/>
      <c r="B25" s="24"/>
      <c r="C25" s="24"/>
      <c r="D25" s="24"/>
      <c r="E25" s="24"/>
      <c r="F25" s="24"/>
      <c r="G25" s="24"/>
      <c r="H25" s="24"/>
      <c r="I25" s="24"/>
      <c r="J25" s="24"/>
      <c r="K25" s="24"/>
      <c r="L25" s="24"/>
      <c r="M25" s="24"/>
      <c r="N25" s="24"/>
      <c r="O25" s="24"/>
      <c r="P25" s="24"/>
      <c r="Q25" s="24"/>
      <c r="R25" s="24"/>
      <c r="S25" s="24"/>
      <c r="T25" s="24"/>
      <c r="U25" s="24"/>
      <c r="V25" s="24"/>
      <c r="W25" s="24"/>
    </row>
    <row r="26" spans="1:23" x14ac:dyDescent="0.3">
      <c r="A26" s="24"/>
      <c r="B26" s="24"/>
      <c r="C26" s="24"/>
      <c r="D26" s="24"/>
      <c r="E26" s="24"/>
      <c r="F26" s="24"/>
      <c r="G26" s="24"/>
      <c r="H26" s="24"/>
      <c r="I26" s="24"/>
      <c r="J26" s="24"/>
      <c r="K26" s="24"/>
      <c r="L26" s="24"/>
      <c r="M26" s="24"/>
      <c r="N26" s="24"/>
      <c r="O26" s="24"/>
      <c r="P26" s="24"/>
      <c r="Q26" s="24"/>
      <c r="R26" s="24"/>
      <c r="S26" s="24"/>
      <c r="T26" s="24"/>
      <c r="U26" s="24"/>
      <c r="V26" s="24"/>
      <c r="W26" s="24"/>
    </row>
    <row r="27" spans="1:23" x14ac:dyDescent="0.3">
      <c r="A27" s="24"/>
      <c r="B27" s="24"/>
      <c r="C27" s="24"/>
      <c r="D27" s="24"/>
      <c r="E27" s="24"/>
      <c r="F27" s="24"/>
      <c r="G27" s="24"/>
      <c r="H27" s="24"/>
      <c r="I27" s="24"/>
      <c r="J27" s="24"/>
      <c r="K27" s="24"/>
      <c r="L27" s="24"/>
      <c r="M27" s="24"/>
      <c r="N27" s="24"/>
      <c r="O27" s="24"/>
      <c r="P27" s="24"/>
      <c r="Q27" s="24"/>
      <c r="R27" s="24"/>
      <c r="S27" s="24"/>
      <c r="T27" s="24"/>
      <c r="U27" s="24"/>
      <c r="V27" s="24"/>
      <c r="W27" s="24"/>
    </row>
    <row r="28" spans="1:23" x14ac:dyDescent="0.3">
      <c r="A28" s="24"/>
      <c r="B28" s="24"/>
      <c r="C28" s="24"/>
      <c r="D28" s="24"/>
      <c r="E28" s="24"/>
      <c r="F28" s="24"/>
      <c r="G28" s="24"/>
      <c r="H28" s="24"/>
      <c r="I28" s="24"/>
      <c r="J28" s="24"/>
      <c r="K28" s="24"/>
      <c r="L28" s="24"/>
      <c r="M28" s="24"/>
      <c r="N28" s="24"/>
      <c r="O28" s="24"/>
      <c r="P28" s="24"/>
      <c r="Q28" s="24"/>
      <c r="R28" s="24"/>
      <c r="S28" s="24"/>
      <c r="T28" s="24"/>
      <c r="U28" s="24"/>
      <c r="V28" s="24"/>
      <c r="W28" s="24"/>
    </row>
    <row r="29" spans="1:23" x14ac:dyDescent="0.3">
      <c r="A29" s="24"/>
      <c r="B29" s="24"/>
      <c r="C29" s="24"/>
      <c r="D29" s="24"/>
      <c r="E29" s="24"/>
      <c r="F29" s="24"/>
      <c r="G29" s="24"/>
      <c r="H29" s="24"/>
      <c r="I29" s="24"/>
      <c r="J29" s="24"/>
      <c r="K29" s="24"/>
      <c r="L29" s="24"/>
      <c r="M29" s="24"/>
      <c r="N29" s="24"/>
      <c r="O29" s="24"/>
      <c r="P29" s="24"/>
      <c r="Q29" s="24"/>
      <c r="R29" s="24"/>
      <c r="S29" s="24"/>
      <c r="T29" s="24"/>
      <c r="U29" s="24"/>
      <c r="V29" s="24"/>
      <c r="W29" s="24"/>
    </row>
    <row r="30" spans="1:23" x14ac:dyDescent="0.3">
      <c r="A30" s="24"/>
      <c r="B30" s="24"/>
      <c r="C30" s="24"/>
      <c r="D30" s="24"/>
      <c r="E30" s="24"/>
      <c r="F30" s="24"/>
      <c r="G30" s="24"/>
      <c r="H30" s="24"/>
      <c r="I30" s="24"/>
      <c r="J30" s="24"/>
      <c r="K30" s="24"/>
      <c r="L30" s="24"/>
      <c r="M30" s="24"/>
      <c r="N30" s="24"/>
      <c r="O30" s="24"/>
      <c r="P30" s="24"/>
      <c r="Q30" s="24"/>
      <c r="R30" s="24"/>
      <c r="S30" s="24"/>
      <c r="T30" s="24"/>
      <c r="U30" s="24"/>
      <c r="V30" s="24"/>
      <c r="W30" s="24"/>
    </row>
    <row r="31" spans="1:23" x14ac:dyDescent="0.3">
      <c r="A31" s="24"/>
      <c r="B31" s="24"/>
      <c r="C31" s="24"/>
      <c r="D31" s="24"/>
      <c r="E31" s="24"/>
      <c r="F31" s="24"/>
      <c r="G31" s="24"/>
      <c r="H31" s="24"/>
      <c r="I31" s="24"/>
      <c r="J31" s="24"/>
      <c r="K31" s="24"/>
      <c r="L31" s="24"/>
      <c r="M31" s="24"/>
      <c r="N31" s="24"/>
      <c r="O31" s="24"/>
      <c r="P31" s="24"/>
      <c r="Q31" s="24"/>
      <c r="R31" s="24"/>
      <c r="S31" s="24"/>
      <c r="T31" s="24"/>
      <c r="U31" s="24"/>
      <c r="V31" s="24"/>
      <c r="W31" s="24"/>
    </row>
    <row r="32" spans="1:23" x14ac:dyDescent="0.3">
      <c r="A32" s="24"/>
      <c r="B32" s="24"/>
      <c r="C32" s="24"/>
      <c r="D32" s="24"/>
      <c r="E32" s="24"/>
      <c r="F32" s="24"/>
      <c r="G32" s="24"/>
      <c r="H32" s="24"/>
      <c r="I32" s="24"/>
      <c r="J32" s="24"/>
      <c r="K32" s="24"/>
      <c r="L32" s="24"/>
      <c r="M32" s="24"/>
      <c r="N32" s="24"/>
      <c r="O32" s="24"/>
      <c r="P32" s="24"/>
      <c r="Q32" s="24"/>
      <c r="R32" s="24"/>
      <c r="S32" s="24"/>
      <c r="T32" s="24"/>
      <c r="U32" s="24"/>
      <c r="V32" s="24"/>
      <c r="W32" s="24"/>
    </row>
    <row r="33" spans="1:23" x14ac:dyDescent="0.3">
      <c r="A33" s="24"/>
      <c r="B33" s="24"/>
      <c r="C33" s="24"/>
      <c r="D33" s="24"/>
      <c r="E33" s="24"/>
      <c r="F33" s="24"/>
      <c r="G33" s="24"/>
      <c r="H33" s="24"/>
      <c r="I33" s="24"/>
      <c r="J33" s="24"/>
      <c r="K33" s="24"/>
      <c r="L33" s="24"/>
      <c r="M33" s="24"/>
      <c r="N33" s="24"/>
      <c r="O33" s="24"/>
      <c r="P33" s="24"/>
      <c r="Q33" s="24"/>
      <c r="R33" s="24"/>
      <c r="S33" s="24"/>
      <c r="T33" s="24"/>
      <c r="U33" s="24"/>
      <c r="V33" s="24"/>
      <c r="W33" s="24"/>
    </row>
    <row r="34" spans="1:23" x14ac:dyDescent="0.3">
      <c r="A34" s="24"/>
      <c r="B34" s="24"/>
      <c r="C34" s="24"/>
      <c r="D34" s="24"/>
      <c r="E34" s="24"/>
      <c r="F34" s="24"/>
      <c r="G34" s="24"/>
      <c r="H34" s="24"/>
      <c r="I34" s="24"/>
      <c r="J34" s="24"/>
      <c r="K34" s="24"/>
      <c r="L34" s="24"/>
      <c r="M34" s="24"/>
      <c r="N34" s="24"/>
      <c r="O34" s="24"/>
      <c r="P34" s="24"/>
      <c r="Q34" s="24"/>
      <c r="R34" s="24"/>
      <c r="S34" s="24"/>
      <c r="T34" s="24"/>
      <c r="U34" s="24"/>
      <c r="V34" s="24"/>
      <c r="W34" s="24"/>
    </row>
    <row r="35" spans="1:23" x14ac:dyDescent="0.3">
      <c r="A35" s="24"/>
      <c r="B35" s="24"/>
      <c r="C35" s="24"/>
      <c r="D35" s="24"/>
      <c r="E35" s="24"/>
      <c r="F35" s="24"/>
      <c r="G35" s="24"/>
      <c r="H35" s="24"/>
      <c r="I35" s="24"/>
      <c r="J35" s="24"/>
      <c r="K35" s="24"/>
      <c r="L35" s="24"/>
      <c r="M35" s="24"/>
      <c r="N35" s="24"/>
      <c r="O35" s="24"/>
      <c r="P35" s="24"/>
      <c r="Q35" s="24"/>
      <c r="R35" s="24"/>
      <c r="S35" s="24"/>
      <c r="T35" s="24"/>
      <c r="U35" s="24"/>
      <c r="V35" s="24"/>
      <c r="W35" s="24"/>
    </row>
    <row r="36" spans="1:23" x14ac:dyDescent="0.3">
      <c r="A36" s="24"/>
      <c r="B36" s="24"/>
      <c r="C36" s="24"/>
      <c r="D36" s="24"/>
      <c r="E36" s="24"/>
      <c r="F36" s="24"/>
      <c r="G36" s="24"/>
      <c r="H36" s="24"/>
      <c r="I36" s="24"/>
      <c r="J36" s="24"/>
      <c r="K36" s="24"/>
      <c r="L36" s="24"/>
      <c r="M36" s="24"/>
      <c r="N36" s="24"/>
      <c r="O36" s="24"/>
      <c r="P36" s="24"/>
      <c r="Q36" s="24"/>
      <c r="R36" s="24"/>
      <c r="S36" s="24"/>
      <c r="T36" s="24"/>
      <c r="U36" s="24"/>
      <c r="V36" s="24"/>
      <c r="W36" s="24"/>
    </row>
    <row r="37" spans="1:23" x14ac:dyDescent="0.3">
      <c r="A37" s="24"/>
      <c r="B37" s="24"/>
      <c r="C37" s="24"/>
      <c r="D37" s="24"/>
      <c r="E37" s="24"/>
      <c r="F37" s="24"/>
      <c r="G37" s="24"/>
      <c r="H37" s="24"/>
      <c r="I37" s="24"/>
      <c r="J37" s="24"/>
      <c r="K37" s="24"/>
      <c r="L37" s="24"/>
      <c r="M37" s="24"/>
      <c r="N37" s="24"/>
      <c r="O37" s="24"/>
      <c r="P37" s="24"/>
      <c r="Q37" s="24"/>
      <c r="R37" s="24"/>
      <c r="S37" s="24"/>
      <c r="T37" s="24"/>
      <c r="U37" s="24"/>
      <c r="V37" s="24"/>
      <c r="W37" s="24"/>
    </row>
    <row r="38" spans="1:23" x14ac:dyDescent="0.3">
      <c r="A38" s="24"/>
      <c r="B38" s="24"/>
      <c r="C38" s="24"/>
      <c r="D38" s="24"/>
      <c r="E38" s="24"/>
      <c r="F38" s="24"/>
      <c r="G38" s="24"/>
      <c r="H38" s="24"/>
      <c r="I38" s="24"/>
      <c r="J38" s="24"/>
      <c r="K38" s="24"/>
      <c r="L38" s="24"/>
      <c r="M38" s="24"/>
      <c r="N38" s="24"/>
      <c r="O38" s="24"/>
      <c r="P38" s="24"/>
      <c r="Q38" s="24"/>
      <c r="R38" s="24"/>
      <c r="S38" s="24"/>
      <c r="T38" s="24"/>
      <c r="U38" s="24"/>
      <c r="V38" s="24"/>
      <c r="W38" s="24"/>
    </row>
    <row r="39" spans="1:23" x14ac:dyDescent="0.3">
      <c r="A39" s="24"/>
      <c r="B39" s="24"/>
      <c r="C39" s="24"/>
      <c r="D39" s="24"/>
      <c r="E39" s="24"/>
      <c r="F39" s="24"/>
      <c r="G39" s="24"/>
      <c r="H39" s="24"/>
      <c r="I39" s="24"/>
      <c r="J39" s="24"/>
      <c r="K39" s="24"/>
      <c r="L39" s="24"/>
      <c r="M39" s="24"/>
      <c r="N39" s="24"/>
      <c r="O39" s="24"/>
      <c r="P39" s="24"/>
      <c r="Q39" s="24"/>
      <c r="R39" s="24"/>
      <c r="S39" s="24"/>
      <c r="T39" s="24"/>
      <c r="U39" s="24"/>
      <c r="V39" s="24"/>
      <c r="W39" s="24"/>
    </row>
    <row r="40" spans="1:23" x14ac:dyDescent="0.3">
      <c r="A40" s="24"/>
      <c r="B40" s="24"/>
      <c r="C40" s="24"/>
      <c r="D40" s="24"/>
      <c r="E40" s="24"/>
      <c r="F40" s="24"/>
      <c r="G40" s="24"/>
      <c r="H40" s="24"/>
      <c r="I40" s="24"/>
      <c r="J40" s="24"/>
      <c r="K40" s="24"/>
      <c r="L40" s="24"/>
      <c r="M40" s="24"/>
      <c r="N40" s="24"/>
      <c r="O40" s="24"/>
      <c r="P40" s="24"/>
      <c r="Q40" s="24"/>
      <c r="R40" s="24"/>
      <c r="S40" s="24"/>
      <c r="T40" s="24"/>
      <c r="U40" s="24"/>
      <c r="V40" s="24"/>
      <c r="W40" s="24"/>
    </row>
    <row r="41" spans="1:23" x14ac:dyDescent="0.3">
      <c r="A41" s="24"/>
      <c r="B41" s="24"/>
      <c r="C41" s="24"/>
      <c r="D41" s="24"/>
      <c r="E41" s="24"/>
      <c r="F41" s="24"/>
      <c r="G41" s="24"/>
      <c r="H41" s="24"/>
      <c r="I41" s="24"/>
      <c r="J41" s="24"/>
      <c r="K41" s="24"/>
      <c r="L41" s="24"/>
      <c r="M41" s="24"/>
      <c r="N41" s="24"/>
      <c r="O41" s="24"/>
      <c r="P41" s="24"/>
      <c r="Q41" s="24"/>
      <c r="R41" s="24"/>
      <c r="S41" s="24"/>
      <c r="T41" s="24"/>
      <c r="U41" s="24"/>
      <c r="V41" s="24"/>
      <c r="W41" s="24"/>
    </row>
    <row r="42" spans="1:23" x14ac:dyDescent="0.3">
      <c r="A42" s="24"/>
      <c r="B42" s="24"/>
      <c r="C42" s="24"/>
      <c r="D42" s="24"/>
      <c r="E42" s="24"/>
      <c r="F42" s="24"/>
      <c r="G42" s="24"/>
      <c r="H42" s="24"/>
      <c r="I42" s="24"/>
      <c r="J42" s="24"/>
      <c r="K42" s="24"/>
      <c r="L42" s="24"/>
      <c r="M42" s="24"/>
      <c r="N42" s="24"/>
      <c r="O42" s="24"/>
      <c r="P42" s="24"/>
      <c r="Q42" s="24"/>
      <c r="R42" s="24"/>
      <c r="S42" s="24"/>
      <c r="T42" s="24"/>
      <c r="U42" s="24"/>
      <c r="V42" s="24"/>
      <c r="W42" s="24"/>
    </row>
    <row r="43" spans="1:23" x14ac:dyDescent="0.3">
      <c r="A43" s="24"/>
      <c r="B43" s="24"/>
      <c r="C43" s="24"/>
      <c r="D43" s="24"/>
      <c r="E43" s="24"/>
      <c r="F43" s="24"/>
      <c r="G43" s="24"/>
      <c r="H43" s="24"/>
      <c r="I43" s="24"/>
      <c r="J43" s="24"/>
      <c r="K43" s="24"/>
      <c r="L43" s="24"/>
      <c r="M43" s="24"/>
      <c r="N43" s="24"/>
      <c r="O43" s="24"/>
      <c r="P43" s="24"/>
      <c r="Q43" s="24"/>
      <c r="R43" s="24"/>
      <c r="S43" s="24"/>
      <c r="T43" s="24"/>
      <c r="U43" s="24"/>
      <c r="V43" s="24"/>
      <c r="W43" s="24"/>
    </row>
    <row r="44" spans="1:23" x14ac:dyDescent="0.3">
      <c r="A44" s="24"/>
      <c r="B44" s="24"/>
      <c r="C44" s="24"/>
      <c r="D44" s="24"/>
      <c r="E44" s="24"/>
      <c r="F44" s="24"/>
      <c r="G44" s="24"/>
      <c r="H44" s="24"/>
      <c r="I44" s="24"/>
      <c r="J44" s="24"/>
      <c r="K44" s="24"/>
      <c r="L44" s="24"/>
      <c r="M44" s="24"/>
      <c r="N44" s="24"/>
      <c r="O44" s="24"/>
      <c r="P44" s="24"/>
      <c r="Q44" s="24"/>
      <c r="R44" s="24"/>
      <c r="S44" s="24"/>
      <c r="T44" s="24"/>
      <c r="U44" s="24"/>
      <c r="V44" s="24"/>
      <c r="W44" s="24"/>
    </row>
    <row r="45" spans="1:23" x14ac:dyDescent="0.3">
      <c r="A45" s="24"/>
      <c r="B45" s="24"/>
      <c r="C45" s="24"/>
      <c r="D45" s="24"/>
      <c r="E45" s="24"/>
      <c r="F45" s="24"/>
      <c r="G45" s="24"/>
      <c r="H45" s="24"/>
      <c r="I45" s="24"/>
      <c r="J45" s="24"/>
      <c r="K45" s="24"/>
      <c r="L45" s="24"/>
      <c r="M45" s="24"/>
      <c r="N45" s="24"/>
      <c r="O45" s="24"/>
      <c r="P45" s="24"/>
      <c r="Q45" s="24"/>
      <c r="R45" s="24"/>
      <c r="S45" s="24"/>
      <c r="T45" s="24"/>
      <c r="U45" s="24"/>
      <c r="V45" s="24"/>
      <c r="W45" s="24"/>
    </row>
    <row r="46" spans="1:23" x14ac:dyDescent="0.3">
      <c r="A46" s="24"/>
      <c r="B46" s="24"/>
      <c r="C46" s="24"/>
      <c r="D46" s="24"/>
      <c r="E46" s="24"/>
      <c r="F46" s="24"/>
      <c r="G46" s="24"/>
      <c r="H46" s="24"/>
      <c r="I46" s="24"/>
      <c r="J46" s="24"/>
      <c r="K46" s="24"/>
      <c r="L46" s="24"/>
      <c r="M46" s="24"/>
      <c r="N46" s="24"/>
      <c r="O46" s="24"/>
      <c r="P46" s="24"/>
      <c r="Q46" s="24"/>
      <c r="R46" s="24"/>
      <c r="S46" s="24"/>
      <c r="T46" s="24"/>
      <c r="U46" s="24"/>
      <c r="V46" s="24"/>
      <c r="W46" s="24"/>
    </row>
    <row r="47" spans="1:23" x14ac:dyDescent="0.3">
      <c r="A47" s="23"/>
      <c r="B47" s="23"/>
      <c r="C47" s="23"/>
      <c r="D47" s="23"/>
      <c r="E47" s="23"/>
      <c r="F47" s="23"/>
      <c r="G47" s="23"/>
      <c r="H47" s="23"/>
      <c r="I47" s="23"/>
      <c r="J47" s="23"/>
      <c r="K47" s="23"/>
      <c r="L47" s="23"/>
      <c r="M47" s="23"/>
      <c r="N47" s="23"/>
      <c r="O47" s="23"/>
      <c r="P47" s="23"/>
      <c r="Q47" s="23"/>
      <c r="R47" s="23"/>
      <c r="S47" s="23"/>
      <c r="T47" s="23"/>
      <c r="U47" s="23"/>
      <c r="V47" s="23"/>
      <c r="W47" s="23"/>
    </row>
    <row r="48" spans="1:23" x14ac:dyDescent="0.3">
      <c r="A48" s="23"/>
      <c r="B48" s="23"/>
      <c r="C48" s="23"/>
      <c r="D48" s="23"/>
      <c r="E48" s="23"/>
      <c r="F48" s="23"/>
      <c r="G48" s="23"/>
      <c r="H48" s="23"/>
      <c r="I48" s="23"/>
      <c r="J48" s="23"/>
      <c r="K48" s="23"/>
      <c r="L48" s="23"/>
      <c r="M48" s="23"/>
      <c r="N48" s="23"/>
      <c r="O48" s="23"/>
      <c r="P48" s="23"/>
      <c r="Q48" s="23"/>
      <c r="R48" s="23"/>
      <c r="S48" s="23"/>
      <c r="T48" s="23"/>
      <c r="U48" s="23"/>
      <c r="V48" s="23"/>
      <c r="W48" s="23"/>
    </row>
    <row r="49" spans="1:23" x14ac:dyDescent="0.3">
      <c r="A49" s="23"/>
      <c r="B49" s="23"/>
      <c r="C49" s="23"/>
      <c r="D49" s="23"/>
      <c r="E49" s="23"/>
      <c r="F49" s="23"/>
      <c r="G49" s="23"/>
      <c r="H49" s="23"/>
      <c r="I49" s="23"/>
      <c r="J49" s="23"/>
      <c r="K49" s="23"/>
      <c r="L49" s="23"/>
      <c r="M49" s="23"/>
      <c r="N49" s="23"/>
      <c r="O49" s="23"/>
      <c r="P49" s="23"/>
      <c r="Q49" s="23"/>
      <c r="R49" s="23"/>
      <c r="S49" s="23"/>
      <c r="T49" s="23"/>
      <c r="U49" s="23"/>
      <c r="V49" s="23"/>
      <c r="W49" s="23"/>
    </row>
    <row r="50" spans="1:23" x14ac:dyDescent="0.3">
      <c r="A50" s="23"/>
      <c r="B50" s="23"/>
      <c r="C50" s="23"/>
      <c r="D50" s="23"/>
      <c r="E50" s="23"/>
      <c r="F50" s="23"/>
      <c r="G50" s="23"/>
      <c r="H50" s="23"/>
      <c r="I50" s="23"/>
      <c r="J50" s="23"/>
      <c r="K50" s="23"/>
      <c r="L50" s="23"/>
      <c r="M50" s="23"/>
      <c r="N50" s="23"/>
      <c r="O50" s="23"/>
      <c r="P50" s="23"/>
      <c r="Q50" s="23"/>
      <c r="R50" s="23"/>
      <c r="S50" s="23"/>
      <c r="T50" s="23"/>
      <c r="U50" s="23"/>
      <c r="V50" s="23"/>
      <c r="W50" s="23"/>
    </row>
    <row r="51" spans="1:23" x14ac:dyDescent="0.3">
      <c r="A51" s="23"/>
      <c r="B51" s="23"/>
      <c r="C51" s="23"/>
      <c r="D51" s="23"/>
      <c r="E51" s="23"/>
      <c r="F51" s="23"/>
      <c r="G51" s="23"/>
      <c r="H51" s="23"/>
      <c r="I51" s="23"/>
      <c r="J51" s="23"/>
      <c r="K51" s="23"/>
      <c r="L51" s="23"/>
      <c r="M51" s="23"/>
      <c r="N51" s="23"/>
      <c r="O51" s="23"/>
      <c r="P51" s="23"/>
      <c r="Q51" s="23"/>
      <c r="R51" s="23"/>
      <c r="S51" s="23"/>
      <c r="T51" s="23"/>
      <c r="U51" s="23"/>
      <c r="V51" s="23"/>
      <c r="W51" s="23"/>
    </row>
    <row r="52" spans="1:23" x14ac:dyDescent="0.3">
      <c r="A52" s="23"/>
      <c r="B52" s="23"/>
      <c r="C52" s="23"/>
      <c r="D52" s="23"/>
      <c r="E52" s="23"/>
      <c r="F52" s="23"/>
      <c r="G52" s="23"/>
      <c r="H52" s="23"/>
      <c r="I52" s="23"/>
      <c r="J52" s="23"/>
      <c r="K52" s="23"/>
      <c r="L52" s="23"/>
      <c r="M52" s="23"/>
      <c r="N52" s="23"/>
      <c r="O52" s="23"/>
      <c r="P52" s="23"/>
      <c r="Q52" s="23"/>
      <c r="R52" s="23"/>
      <c r="S52" s="23"/>
      <c r="T52" s="23"/>
      <c r="U52" s="23"/>
      <c r="V52" s="23"/>
      <c r="W52" s="23"/>
    </row>
    <row r="53" spans="1:23" x14ac:dyDescent="0.3">
      <c r="A53" s="23"/>
      <c r="B53" s="23"/>
      <c r="C53" s="23"/>
      <c r="D53" s="23"/>
      <c r="E53" s="23"/>
      <c r="F53" s="23"/>
      <c r="G53" s="23"/>
      <c r="H53" s="23"/>
      <c r="I53" s="23"/>
      <c r="J53" s="23"/>
      <c r="K53" s="23"/>
      <c r="L53" s="23"/>
      <c r="M53" s="23"/>
      <c r="N53" s="23"/>
      <c r="O53" s="23"/>
      <c r="P53" s="23"/>
      <c r="Q53" s="23"/>
      <c r="R53" s="23"/>
      <c r="S53" s="23"/>
      <c r="T53" s="23"/>
      <c r="U53" s="23"/>
      <c r="V53" s="23"/>
      <c r="W53" s="23"/>
    </row>
    <row r="54" spans="1:23" x14ac:dyDescent="0.3">
      <c r="A54" s="23"/>
      <c r="B54" s="23"/>
      <c r="C54" s="23"/>
      <c r="D54" s="23"/>
      <c r="E54" s="23"/>
      <c r="F54" s="23"/>
      <c r="G54" s="23"/>
      <c r="H54" s="23"/>
      <c r="I54" s="23"/>
      <c r="J54" s="23"/>
      <c r="K54" s="23"/>
      <c r="L54" s="23"/>
      <c r="M54" s="23"/>
      <c r="N54" s="23"/>
      <c r="O54" s="23"/>
      <c r="P54" s="23"/>
      <c r="Q54" s="23"/>
      <c r="R54" s="23"/>
      <c r="S54" s="23"/>
      <c r="T54" s="23"/>
      <c r="U54" s="23"/>
      <c r="V54" s="23"/>
      <c r="W54" s="23"/>
    </row>
    <row r="55" spans="1:23" x14ac:dyDescent="0.3">
      <c r="A55" s="23"/>
      <c r="B55" s="23"/>
      <c r="C55" s="23"/>
      <c r="D55" s="23"/>
      <c r="E55" s="23"/>
      <c r="F55" s="23"/>
      <c r="G55" s="23"/>
      <c r="H55" s="23"/>
      <c r="I55" s="23"/>
      <c r="J55" s="23"/>
      <c r="K55" s="23"/>
      <c r="L55" s="23"/>
      <c r="M55" s="23"/>
      <c r="N55" s="23"/>
      <c r="O55" s="23"/>
      <c r="P55" s="23"/>
      <c r="Q55" s="23"/>
      <c r="R55" s="23"/>
      <c r="S55" s="23"/>
      <c r="T55" s="23"/>
      <c r="U55" s="23"/>
      <c r="V55" s="23"/>
      <c r="W55" s="23"/>
    </row>
    <row r="56" spans="1:23" x14ac:dyDescent="0.3">
      <c r="A56" s="23"/>
      <c r="B56" s="23"/>
      <c r="C56" s="23"/>
      <c r="D56" s="23"/>
      <c r="E56" s="23"/>
      <c r="F56" s="23"/>
      <c r="G56" s="23"/>
      <c r="H56" s="23"/>
      <c r="I56" s="23"/>
      <c r="J56" s="23"/>
      <c r="K56" s="23"/>
      <c r="L56" s="23"/>
      <c r="M56" s="23"/>
      <c r="N56" s="23"/>
      <c r="O56" s="23"/>
      <c r="P56" s="23"/>
      <c r="Q56" s="23"/>
      <c r="R56" s="23"/>
      <c r="S56" s="23"/>
      <c r="T56" s="23"/>
      <c r="U56" s="23"/>
      <c r="V56" s="23"/>
      <c r="W56" s="23"/>
    </row>
    <row r="57" spans="1:23" x14ac:dyDescent="0.3">
      <c r="A57" s="23"/>
      <c r="B57" s="23"/>
      <c r="C57" s="23"/>
      <c r="D57" s="23"/>
      <c r="E57" s="23"/>
      <c r="F57" s="23"/>
      <c r="G57" s="23"/>
      <c r="H57" s="23"/>
      <c r="I57" s="23"/>
      <c r="J57" s="23"/>
      <c r="K57" s="23"/>
      <c r="L57" s="23"/>
      <c r="M57" s="23"/>
      <c r="N57" s="23"/>
      <c r="O57" s="23"/>
      <c r="P57" s="23"/>
      <c r="Q57" s="23"/>
      <c r="R57" s="23"/>
      <c r="S57" s="23"/>
      <c r="T57" s="23"/>
      <c r="U57" s="23"/>
      <c r="V57" s="23"/>
      <c r="W57" s="23"/>
    </row>
    <row r="58" spans="1:23" x14ac:dyDescent="0.3">
      <c r="A58" s="23"/>
      <c r="B58" s="23"/>
      <c r="C58" s="23"/>
      <c r="D58" s="23"/>
      <c r="E58" s="23"/>
      <c r="F58" s="23"/>
      <c r="G58" s="23"/>
      <c r="H58" s="23"/>
      <c r="I58" s="23"/>
      <c r="J58" s="23"/>
      <c r="K58" s="23"/>
      <c r="L58" s="23"/>
      <c r="M58" s="23"/>
      <c r="N58" s="23"/>
      <c r="O58" s="23"/>
      <c r="P58" s="23"/>
      <c r="Q58" s="23"/>
      <c r="R58" s="23"/>
      <c r="S58" s="23"/>
      <c r="T58" s="23"/>
      <c r="U58" s="23"/>
      <c r="V58" s="23"/>
      <c r="W58" s="23"/>
    </row>
    <row r="59" spans="1:23" x14ac:dyDescent="0.3">
      <c r="A59" s="23"/>
      <c r="B59" s="23"/>
      <c r="C59" s="23"/>
      <c r="D59" s="23"/>
      <c r="E59" s="23"/>
      <c r="F59" s="23"/>
      <c r="G59" s="23"/>
      <c r="H59" s="23"/>
      <c r="I59" s="23"/>
      <c r="J59" s="23"/>
      <c r="K59" s="23"/>
      <c r="L59" s="23"/>
      <c r="M59" s="23"/>
      <c r="N59" s="23"/>
      <c r="O59" s="23"/>
      <c r="P59" s="23"/>
      <c r="Q59" s="23"/>
      <c r="R59" s="23"/>
      <c r="S59" s="23"/>
      <c r="T59" s="23"/>
      <c r="U59" s="23"/>
      <c r="V59" s="23"/>
      <c r="W59" s="23"/>
    </row>
    <row r="60" spans="1:23" x14ac:dyDescent="0.3">
      <c r="A60" s="23"/>
      <c r="B60" s="23"/>
      <c r="C60" s="23"/>
      <c r="D60" s="23"/>
      <c r="E60" s="23"/>
      <c r="F60" s="23"/>
      <c r="G60" s="23"/>
      <c r="H60" s="23"/>
      <c r="I60" s="23"/>
      <c r="J60" s="23"/>
      <c r="K60" s="23"/>
      <c r="L60" s="23"/>
      <c r="M60" s="23"/>
      <c r="N60" s="23"/>
      <c r="O60" s="23"/>
      <c r="P60" s="23"/>
      <c r="Q60" s="23"/>
      <c r="R60" s="23"/>
      <c r="S60" s="23"/>
      <c r="T60" s="23"/>
      <c r="U60" s="23"/>
      <c r="V60" s="23"/>
      <c r="W60" s="23"/>
    </row>
  </sheetData>
  <mergeCells count="14">
    <mergeCell ref="A1:W1"/>
    <mergeCell ref="A2:W2"/>
    <mergeCell ref="P4:R4"/>
    <mergeCell ref="J5:L6"/>
    <mergeCell ref="M5:O6"/>
    <mergeCell ref="P5:R6"/>
    <mergeCell ref="A4:C4"/>
    <mergeCell ref="D4:F4"/>
    <mergeCell ref="G4:I4"/>
    <mergeCell ref="A5:C6"/>
    <mergeCell ref="D5:F6"/>
    <mergeCell ref="G5:I6"/>
    <mergeCell ref="J4:L4"/>
    <mergeCell ref="M4:O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08DB1-306C-4646-B570-31CA38B58D1A}">
  <dimension ref="A1:O46"/>
  <sheetViews>
    <sheetView topLeftCell="F1" zoomScale="59" workbookViewId="0">
      <selection activeCell="N2" sqref="N2"/>
    </sheetView>
  </sheetViews>
  <sheetFormatPr defaultRowHeight="14.4" x14ac:dyDescent="0.3"/>
  <cols>
    <col min="1" max="1" width="18.5546875" bestFit="1" customWidth="1"/>
    <col min="2" max="2" width="22.33203125" bestFit="1" customWidth="1"/>
    <col min="3" max="3" width="31.21875" bestFit="1" customWidth="1"/>
    <col min="4" max="4" width="24.21875" bestFit="1" customWidth="1"/>
    <col min="6" max="6" width="31.21875" bestFit="1" customWidth="1"/>
    <col min="7" max="7" width="22.88671875" bestFit="1" customWidth="1"/>
    <col min="8" max="8" width="14.44140625" bestFit="1" customWidth="1"/>
    <col min="9" max="9" width="15.77734375" bestFit="1" customWidth="1"/>
    <col min="10" max="10" width="15.5546875" bestFit="1" customWidth="1"/>
    <col min="11" max="11" width="18.5546875" bestFit="1" customWidth="1"/>
    <col min="12" max="12" width="31.21875" bestFit="1" customWidth="1"/>
    <col min="13" max="13" width="24.21875" bestFit="1" customWidth="1"/>
    <col min="14" max="14" width="18.5546875" bestFit="1" customWidth="1"/>
    <col min="15" max="15" width="31.21875" bestFit="1" customWidth="1"/>
  </cols>
  <sheetData>
    <row r="1" spans="1:15" x14ac:dyDescent="0.3">
      <c r="A1" s="19" t="s">
        <v>1112</v>
      </c>
      <c r="B1" t="s">
        <v>1116</v>
      </c>
      <c r="C1" t="s">
        <v>1111</v>
      </c>
      <c r="D1" t="s">
        <v>1114</v>
      </c>
      <c r="F1" s="19" t="s">
        <v>1112</v>
      </c>
      <c r="G1" t="s">
        <v>1111</v>
      </c>
      <c r="H1" t="s">
        <v>1114</v>
      </c>
      <c r="I1" t="s">
        <v>1115</v>
      </c>
      <c r="K1" s="19" t="s">
        <v>1112</v>
      </c>
      <c r="L1" t="s">
        <v>1111</v>
      </c>
    </row>
    <row r="2" spans="1:15" x14ac:dyDescent="0.3">
      <c r="A2" s="20">
        <v>1</v>
      </c>
      <c r="B2" s="39">
        <v>14</v>
      </c>
      <c r="C2" s="5">
        <v>740312.83000000007</v>
      </c>
      <c r="D2" s="39">
        <v>148062.56599999999</v>
      </c>
      <c r="F2" s="20" t="s">
        <v>16</v>
      </c>
      <c r="G2" s="5">
        <v>4522055.3499999996</v>
      </c>
      <c r="H2" s="39">
        <v>904411.07</v>
      </c>
      <c r="I2" s="6">
        <v>188</v>
      </c>
      <c r="K2" s="20" t="s">
        <v>16</v>
      </c>
      <c r="L2" s="5">
        <v>4522055.3499999996</v>
      </c>
      <c r="N2" s="19" t="s">
        <v>1112</v>
      </c>
      <c r="O2" t="s">
        <v>1111</v>
      </c>
    </row>
    <row r="3" spans="1:15" x14ac:dyDescent="0.3">
      <c r="A3" s="20">
        <v>1.1000000000000001</v>
      </c>
      <c r="B3" s="39">
        <v>34</v>
      </c>
      <c r="C3" s="5">
        <v>2606466.9599999995</v>
      </c>
      <c r="D3" s="39">
        <v>521293.39199999999</v>
      </c>
      <c r="F3" s="20" t="s">
        <v>96</v>
      </c>
      <c r="G3" s="5">
        <v>4132783.7199999997</v>
      </c>
      <c r="H3" s="39">
        <v>826556.74400000018</v>
      </c>
      <c r="I3" s="6">
        <v>156</v>
      </c>
      <c r="K3" s="20" t="s">
        <v>96</v>
      </c>
      <c r="L3" s="5">
        <v>4132783.7199999997</v>
      </c>
      <c r="N3" s="20" t="s">
        <v>44</v>
      </c>
      <c r="O3" s="5">
        <v>13446764.160000008</v>
      </c>
    </row>
    <row r="4" spans="1:15" x14ac:dyDescent="0.3">
      <c r="A4" s="20">
        <v>1.2</v>
      </c>
      <c r="B4" s="39">
        <v>25</v>
      </c>
      <c r="C4" s="5">
        <v>2366120.2199999997</v>
      </c>
      <c r="D4" s="39">
        <v>473224.04399999999</v>
      </c>
      <c r="F4" s="20" t="s">
        <v>50</v>
      </c>
      <c r="G4" s="5">
        <v>3986691.68</v>
      </c>
      <c r="H4" s="39">
        <v>797338.33600000013</v>
      </c>
      <c r="I4" s="6">
        <v>141</v>
      </c>
      <c r="K4" s="20" t="s">
        <v>50</v>
      </c>
      <c r="L4" s="5">
        <v>3986691.68</v>
      </c>
      <c r="N4" s="20" t="s">
        <v>80</v>
      </c>
      <c r="O4" s="5">
        <v>13219947.519999994</v>
      </c>
    </row>
    <row r="5" spans="1:15" x14ac:dyDescent="0.3">
      <c r="A5" s="20">
        <v>1.3</v>
      </c>
      <c r="B5" s="39">
        <v>17</v>
      </c>
      <c r="C5" s="5">
        <v>1421794.4400000002</v>
      </c>
      <c r="D5" s="39">
        <v>284358.88800000009</v>
      </c>
      <c r="F5" s="20" t="s">
        <v>107</v>
      </c>
      <c r="G5" s="5">
        <v>3722765.2699999991</v>
      </c>
      <c r="H5" s="39">
        <v>744553.054</v>
      </c>
      <c r="I5" s="6">
        <v>135</v>
      </c>
      <c r="K5" s="20" t="s">
        <v>107</v>
      </c>
      <c r="L5" s="5">
        <v>3722765.2699999991</v>
      </c>
      <c r="N5" s="20" t="s">
        <v>25</v>
      </c>
      <c r="O5" s="5">
        <v>12790919.480000006</v>
      </c>
    </row>
    <row r="6" spans="1:15" x14ac:dyDescent="0.3">
      <c r="A6" s="20">
        <v>1.4</v>
      </c>
      <c r="B6" s="39">
        <v>22</v>
      </c>
      <c r="C6" s="5">
        <v>1921657.5100000002</v>
      </c>
      <c r="D6" s="39">
        <v>384331.50199999998</v>
      </c>
      <c r="F6" s="20" t="s">
        <v>23</v>
      </c>
      <c r="G6" s="5">
        <v>3685259.6</v>
      </c>
      <c r="H6" s="39">
        <v>737051.91999999993</v>
      </c>
      <c r="I6" s="6">
        <v>132</v>
      </c>
      <c r="K6" s="20" t="s">
        <v>23</v>
      </c>
      <c r="L6" s="5">
        <v>3685259.6</v>
      </c>
      <c r="N6" s="20" t="s">
        <v>64</v>
      </c>
      <c r="O6" s="5">
        <v>12457136.549999999</v>
      </c>
    </row>
    <row r="7" spans="1:15" x14ac:dyDescent="0.3">
      <c r="A7" s="20">
        <v>1.5</v>
      </c>
      <c r="B7" s="39">
        <v>27</v>
      </c>
      <c r="C7" s="5">
        <v>1334178.24</v>
      </c>
      <c r="D7" s="39">
        <v>266835.64800000004</v>
      </c>
      <c r="F7" s="20" t="s">
        <v>35</v>
      </c>
      <c r="G7" s="5">
        <v>3680177.8000000007</v>
      </c>
      <c r="H7" s="39">
        <v>736035.56</v>
      </c>
      <c r="I7" s="6">
        <v>137</v>
      </c>
      <c r="K7" s="20" t="s">
        <v>35</v>
      </c>
      <c r="L7" s="5">
        <v>3680177.8000000007</v>
      </c>
      <c r="N7" s="20" t="s">
        <v>18</v>
      </c>
      <c r="O7" s="5">
        <v>12142559.039999995</v>
      </c>
    </row>
    <row r="8" spans="1:15" x14ac:dyDescent="0.3">
      <c r="A8" s="20">
        <v>1.6</v>
      </c>
      <c r="B8" s="39">
        <v>26</v>
      </c>
      <c r="C8" s="5">
        <v>1811803.19</v>
      </c>
      <c r="D8" s="39">
        <v>362360.63800000004</v>
      </c>
      <c r="F8" s="20" t="s">
        <v>30</v>
      </c>
      <c r="G8" s="5">
        <v>3646816.9700000016</v>
      </c>
      <c r="H8" s="39">
        <v>729363.39400000009</v>
      </c>
      <c r="I8" s="6">
        <v>124</v>
      </c>
      <c r="K8" s="20" t="s">
        <v>30</v>
      </c>
      <c r="L8" s="5">
        <v>3646816.9700000016</v>
      </c>
      <c r="N8" s="20" t="s">
        <v>71</v>
      </c>
      <c r="O8" s="5">
        <v>11155785.989999996</v>
      </c>
    </row>
    <row r="9" spans="1:15" x14ac:dyDescent="0.3">
      <c r="A9" s="20">
        <v>1.7</v>
      </c>
      <c r="B9" s="39">
        <v>17</v>
      </c>
      <c r="C9" s="5">
        <v>1437245.23</v>
      </c>
      <c r="D9" s="39">
        <v>287449.04599999997</v>
      </c>
      <c r="F9" s="20" t="s">
        <v>58</v>
      </c>
      <c r="G9" s="5">
        <v>3266905.7499999991</v>
      </c>
      <c r="H9" s="39">
        <v>653381.15</v>
      </c>
      <c r="I9" s="6">
        <v>125</v>
      </c>
      <c r="K9" s="20" t="s">
        <v>58</v>
      </c>
      <c r="L9" s="5">
        <v>3266905.7499999991</v>
      </c>
      <c r="N9" s="20" t="s">
        <v>1113</v>
      </c>
      <c r="O9" s="5">
        <v>75213112.739999995</v>
      </c>
    </row>
    <row r="10" spans="1:15" x14ac:dyDescent="0.3">
      <c r="A10" s="20">
        <v>1.8</v>
      </c>
      <c r="B10" s="39">
        <v>26</v>
      </c>
      <c r="C10" s="5">
        <v>2374539.81</v>
      </c>
      <c r="D10" s="39">
        <v>474907.962</v>
      </c>
      <c r="F10" s="20" t="s">
        <v>118</v>
      </c>
      <c r="G10" s="5">
        <v>3172999.9099999988</v>
      </c>
      <c r="H10" s="39">
        <v>634599.98200000008</v>
      </c>
      <c r="I10" s="6">
        <v>138</v>
      </c>
      <c r="K10" s="20" t="s">
        <v>118</v>
      </c>
      <c r="L10" s="5">
        <v>3172999.9099999988</v>
      </c>
    </row>
    <row r="11" spans="1:15" x14ac:dyDescent="0.3">
      <c r="A11" s="20">
        <v>1.9</v>
      </c>
      <c r="B11" s="39">
        <v>30</v>
      </c>
      <c r="C11" s="5">
        <v>2134105.2000000002</v>
      </c>
      <c r="D11" s="39">
        <v>426821.04000000004</v>
      </c>
      <c r="F11" s="20" t="s">
        <v>52</v>
      </c>
      <c r="G11" s="5">
        <v>3161049.05</v>
      </c>
      <c r="H11" s="39">
        <v>632209.81000000006</v>
      </c>
      <c r="I11" s="6">
        <v>121</v>
      </c>
      <c r="K11" s="20" t="s">
        <v>52</v>
      </c>
      <c r="L11" s="5">
        <v>3161049.05</v>
      </c>
    </row>
    <row r="12" spans="1:15" x14ac:dyDescent="0.3">
      <c r="A12" s="20">
        <v>2</v>
      </c>
      <c r="B12" s="39">
        <v>31</v>
      </c>
      <c r="C12" s="5">
        <v>1706829.4799999997</v>
      </c>
      <c r="D12" s="39">
        <v>341365.89599999983</v>
      </c>
      <c r="F12" s="20" t="s">
        <v>78</v>
      </c>
      <c r="G12" s="5">
        <v>2907013.3199999994</v>
      </c>
      <c r="H12" s="39">
        <v>581402.66400000011</v>
      </c>
      <c r="I12" s="6">
        <v>131</v>
      </c>
      <c r="K12" s="20" t="s">
        <v>1113</v>
      </c>
      <c r="L12" s="5">
        <v>36977505.100000001</v>
      </c>
      <c r="N12" s="19" t="s">
        <v>1112</v>
      </c>
      <c r="O12" t="s">
        <v>1111</v>
      </c>
    </row>
    <row r="13" spans="1:15" x14ac:dyDescent="0.3">
      <c r="A13" s="20">
        <v>2.1</v>
      </c>
      <c r="B13" s="39">
        <v>20</v>
      </c>
      <c r="C13" s="5">
        <v>1286614.47</v>
      </c>
      <c r="D13" s="39">
        <v>257322.894</v>
      </c>
      <c r="F13" s="20" t="s">
        <v>55</v>
      </c>
      <c r="G13" s="5">
        <v>2895523.45</v>
      </c>
      <c r="H13" s="39">
        <v>579104.68999999994</v>
      </c>
      <c r="I13" s="6">
        <v>122</v>
      </c>
      <c r="N13" s="20" t="s">
        <v>31</v>
      </c>
      <c r="O13" s="5">
        <v>14680584.049999993</v>
      </c>
    </row>
    <row r="14" spans="1:15" x14ac:dyDescent="0.3">
      <c r="A14" s="20">
        <v>2.2000000000000002</v>
      </c>
      <c r="B14" s="39">
        <v>15</v>
      </c>
      <c r="C14" s="5">
        <v>997459.03</v>
      </c>
      <c r="D14" s="39">
        <v>199491.80600000001</v>
      </c>
      <c r="F14" s="20" t="s">
        <v>47</v>
      </c>
      <c r="G14" s="5">
        <v>2883134.9599999995</v>
      </c>
      <c r="H14" s="39">
        <v>576626.99200000009</v>
      </c>
      <c r="I14" s="6">
        <v>125</v>
      </c>
      <c r="K14" s="19" t="s">
        <v>1112</v>
      </c>
      <c r="L14" t="s">
        <v>1111</v>
      </c>
      <c r="M14" t="s">
        <v>1114</v>
      </c>
      <c r="N14" s="20" t="s">
        <v>17</v>
      </c>
      <c r="O14" s="5">
        <v>14785759.65</v>
      </c>
    </row>
    <row r="15" spans="1:15" x14ac:dyDescent="0.3">
      <c r="A15" s="20">
        <v>2.2999999999999998</v>
      </c>
      <c r="B15" s="39">
        <v>21</v>
      </c>
      <c r="C15" s="5">
        <v>1518213.7900000003</v>
      </c>
      <c r="D15" s="39">
        <v>303642.75799999991</v>
      </c>
      <c r="F15" s="20" t="s">
        <v>66</v>
      </c>
      <c r="G15" s="5">
        <v>2875922.8300000005</v>
      </c>
      <c r="H15" s="39">
        <v>575184.56600000011</v>
      </c>
      <c r="I15" s="6">
        <v>123</v>
      </c>
      <c r="K15" s="22">
        <v>45323</v>
      </c>
      <c r="L15" s="5">
        <v>3910477.01</v>
      </c>
      <c r="M15" s="39">
        <v>782095.40200000012</v>
      </c>
      <c r="N15" s="20" t="s">
        <v>24</v>
      </c>
      <c r="O15" s="5">
        <v>15114386.860000003</v>
      </c>
    </row>
    <row r="16" spans="1:15" x14ac:dyDescent="0.3">
      <c r="A16" s="20">
        <v>2.4</v>
      </c>
      <c r="B16" s="39">
        <v>22</v>
      </c>
      <c r="C16" s="5">
        <v>2055263.2200000002</v>
      </c>
      <c r="D16" s="39">
        <v>411052.64399999997</v>
      </c>
      <c r="F16" s="20" t="s">
        <v>61</v>
      </c>
      <c r="G16" s="5">
        <v>2844209.0799999996</v>
      </c>
      <c r="H16" s="39">
        <v>568841.81599999999</v>
      </c>
      <c r="I16" s="6">
        <v>134</v>
      </c>
      <c r="K16" s="22">
        <v>45352</v>
      </c>
      <c r="L16" s="5">
        <v>6508879.0399999991</v>
      </c>
      <c r="M16" s="39">
        <v>1301775.8079999997</v>
      </c>
      <c r="N16" s="20" t="s">
        <v>36</v>
      </c>
      <c r="O16" s="5">
        <v>17307173.069999997</v>
      </c>
    </row>
    <row r="17" spans="1:15" x14ac:dyDescent="0.3">
      <c r="A17" s="20">
        <v>2.5</v>
      </c>
      <c r="B17" s="39">
        <v>28</v>
      </c>
      <c r="C17" s="5">
        <v>2138039.1799999997</v>
      </c>
      <c r="D17" s="39">
        <v>427607.83599999995</v>
      </c>
      <c r="F17" s="20" t="s">
        <v>145</v>
      </c>
      <c r="G17" s="5">
        <v>2666946.120000001</v>
      </c>
      <c r="H17" s="39">
        <v>533389.22399999993</v>
      </c>
      <c r="I17" s="6">
        <v>118</v>
      </c>
      <c r="K17" s="22">
        <v>45383</v>
      </c>
      <c r="L17" s="5">
        <v>7334962.9200000009</v>
      </c>
      <c r="M17" s="39">
        <v>1466992.5839999996</v>
      </c>
      <c r="N17" s="20" t="s">
        <v>40</v>
      </c>
      <c r="O17" s="5">
        <v>13325209.109999994</v>
      </c>
    </row>
    <row r="18" spans="1:15" x14ac:dyDescent="0.3">
      <c r="A18" s="20">
        <v>2.6</v>
      </c>
      <c r="B18" s="39">
        <v>19</v>
      </c>
      <c r="C18" s="5">
        <v>1733734.8900000001</v>
      </c>
      <c r="D18" s="39">
        <v>346746.978</v>
      </c>
      <c r="F18" s="20" t="s">
        <v>125</v>
      </c>
      <c r="G18" s="5">
        <v>2638065.1999999997</v>
      </c>
      <c r="H18" s="39">
        <v>527613.03999999992</v>
      </c>
      <c r="I18" s="6">
        <v>115</v>
      </c>
      <c r="K18" s="22">
        <v>45413</v>
      </c>
      <c r="L18" s="5">
        <v>6706004.9699999979</v>
      </c>
      <c r="M18" s="39">
        <v>1341200.9940000006</v>
      </c>
      <c r="N18" s="20" t="s">
        <v>1113</v>
      </c>
      <c r="O18" s="5">
        <v>75213112.739999995</v>
      </c>
    </row>
    <row r="19" spans="1:15" x14ac:dyDescent="0.3">
      <c r="A19" s="20">
        <v>2.7</v>
      </c>
      <c r="B19" s="39">
        <v>28</v>
      </c>
      <c r="C19" s="5">
        <v>2320094.8200000008</v>
      </c>
      <c r="D19" s="39">
        <v>464018.96399999998</v>
      </c>
      <c r="F19" s="20" t="s">
        <v>74</v>
      </c>
      <c r="G19" s="5">
        <v>2514179.2099999995</v>
      </c>
      <c r="H19" s="39">
        <v>502835.84199999989</v>
      </c>
      <c r="I19" s="6">
        <v>92</v>
      </c>
      <c r="K19" s="22">
        <v>45444</v>
      </c>
      <c r="L19" s="5">
        <v>4992364.7500000009</v>
      </c>
      <c r="M19" s="39">
        <v>998472.95</v>
      </c>
    </row>
    <row r="20" spans="1:15" x14ac:dyDescent="0.3">
      <c r="A20" s="20">
        <v>2.8</v>
      </c>
      <c r="B20" s="39">
        <v>18</v>
      </c>
      <c r="C20" s="5">
        <v>1022397.4199999999</v>
      </c>
      <c r="D20" s="39">
        <v>204479.484</v>
      </c>
      <c r="F20" s="20" t="s">
        <v>94</v>
      </c>
      <c r="G20" s="5">
        <v>2505130.6700000004</v>
      </c>
      <c r="H20" s="39">
        <v>501026.1339999999</v>
      </c>
      <c r="I20" s="6">
        <v>108</v>
      </c>
      <c r="K20" s="22">
        <v>45474</v>
      </c>
      <c r="L20" s="5">
        <v>7637324.9500000011</v>
      </c>
      <c r="M20" s="39">
        <v>1527464.9899999998</v>
      </c>
    </row>
    <row r="21" spans="1:15" x14ac:dyDescent="0.3">
      <c r="A21" s="20">
        <v>2.9</v>
      </c>
      <c r="B21" s="39">
        <v>29</v>
      </c>
      <c r="C21" s="5">
        <v>2513863.3700000006</v>
      </c>
      <c r="D21" s="39">
        <v>502772.674</v>
      </c>
      <c r="F21" s="20" t="s">
        <v>39</v>
      </c>
      <c r="G21" s="5">
        <v>2490551.4300000006</v>
      </c>
      <c r="H21" s="39">
        <v>498110.28599999996</v>
      </c>
      <c r="I21" s="6">
        <v>120</v>
      </c>
      <c r="K21" s="22">
        <v>45505</v>
      </c>
      <c r="L21" s="5">
        <v>5418893.9799999995</v>
      </c>
      <c r="M21" s="39">
        <v>1083778.7960000001</v>
      </c>
    </row>
    <row r="22" spans="1:15" x14ac:dyDescent="0.3">
      <c r="A22" s="20">
        <v>3</v>
      </c>
      <c r="B22" s="39">
        <v>29</v>
      </c>
      <c r="C22" s="5">
        <v>2381518.1999999997</v>
      </c>
      <c r="D22" s="39">
        <v>476303.64000000007</v>
      </c>
      <c r="F22" s="20" t="s">
        <v>176</v>
      </c>
      <c r="G22" s="5">
        <v>2477929.9300000002</v>
      </c>
      <c r="H22" s="39">
        <v>495585.98600000003</v>
      </c>
      <c r="I22" s="6">
        <v>100</v>
      </c>
      <c r="K22" s="22">
        <v>45536</v>
      </c>
      <c r="L22" s="5">
        <v>6264222.3099999996</v>
      </c>
      <c r="M22" s="39">
        <v>1252844.4620000001</v>
      </c>
    </row>
    <row r="23" spans="1:15" x14ac:dyDescent="0.3">
      <c r="A23" s="20">
        <v>3.1</v>
      </c>
      <c r="B23" s="39">
        <v>27</v>
      </c>
      <c r="C23" s="5">
        <v>2216895.1699999995</v>
      </c>
      <c r="D23" s="39">
        <v>443379.03399999999</v>
      </c>
      <c r="F23" s="20" t="s">
        <v>100</v>
      </c>
      <c r="G23" s="5">
        <v>2417521.5799999996</v>
      </c>
      <c r="H23" s="39">
        <v>483504.31599999999</v>
      </c>
      <c r="I23" s="6">
        <v>92</v>
      </c>
      <c r="K23" s="22">
        <v>45566</v>
      </c>
      <c r="L23" s="5">
        <v>5702923.370000001</v>
      </c>
      <c r="M23" s="39">
        <v>1140584.6740000001</v>
      </c>
    </row>
    <row r="24" spans="1:15" x14ac:dyDescent="0.3">
      <c r="A24" s="20">
        <v>3.2</v>
      </c>
      <c r="B24" s="39">
        <v>24</v>
      </c>
      <c r="C24" s="5">
        <v>1749134.57</v>
      </c>
      <c r="D24" s="39">
        <v>349826.91399999999</v>
      </c>
      <c r="F24" s="20" t="s">
        <v>43</v>
      </c>
      <c r="G24" s="5">
        <v>2297176.5999999996</v>
      </c>
      <c r="H24" s="39">
        <v>459435.32000000007</v>
      </c>
      <c r="I24" s="6">
        <v>111</v>
      </c>
      <c r="K24" s="22">
        <v>45597</v>
      </c>
      <c r="L24" s="5">
        <v>5578535.0799999991</v>
      </c>
      <c r="M24" s="39">
        <v>1115707.0160000001</v>
      </c>
    </row>
    <row r="25" spans="1:15" x14ac:dyDescent="0.3">
      <c r="A25" s="20">
        <v>3.3</v>
      </c>
      <c r="B25" s="39">
        <v>21</v>
      </c>
      <c r="C25" s="5">
        <v>1725686.42</v>
      </c>
      <c r="D25" s="39">
        <v>345137.28400000004</v>
      </c>
      <c r="F25" s="20" t="s">
        <v>70</v>
      </c>
      <c r="G25" s="5">
        <v>1938459.9800000002</v>
      </c>
      <c r="H25" s="39">
        <v>387691.9960000001</v>
      </c>
      <c r="I25" s="6">
        <v>120</v>
      </c>
      <c r="K25" s="22">
        <v>45627</v>
      </c>
      <c r="L25" s="5">
        <v>6491639.9899999993</v>
      </c>
      <c r="M25" s="39">
        <v>1298327.9979999997</v>
      </c>
    </row>
    <row r="26" spans="1:15" x14ac:dyDescent="0.3">
      <c r="A26" s="20">
        <v>3.4</v>
      </c>
      <c r="B26" s="39">
        <v>19</v>
      </c>
      <c r="C26" s="5">
        <v>1447231.8</v>
      </c>
      <c r="D26" s="39">
        <v>289446.3600000001</v>
      </c>
      <c r="F26" s="20" t="s">
        <v>84</v>
      </c>
      <c r="G26" s="5">
        <v>1883843.2799999998</v>
      </c>
      <c r="H26" s="39">
        <v>376768.6559999999</v>
      </c>
      <c r="I26" s="6">
        <v>89</v>
      </c>
      <c r="K26" s="22">
        <v>45658</v>
      </c>
      <c r="L26" s="5">
        <v>7160788.1699999999</v>
      </c>
      <c r="M26" s="39">
        <v>1432157.6340000003</v>
      </c>
    </row>
    <row r="27" spans="1:15" x14ac:dyDescent="0.3">
      <c r="A27" s="20">
        <v>3.5</v>
      </c>
      <c r="B27" s="39">
        <v>35</v>
      </c>
      <c r="C27" s="5">
        <v>2208088.25</v>
      </c>
      <c r="D27" s="39">
        <v>441617.65</v>
      </c>
      <c r="F27" s="20" t="s">
        <v>1113</v>
      </c>
      <c r="G27" s="5">
        <v>75213112.739999995</v>
      </c>
      <c r="H27" s="39">
        <v>15042622.547999999</v>
      </c>
      <c r="I27" s="6">
        <v>3097</v>
      </c>
      <c r="K27" s="22">
        <v>45689</v>
      </c>
      <c r="L27" s="5">
        <v>1506096.2000000004</v>
      </c>
      <c r="M27" s="39">
        <v>301219.24000000005</v>
      </c>
    </row>
    <row r="28" spans="1:15" x14ac:dyDescent="0.3">
      <c r="A28" s="20">
        <v>3.6</v>
      </c>
      <c r="B28" s="39">
        <v>28</v>
      </c>
      <c r="C28" s="5">
        <v>1694850.81</v>
      </c>
      <c r="D28" s="39">
        <v>338970.16200000001</v>
      </c>
      <c r="K28" s="22" t="s">
        <v>1113</v>
      </c>
      <c r="L28" s="5">
        <v>75213112.739999995</v>
      </c>
      <c r="M28" s="39">
        <v>15042622.548</v>
      </c>
    </row>
    <row r="29" spans="1:15" x14ac:dyDescent="0.3">
      <c r="A29" s="20">
        <v>3.7</v>
      </c>
      <c r="B29" s="39">
        <v>27</v>
      </c>
      <c r="C29" s="5">
        <v>2451175.9900000002</v>
      </c>
      <c r="D29" s="39">
        <v>490235.19800000003</v>
      </c>
    </row>
    <row r="30" spans="1:15" x14ac:dyDescent="0.3">
      <c r="A30" s="20">
        <v>3.8</v>
      </c>
      <c r="B30" s="39">
        <v>27</v>
      </c>
      <c r="C30" s="5">
        <v>1605414.13</v>
      </c>
      <c r="D30" s="39">
        <v>321082.82600000006</v>
      </c>
      <c r="F30" s="19" t="s">
        <v>1111</v>
      </c>
      <c r="G30" s="19" t="s">
        <v>1117</v>
      </c>
      <c r="N30" s="19" t="s">
        <v>1112</v>
      </c>
      <c r="O30" t="s">
        <v>1111</v>
      </c>
    </row>
    <row r="31" spans="1:15" x14ac:dyDescent="0.3">
      <c r="A31" s="20">
        <v>3.9</v>
      </c>
      <c r="B31" s="39">
        <v>22</v>
      </c>
      <c r="C31" s="5">
        <v>1567369.4</v>
      </c>
      <c r="D31" s="39">
        <v>313473.88000000006</v>
      </c>
      <c r="F31" s="19" t="s">
        <v>1112</v>
      </c>
      <c r="G31" t="s">
        <v>31</v>
      </c>
      <c r="H31" t="s">
        <v>17</v>
      </c>
      <c r="I31" t="s">
        <v>24</v>
      </c>
      <c r="J31" t="s">
        <v>36</v>
      </c>
      <c r="K31" t="s">
        <v>40</v>
      </c>
      <c r="L31" t="s">
        <v>1113</v>
      </c>
      <c r="N31" s="20" t="s">
        <v>27</v>
      </c>
      <c r="O31" s="5">
        <v>25732035.670000002</v>
      </c>
    </row>
    <row r="32" spans="1:15" x14ac:dyDescent="0.3">
      <c r="A32" s="20">
        <v>4</v>
      </c>
      <c r="B32" s="39">
        <v>34</v>
      </c>
      <c r="C32" s="5">
        <v>2844144.46</v>
      </c>
      <c r="D32" s="39">
        <v>568828.89199999999</v>
      </c>
      <c r="F32" s="20" t="s">
        <v>68</v>
      </c>
      <c r="G32" s="5">
        <v>3449210.32</v>
      </c>
      <c r="H32" s="5">
        <v>3196018.13</v>
      </c>
      <c r="I32" s="5">
        <v>3722966.8499999996</v>
      </c>
      <c r="J32" s="5">
        <v>3363473.75</v>
      </c>
      <c r="K32" s="5">
        <v>2936175.2100000004</v>
      </c>
      <c r="L32" s="5">
        <v>16667844.26</v>
      </c>
      <c r="N32" s="20" t="s">
        <v>20</v>
      </c>
      <c r="O32" s="5">
        <v>25169884.129999977</v>
      </c>
    </row>
    <row r="33" spans="1:15" x14ac:dyDescent="0.3">
      <c r="A33" s="20">
        <v>4.0999999999999996</v>
      </c>
      <c r="B33" s="39">
        <v>28</v>
      </c>
      <c r="C33" s="5">
        <v>2644986.81</v>
      </c>
      <c r="D33" s="39">
        <v>528997.36200000008</v>
      </c>
      <c r="F33" s="20" t="s">
        <v>28</v>
      </c>
      <c r="G33" s="5">
        <v>3690523.2699999996</v>
      </c>
      <c r="H33" s="5">
        <v>4173438.3399999989</v>
      </c>
      <c r="I33" s="5">
        <v>3438004.64</v>
      </c>
      <c r="J33" s="5">
        <v>4520019.790000001</v>
      </c>
      <c r="K33" s="5">
        <v>4468005.83</v>
      </c>
      <c r="L33" s="5">
        <v>20289991.869999997</v>
      </c>
      <c r="N33" s="20" t="s">
        <v>41</v>
      </c>
      <c r="O33" s="5">
        <v>24311192.940000031</v>
      </c>
    </row>
    <row r="34" spans="1:15" x14ac:dyDescent="0.3">
      <c r="A34" s="20">
        <v>4.2</v>
      </c>
      <c r="B34" s="39">
        <v>35</v>
      </c>
      <c r="C34" s="5">
        <v>2430088.5399999991</v>
      </c>
      <c r="D34" s="39">
        <v>486017.70800000004</v>
      </c>
      <c r="F34" s="20" t="s">
        <v>33</v>
      </c>
      <c r="G34" s="5">
        <v>4208861.4799999995</v>
      </c>
      <c r="H34" s="5">
        <v>3859061.3099999996</v>
      </c>
      <c r="I34" s="5">
        <v>3687686.0100000002</v>
      </c>
      <c r="J34" s="5">
        <v>4931243.4800000004</v>
      </c>
      <c r="K34" s="5">
        <v>3175656.43</v>
      </c>
      <c r="L34" s="5">
        <v>19862508.710000001</v>
      </c>
      <c r="N34" s="20" t="s">
        <v>1113</v>
      </c>
      <c r="O34" s="5">
        <v>75213112.74000001</v>
      </c>
    </row>
    <row r="35" spans="1:15" x14ac:dyDescent="0.3">
      <c r="A35" s="20">
        <v>4.3</v>
      </c>
      <c r="B35" s="39">
        <v>25</v>
      </c>
      <c r="C35" s="5">
        <v>1629153.1599999995</v>
      </c>
      <c r="D35" s="39">
        <v>325830.63199999993</v>
      </c>
      <c r="F35" s="20" t="s">
        <v>21</v>
      </c>
      <c r="G35" s="5">
        <v>3331988.9799999986</v>
      </c>
      <c r="H35" s="5">
        <v>3557241.8699999992</v>
      </c>
      <c r="I35" s="5">
        <v>4265729.3599999994</v>
      </c>
      <c r="J35" s="5">
        <v>4492436.049999998</v>
      </c>
      <c r="K35" s="5">
        <v>2745371.6400000006</v>
      </c>
      <c r="L35" s="5">
        <v>18392767.899999995</v>
      </c>
    </row>
    <row r="36" spans="1:15" x14ac:dyDescent="0.3">
      <c r="A36" s="20">
        <v>4.4000000000000004</v>
      </c>
      <c r="B36" s="39">
        <v>32</v>
      </c>
      <c r="C36" s="5">
        <v>2826990.3900000006</v>
      </c>
      <c r="D36" s="39">
        <v>565398.0780000001</v>
      </c>
      <c r="F36" s="20" t="s">
        <v>1113</v>
      </c>
      <c r="G36" s="5">
        <v>14680584.049999999</v>
      </c>
      <c r="H36" s="5">
        <v>14785759.649999997</v>
      </c>
      <c r="I36" s="5">
        <v>15114386.859999999</v>
      </c>
      <c r="J36" s="5">
        <v>17307173.07</v>
      </c>
      <c r="K36" s="5">
        <v>13325209.110000001</v>
      </c>
      <c r="L36" s="5">
        <v>75213112.739999995</v>
      </c>
    </row>
    <row r="37" spans="1:15" x14ac:dyDescent="0.3">
      <c r="A37" s="20">
        <v>4.5</v>
      </c>
      <c r="B37" s="39">
        <v>25</v>
      </c>
      <c r="C37" s="5">
        <v>1670650.51</v>
      </c>
      <c r="D37" s="39">
        <v>334130.10200000001</v>
      </c>
    </row>
    <row r="38" spans="1:15" x14ac:dyDescent="0.3">
      <c r="A38" s="20">
        <v>4.5999999999999996</v>
      </c>
      <c r="B38" s="39">
        <v>26</v>
      </c>
      <c r="C38" s="5">
        <v>1730116.66</v>
      </c>
      <c r="D38" s="39">
        <v>346023.33200000005</v>
      </c>
    </row>
    <row r="39" spans="1:15" x14ac:dyDescent="0.3">
      <c r="A39" s="20">
        <v>4.7</v>
      </c>
      <c r="B39" s="39">
        <v>17</v>
      </c>
      <c r="C39" s="5">
        <v>1429808.3400000003</v>
      </c>
      <c r="D39" s="39">
        <v>285961.66799999995</v>
      </c>
      <c r="F39" s="19" t="s">
        <v>1111</v>
      </c>
      <c r="G39" s="19" t="s">
        <v>1117</v>
      </c>
      <c r="L39" s="19" t="s">
        <v>1112</v>
      </c>
      <c r="M39" t="s">
        <v>1111</v>
      </c>
    </row>
    <row r="40" spans="1:15" x14ac:dyDescent="0.3">
      <c r="A40" s="20">
        <v>4.8</v>
      </c>
      <c r="B40" s="39">
        <v>22</v>
      </c>
      <c r="C40" s="5">
        <v>1797622.1799999997</v>
      </c>
      <c r="D40" s="39">
        <v>359524.43600000005</v>
      </c>
      <c r="F40" s="19" t="s">
        <v>1112</v>
      </c>
      <c r="G40" t="s">
        <v>20</v>
      </c>
      <c r="H40" t="s">
        <v>41</v>
      </c>
      <c r="I40" t="s">
        <v>27</v>
      </c>
      <c r="J40" t="s">
        <v>1113</v>
      </c>
      <c r="L40" s="20" t="s">
        <v>28</v>
      </c>
      <c r="M40" s="5">
        <v>20289991.86999999</v>
      </c>
    </row>
    <row r="41" spans="1:15" x14ac:dyDescent="0.3">
      <c r="A41" s="20">
        <v>4.9000000000000004</v>
      </c>
      <c r="B41" s="39">
        <v>23</v>
      </c>
      <c r="C41" s="5">
        <v>1453950.5900000003</v>
      </c>
      <c r="D41" s="39">
        <v>290790.11799999996</v>
      </c>
      <c r="F41" s="20" t="s">
        <v>31</v>
      </c>
      <c r="G41" s="5">
        <v>4647789.4099999992</v>
      </c>
      <c r="H41" s="5">
        <v>4645263.7300000014</v>
      </c>
      <c r="I41" s="5">
        <v>5387530.9099999983</v>
      </c>
      <c r="J41" s="5">
        <v>14680584.049999999</v>
      </c>
      <c r="L41" s="20" t="s">
        <v>33</v>
      </c>
      <c r="M41" s="5">
        <v>19862508.710000016</v>
      </c>
    </row>
    <row r="42" spans="1:15" x14ac:dyDescent="0.3">
      <c r="A42" s="20">
        <v>5</v>
      </c>
      <c r="B42" s="39">
        <v>5</v>
      </c>
      <c r="C42" s="5">
        <v>267503.06</v>
      </c>
      <c r="D42" s="39">
        <v>53500.612000000008</v>
      </c>
      <c r="F42" s="20" t="s">
        <v>17</v>
      </c>
      <c r="G42" s="5">
        <v>5235531.0900000017</v>
      </c>
      <c r="H42" s="5">
        <v>4441863.38</v>
      </c>
      <c r="I42" s="5">
        <v>5108365.1800000006</v>
      </c>
      <c r="J42" s="5">
        <v>14785759.650000002</v>
      </c>
      <c r="L42" s="20" t="s">
        <v>21</v>
      </c>
      <c r="M42" s="5">
        <v>18392767.899999999</v>
      </c>
    </row>
    <row r="43" spans="1:15" x14ac:dyDescent="0.3">
      <c r="A43" s="20" t="s">
        <v>1113</v>
      </c>
      <c r="B43" s="39">
        <v>1000</v>
      </c>
      <c r="C43" s="5">
        <v>75213112.73999998</v>
      </c>
      <c r="D43" s="39">
        <v>15042622.548000002</v>
      </c>
      <c r="F43" s="20" t="s">
        <v>24</v>
      </c>
      <c r="G43" s="5">
        <v>5008162.6799999988</v>
      </c>
      <c r="H43" s="5">
        <v>4514444.9099999983</v>
      </c>
      <c r="I43" s="5">
        <v>5591779.2699999996</v>
      </c>
      <c r="J43" s="5">
        <v>15114386.859999996</v>
      </c>
      <c r="L43" s="20" t="s">
        <v>68</v>
      </c>
      <c r="M43" s="5">
        <v>16667844.25999999</v>
      </c>
    </row>
    <row r="44" spans="1:15" x14ac:dyDescent="0.3">
      <c r="F44" s="20" t="s">
        <v>36</v>
      </c>
      <c r="G44" s="5">
        <v>5862305.7700000005</v>
      </c>
      <c r="H44" s="5">
        <v>6622776.1900000004</v>
      </c>
      <c r="I44" s="5">
        <v>4822091.1100000003</v>
      </c>
      <c r="J44" s="5">
        <v>17307173.07</v>
      </c>
      <c r="L44" s="20" t="s">
        <v>1113</v>
      </c>
      <c r="M44" s="5">
        <v>75213112.739999995</v>
      </c>
    </row>
    <row r="45" spans="1:15" x14ac:dyDescent="0.3">
      <c r="F45" s="20" t="s">
        <v>40</v>
      </c>
      <c r="G45" s="5">
        <v>4416095.1800000025</v>
      </c>
      <c r="H45" s="5">
        <v>4086844.7300000004</v>
      </c>
      <c r="I45" s="5">
        <v>4822269.2</v>
      </c>
      <c r="J45" s="5">
        <v>13325209.110000003</v>
      </c>
    </row>
    <row r="46" spans="1:15" x14ac:dyDescent="0.3">
      <c r="F46" s="20" t="s">
        <v>1113</v>
      </c>
      <c r="G46" s="5">
        <v>25169884.130000003</v>
      </c>
      <c r="H46" s="5">
        <v>24311192.940000001</v>
      </c>
      <c r="I46" s="5">
        <v>25732035.669999998</v>
      </c>
      <c r="J46" s="5">
        <v>75213112.74000001</v>
      </c>
    </row>
  </sheetData>
  <conditionalFormatting sqref="G40:J40">
    <cfRule type="colorScale" priority="1">
      <colorScale>
        <cfvo type="min"/>
        <cfvo type="percentile" val="50"/>
        <cfvo type="max"/>
        <color rgb="FFF8696B"/>
        <color rgb="FFFFEB84"/>
        <color rgb="FF63BE7B"/>
      </colorScale>
    </cfRule>
  </conditionalFormatting>
  <conditionalFormatting sqref="G31:L31">
    <cfRule type="colorScale" priority="2">
      <colorScale>
        <cfvo type="min"/>
        <cfvo type="percentile" val="50"/>
        <cfvo type="max"/>
        <color rgb="FFF8696B"/>
        <color rgb="FFFFEB84"/>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E921B-6531-4014-95D7-7DAEA242239F}">
  <dimension ref="A1:E11"/>
  <sheetViews>
    <sheetView workbookViewId="0">
      <selection activeCell="B8" sqref="B8"/>
    </sheetView>
  </sheetViews>
  <sheetFormatPr defaultRowHeight="14.4" x14ac:dyDescent="0.3"/>
  <cols>
    <col min="1" max="1" width="32.21875" style="7" customWidth="1"/>
    <col min="2" max="2" width="29.109375" style="7" customWidth="1"/>
    <col min="4" max="4" width="23.6640625" style="8" customWidth="1"/>
    <col min="5" max="5" width="12.33203125" style="8" customWidth="1"/>
  </cols>
  <sheetData>
    <row r="1" spans="1:5" ht="21" x14ac:dyDescent="0.4">
      <c r="A1" s="38" t="s">
        <v>1095</v>
      </c>
      <c r="B1" s="38"/>
    </row>
    <row r="2" spans="1:5" x14ac:dyDescent="0.3">
      <c r="A2" s="10" t="s">
        <v>1104</v>
      </c>
      <c r="B2" s="11"/>
      <c r="D2" s="3"/>
      <c r="E2" s="3"/>
    </row>
    <row r="3" spans="1:5" ht="21" x14ac:dyDescent="0.3">
      <c r="A3" s="12" t="s">
        <v>1096</v>
      </c>
      <c r="B3" s="12" t="s">
        <v>1097</v>
      </c>
      <c r="D3" s="17" t="s">
        <v>1078</v>
      </c>
      <c r="E3" s="17" t="s">
        <v>1097</v>
      </c>
    </row>
    <row r="4" spans="1:5" x14ac:dyDescent="0.3">
      <c r="A4" s="11" t="s">
        <v>1073</v>
      </c>
      <c r="B4" s="13">
        <f>SUM(Cleaned_Data!F2:F1001)</f>
        <v>75213112.740000069</v>
      </c>
      <c r="D4" s="17" t="s">
        <v>1074</v>
      </c>
      <c r="E4" s="18">
        <f>MIN(Cleaned_Data!G2:G1001)</f>
        <v>45334</v>
      </c>
    </row>
    <row r="5" spans="1:5" x14ac:dyDescent="0.3">
      <c r="A5" s="11" t="s">
        <v>1098</v>
      </c>
      <c r="B5" s="11">
        <f>SUM(Cleaned_Data!L2:L1001)</f>
        <v>15042622.547999997</v>
      </c>
      <c r="D5" s="17" t="s">
        <v>1075</v>
      </c>
      <c r="E5" s="18">
        <f>MAX(Cleaned_Data!G2:G1001)</f>
        <v>45697</v>
      </c>
    </row>
    <row r="6" spans="1:5" x14ac:dyDescent="0.3">
      <c r="A6" s="11" t="s">
        <v>1099</v>
      </c>
      <c r="B6" s="11">
        <f>COUNTA(Cleaned_Data!A2:A1001)</f>
        <v>1000</v>
      </c>
      <c r="D6" s="17" t="s">
        <v>1105</v>
      </c>
      <c r="E6" s="17">
        <f>MIN(Cleaned_Data!I2:I1001)</f>
        <v>1</v>
      </c>
    </row>
    <row r="7" spans="1:5" x14ac:dyDescent="0.3">
      <c r="A7" s="11" t="s">
        <v>1100</v>
      </c>
      <c r="B7" s="14">
        <f>SUM(Cleaned_Data!E2:E1001)</f>
        <v>3097</v>
      </c>
      <c r="D7" s="17" t="s">
        <v>1106</v>
      </c>
      <c r="E7" s="17">
        <f>MAX(Cleaned_Data!I2:I1001)</f>
        <v>5</v>
      </c>
    </row>
    <row r="8" spans="1:5" x14ac:dyDescent="0.3">
      <c r="A8" s="11" t="s">
        <v>1101</v>
      </c>
      <c r="B8" s="13">
        <f>B4/B6</f>
        <v>75213.11274000007</v>
      </c>
      <c r="D8" s="17" t="s">
        <v>1107</v>
      </c>
      <c r="E8" s="17">
        <f>MIN(Cleaned_Data!M2:M1001)</f>
        <v>5</v>
      </c>
    </row>
    <row r="9" spans="1:5" x14ac:dyDescent="0.3">
      <c r="A9" s="11" t="s">
        <v>1102</v>
      </c>
      <c r="B9" s="15">
        <f>AVERAGE(Cleaned_Data!I2:I1001)</f>
        <v>3.0110999999999981</v>
      </c>
      <c r="D9" s="17" t="s">
        <v>1108</v>
      </c>
      <c r="E9" s="17">
        <f>MAX(Cleaned_Data!M2:M1001)</f>
        <v>30</v>
      </c>
    </row>
    <row r="10" spans="1:5" x14ac:dyDescent="0.3">
      <c r="A10" s="11" t="s">
        <v>1087</v>
      </c>
      <c r="B10" s="16">
        <f>B5/B4</f>
        <v>0.19999999999999976</v>
      </c>
      <c r="D10" s="17" t="s">
        <v>1109</v>
      </c>
      <c r="E10" s="17">
        <f>MIN(Cleaned_Data!L2:L1001)</f>
        <v>83.910000000000011</v>
      </c>
    </row>
    <row r="11" spans="1:5" x14ac:dyDescent="0.3">
      <c r="A11" s="11" t="s">
        <v>1103</v>
      </c>
      <c r="B11" s="13">
        <f>AVERAGE(Cleaned_Data!M2:M1001)</f>
        <v>17.699000000000002</v>
      </c>
      <c r="D11" s="17" t="s">
        <v>1110</v>
      </c>
      <c r="E11" s="17">
        <f>MAX(Cleaned_Data!L2:L1001)</f>
        <v>48780.78</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D3599-6D62-47E2-82CD-B1F40F0F5C81}">
  <dimension ref="A1:C8"/>
  <sheetViews>
    <sheetView workbookViewId="0">
      <selection activeCell="B16" sqref="B16"/>
    </sheetView>
  </sheetViews>
  <sheetFormatPr defaultRowHeight="14.4" x14ac:dyDescent="0.3"/>
  <cols>
    <col min="1" max="1" width="17.44140625" customWidth="1"/>
  </cols>
  <sheetData>
    <row r="1" spans="1:3" x14ac:dyDescent="0.3">
      <c r="A1" s="3" t="s">
        <v>1078</v>
      </c>
      <c r="B1" s="3" t="s">
        <v>1079</v>
      </c>
      <c r="C1" s="3" t="s">
        <v>1080</v>
      </c>
    </row>
    <row r="2" spans="1:3" x14ac:dyDescent="0.3">
      <c r="A2" s="2" t="s">
        <v>1070</v>
      </c>
      <c r="B2" s="2">
        <v>1000</v>
      </c>
      <c r="C2" s="2" t="s">
        <v>1081</v>
      </c>
    </row>
    <row r="3" spans="1:3" x14ac:dyDescent="0.3">
      <c r="A3" s="2" t="s">
        <v>1071</v>
      </c>
      <c r="B3" s="2">
        <v>1000</v>
      </c>
      <c r="C3" s="2" t="s">
        <v>1081</v>
      </c>
    </row>
    <row r="4" spans="1:3" x14ac:dyDescent="0.3">
      <c r="A4" s="2" t="s">
        <v>1072</v>
      </c>
      <c r="B4" s="2">
        <v>0</v>
      </c>
      <c r="C4" s="2" t="s">
        <v>1081</v>
      </c>
    </row>
    <row r="5" spans="1:3" x14ac:dyDescent="0.3">
      <c r="A5" s="2" t="s">
        <v>1082</v>
      </c>
      <c r="B5" s="2">
        <v>0</v>
      </c>
      <c r="C5" s="2" t="s">
        <v>1081</v>
      </c>
    </row>
    <row r="6" spans="1:3" x14ac:dyDescent="0.3">
      <c r="A6" s="2" t="s">
        <v>1083</v>
      </c>
      <c r="B6" s="2" t="s">
        <v>1084</v>
      </c>
      <c r="C6" s="2" t="s">
        <v>1081</v>
      </c>
    </row>
    <row r="7" spans="1:3" x14ac:dyDescent="0.3">
      <c r="A7" s="2" t="s">
        <v>1085</v>
      </c>
      <c r="B7" s="2" t="s">
        <v>1084</v>
      </c>
      <c r="C7" s="2" t="s">
        <v>1081</v>
      </c>
    </row>
    <row r="8" spans="1:3" x14ac:dyDescent="0.3">
      <c r="A8" s="2" t="s">
        <v>1086</v>
      </c>
      <c r="B8" s="2" t="s">
        <v>1084</v>
      </c>
      <c r="C8" s="2" t="s">
        <v>1081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015E9-383F-42EB-8943-997BC19179E9}">
  <dimension ref="A1:Z1001"/>
  <sheetViews>
    <sheetView zoomScale="92" workbookViewId="0">
      <selection activeCell="R19" sqref="R19"/>
    </sheetView>
  </sheetViews>
  <sheetFormatPr defaultRowHeight="14.4" x14ac:dyDescent="0.3"/>
  <cols>
    <col min="1" max="1" width="10.21875" style="4" bestFit="1" customWidth="1"/>
    <col min="2" max="2" width="15.44140625" style="4" bestFit="1" customWidth="1"/>
    <col min="3" max="3" width="14.21875" style="4" bestFit="1" customWidth="1"/>
    <col min="4" max="4" width="12.109375" style="5" bestFit="1" customWidth="1"/>
    <col min="5" max="5" width="14.6640625" style="6" bestFit="1" customWidth="1"/>
    <col min="6" max="6" width="17" style="5" bestFit="1" customWidth="1"/>
    <col min="7" max="7" width="12.33203125" style="1" bestFit="1" customWidth="1"/>
    <col min="8" max="8" width="18.109375" bestFit="1" customWidth="1"/>
    <col min="9" max="9" width="17.21875" bestFit="1" customWidth="1"/>
    <col min="10" max="10" width="9.77734375" bestFit="1" customWidth="1"/>
    <col min="11" max="11" width="6.88671875" bestFit="1" customWidth="1"/>
    <col min="12" max="12" width="12.6640625" bestFit="1" customWidth="1"/>
    <col min="13" max="13" width="12.44140625" bestFit="1" customWidth="1"/>
    <col min="14" max="14" width="19.44140625" bestFit="1" customWidth="1"/>
    <col min="15" max="15" width="9" bestFit="1" customWidth="1"/>
    <col min="16" max="16" width="17.21875" bestFit="1" customWidth="1"/>
    <col min="17" max="17" width="17.33203125" bestFit="1" customWidth="1"/>
    <col min="18" max="18" width="16.77734375" style="9" bestFit="1" customWidth="1"/>
    <col min="19" max="19" width="18.6640625" bestFit="1" customWidth="1"/>
    <col min="20" max="20" width="15.6640625" bestFit="1" customWidth="1"/>
    <col min="22" max="22" width="10.21875" bestFit="1" customWidth="1"/>
    <col min="23" max="23" width="13.77734375" bestFit="1" customWidth="1"/>
    <col min="24" max="24" width="18.44140625" bestFit="1" customWidth="1"/>
    <col min="25" max="25" width="24.5546875" bestFit="1" customWidth="1"/>
    <col min="26" max="26" width="13.88671875" bestFit="1" customWidth="1"/>
  </cols>
  <sheetData>
    <row r="1" spans="1:26" x14ac:dyDescent="0.3">
      <c r="A1" s="4" t="s">
        <v>0</v>
      </c>
      <c r="B1" s="4" t="s">
        <v>1</v>
      </c>
      <c r="C1" s="4" t="s">
        <v>2</v>
      </c>
      <c r="D1" s="5" t="s">
        <v>3</v>
      </c>
      <c r="E1" s="6" t="s">
        <v>4</v>
      </c>
      <c r="F1" s="5" t="s">
        <v>5</v>
      </c>
      <c r="G1" s="1" t="s">
        <v>6</v>
      </c>
      <c r="H1" t="s">
        <v>7</v>
      </c>
      <c r="I1" t="s">
        <v>8</v>
      </c>
      <c r="J1" t="s">
        <v>9</v>
      </c>
      <c r="K1" t="s">
        <v>10</v>
      </c>
      <c r="L1" t="s">
        <v>11</v>
      </c>
      <c r="M1" t="s">
        <v>12</v>
      </c>
      <c r="N1" t="s">
        <v>13</v>
      </c>
      <c r="O1" t="s">
        <v>14</v>
      </c>
      <c r="P1" t="s">
        <v>1076</v>
      </c>
      <c r="Q1" t="s">
        <v>1077</v>
      </c>
      <c r="R1" s="9" t="s">
        <v>1087</v>
      </c>
      <c r="S1" t="s">
        <v>1088</v>
      </c>
      <c r="T1" t="s">
        <v>1094</v>
      </c>
      <c r="U1" t="s">
        <v>1089</v>
      </c>
      <c r="V1" t="s">
        <v>1090</v>
      </c>
      <c r="W1" t="s">
        <v>1091</v>
      </c>
      <c r="X1" t="s">
        <v>1092</v>
      </c>
      <c r="Y1" t="s">
        <v>1093</v>
      </c>
      <c r="Z1" t="s">
        <v>1125</v>
      </c>
    </row>
    <row r="2" spans="1:26" x14ac:dyDescent="0.3">
      <c r="A2" s="4" t="s">
        <v>15</v>
      </c>
      <c r="B2" s="4" t="s">
        <v>16</v>
      </c>
      <c r="C2" s="4" t="s">
        <v>17</v>
      </c>
      <c r="D2" s="5">
        <v>49069.56</v>
      </c>
      <c r="E2" s="6">
        <v>2</v>
      </c>
      <c r="F2" s="5">
        <v>98139.12</v>
      </c>
      <c r="G2" s="1">
        <v>45547</v>
      </c>
      <c r="H2" t="s">
        <v>18</v>
      </c>
      <c r="I2">
        <v>3.5</v>
      </c>
      <c r="J2" t="s">
        <v>19</v>
      </c>
      <c r="K2">
        <v>2024</v>
      </c>
      <c r="L2">
        <v>19627.824000000001</v>
      </c>
      <c r="M2">
        <v>11</v>
      </c>
      <c r="N2" t="s">
        <v>20</v>
      </c>
      <c r="O2" t="s">
        <v>21</v>
      </c>
      <c r="P2">
        <f>FlipkartSales[[#This Row],[Price (INR)]]*FlipkartSales[[#This Row],[Quantity Sold]]</f>
        <v>98139.12</v>
      </c>
      <c r="Q2">
        <f>FlipkartSales[[#This Row],[Total Sales (INR)]]-FlipkartSales[[#This Row],[Calculated Sales]]</f>
        <v>0</v>
      </c>
      <c r="R2" s="9">
        <f t="shared" ref="R2:R65" si="0">L2/F2</f>
        <v>0.2</v>
      </c>
      <c r="S2">
        <f t="shared" ref="S2:S65" si="1">F2/E2</f>
        <v>49069.56</v>
      </c>
      <c r="T2">
        <f t="shared" ref="T2:T65" si="2">L2/E2</f>
        <v>9813.9120000000003</v>
      </c>
      <c r="U2">
        <f t="shared" ref="U2:U65" si="3">MONTH(G2)</f>
        <v>9</v>
      </c>
      <c r="V2" t="str">
        <f t="shared" ref="V2:V65" si="4">"Q"&amp;ROUNDUP(MONTH(G2)/3,0)</f>
        <v>Q3</v>
      </c>
      <c r="W2" t="str">
        <f t="shared" ref="W2:W65" si="5">TEXT(G2,"mmm-yyyy")</f>
        <v>Sep-2024</v>
      </c>
      <c r="X2">
        <f t="shared" ref="X2:X65" si="6">F2*M2/100</f>
        <v>10795.303199999998</v>
      </c>
      <c r="Y2" s="5">
        <f t="shared" ref="Y2:Y65" si="7">F2-X2</f>
        <v>87343.816800000001</v>
      </c>
      <c r="Z2" s="21">
        <f>DATE(K2,MATCH(J2,{"January","February","March","April","May","June","July","August","September","October","November","December"},0),1)</f>
        <v>45536</v>
      </c>
    </row>
    <row r="3" spans="1:26" x14ac:dyDescent="0.3">
      <c r="A3" s="4" t="s">
        <v>22</v>
      </c>
      <c r="B3" s="4" t="s">
        <v>23</v>
      </c>
      <c r="C3" s="4" t="s">
        <v>24</v>
      </c>
      <c r="D3" s="5">
        <v>12755.85</v>
      </c>
      <c r="E3" s="6">
        <v>4</v>
      </c>
      <c r="F3" s="5">
        <v>51023.4</v>
      </c>
      <c r="G3" s="1">
        <v>45644</v>
      </c>
      <c r="H3" t="s">
        <v>25</v>
      </c>
      <c r="I3">
        <v>3.9</v>
      </c>
      <c r="J3" t="s">
        <v>26</v>
      </c>
      <c r="K3">
        <v>2024</v>
      </c>
      <c r="L3">
        <v>10204.68</v>
      </c>
      <c r="M3">
        <v>24</v>
      </c>
      <c r="N3" t="s">
        <v>27</v>
      </c>
      <c r="O3" t="s">
        <v>28</v>
      </c>
      <c r="P3">
        <f>FlipkartSales[[#This Row],[Price (INR)]]*FlipkartSales[[#This Row],[Quantity Sold]]</f>
        <v>51023.4</v>
      </c>
      <c r="Q3">
        <f>FlipkartSales[[#This Row],[Total Sales (INR)]]-FlipkartSales[[#This Row],[Calculated Sales]]</f>
        <v>0</v>
      </c>
      <c r="R3" s="9">
        <f t="shared" si="0"/>
        <v>0.2</v>
      </c>
      <c r="S3">
        <f t="shared" si="1"/>
        <v>12755.85</v>
      </c>
      <c r="T3">
        <f t="shared" si="2"/>
        <v>2551.17</v>
      </c>
      <c r="U3">
        <f t="shared" si="3"/>
        <v>12</v>
      </c>
      <c r="V3" t="str">
        <f t="shared" si="4"/>
        <v>Q4</v>
      </c>
      <c r="W3" t="str">
        <f t="shared" si="5"/>
        <v>Dec-2024</v>
      </c>
      <c r="X3">
        <f t="shared" si="6"/>
        <v>12245.616000000002</v>
      </c>
      <c r="Y3" s="5">
        <f t="shared" si="7"/>
        <v>38777.784</v>
      </c>
      <c r="Z3" s="21">
        <f>DATE(K3,MATCH(J3,{"January","February","March","April","May","June","July","August","September","October","November","December"},0),1)</f>
        <v>45627</v>
      </c>
    </row>
    <row r="4" spans="1:26" x14ac:dyDescent="0.3">
      <c r="A4" s="4" t="s">
        <v>29</v>
      </c>
      <c r="B4" s="4" t="s">
        <v>30</v>
      </c>
      <c r="C4" s="4" t="s">
        <v>31</v>
      </c>
      <c r="D4" s="5">
        <v>11092.19</v>
      </c>
      <c r="E4" s="6">
        <v>4</v>
      </c>
      <c r="F4" s="5">
        <v>44368.76</v>
      </c>
      <c r="G4" s="1">
        <v>45430</v>
      </c>
      <c r="H4" t="s">
        <v>18</v>
      </c>
      <c r="I4">
        <v>4.4000000000000004</v>
      </c>
      <c r="J4" t="s">
        <v>32</v>
      </c>
      <c r="K4">
        <v>2024</v>
      </c>
      <c r="L4">
        <v>8873.7520000000004</v>
      </c>
      <c r="M4">
        <v>19</v>
      </c>
      <c r="N4" t="s">
        <v>20</v>
      </c>
      <c r="O4" t="s">
        <v>33</v>
      </c>
      <c r="P4">
        <f>FlipkartSales[[#This Row],[Price (INR)]]*FlipkartSales[[#This Row],[Quantity Sold]]</f>
        <v>44368.76</v>
      </c>
      <c r="Q4">
        <f>FlipkartSales[[#This Row],[Total Sales (INR)]]-FlipkartSales[[#This Row],[Calculated Sales]]</f>
        <v>0</v>
      </c>
      <c r="R4" s="9">
        <f t="shared" si="0"/>
        <v>0.2</v>
      </c>
      <c r="S4">
        <f t="shared" si="1"/>
        <v>11092.19</v>
      </c>
      <c r="T4">
        <f t="shared" si="2"/>
        <v>2218.4380000000001</v>
      </c>
      <c r="U4">
        <f t="shared" si="3"/>
        <v>5</v>
      </c>
      <c r="V4" t="str">
        <f t="shared" si="4"/>
        <v>Q2</v>
      </c>
      <c r="W4" t="str">
        <f t="shared" si="5"/>
        <v>May-2024</v>
      </c>
      <c r="X4">
        <f t="shared" si="6"/>
        <v>8430.0644000000011</v>
      </c>
      <c r="Y4" s="5">
        <f t="shared" si="7"/>
        <v>35938.695599999999</v>
      </c>
      <c r="Z4" s="21">
        <f>DATE(K4,MATCH(J4,{"January","February","March","April","May","June","July","August","September","October","November","December"},0),1)</f>
        <v>45413</v>
      </c>
    </row>
    <row r="5" spans="1:26" x14ac:dyDescent="0.3">
      <c r="A5" s="4" t="s">
        <v>34</v>
      </c>
      <c r="B5" s="4" t="s">
        <v>35</v>
      </c>
      <c r="C5" s="4" t="s">
        <v>36</v>
      </c>
      <c r="D5" s="5">
        <v>32657.81</v>
      </c>
      <c r="E5" s="6">
        <v>1</v>
      </c>
      <c r="F5" s="5">
        <v>32657.81</v>
      </c>
      <c r="G5" s="1">
        <v>45604</v>
      </c>
      <c r="H5" t="s">
        <v>18</v>
      </c>
      <c r="I5">
        <v>3.2</v>
      </c>
      <c r="J5" t="s">
        <v>37</v>
      </c>
      <c r="K5">
        <v>2024</v>
      </c>
      <c r="L5">
        <v>6531.5620000000008</v>
      </c>
      <c r="M5">
        <v>15</v>
      </c>
      <c r="N5" t="s">
        <v>20</v>
      </c>
      <c r="O5" t="s">
        <v>28</v>
      </c>
      <c r="P5">
        <f>FlipkartSales[[#This Row],[Price (INR)]]*FlipkartSales[[#This Row],[Quantity Sold]]</f>
        <v>32657.81</v>
      </c>
      <c r="Q5">
        <f>FlipkartSales[[#This Row],[Total Sales (INR)]]-FlipkartSales[[#This Row],[Calculated Sales]]</f>
        <v>0</v>
      </c>
      <c r="R5" s="9">
        <f t="shared" si="0"/>
        <v>0.2</v>
      </c>
      <c r="S5">
        <f t="shared" si="1"/>
        <v>32657.81</v>
      </c>
      <c r="T5">
        <f t="shared" si="2"/>
        <v>6531.5620000000008</v>
      </c>
      <c r="U5">
        <f t="shared" si="3"/>
        <v>11</v>
      </c>
      <c r="V5" t="str">
        <f t="shared" si="4"/>
        <v>Q4</v>
      </c>
      <c r="W5" t="str">
        <f t="shared" si="5"/>
        <v>Nov-2024</v>
      </c>
      <c r="X5">
        <f t="shared" si="6"/>
        <v>4898.6715000000004</v>
      </c>
      <c r="Y5" s="5">
        <f t="shared" si="7"/>
        <v>27759.138500000001</v>
      </c>
      <c r="Z5" s="21">
        <f>DATE(K5,MATCH(J5,{"January","February","March","April","May","June","July","August","September","October","November","December"},0),1)</f>
        <v>45597</v>
      </c>
    </row>
    <row r="6" spans="1:26" x14ac:dyDescent="0.3">
      <c r="A6" s="4" t="s">
        <v>38</v>
      </c>
      <c r="B6" s="4" t="s">
        <v>39</v>
      </c>
      <c r="C6" s="4" t="s">
        <v>40</v>
      </c>
      <c r="D6" s="5">
        <v>26590.080000000002</v>
      </c>
      <c r="E6" s="6">
        <v>3</v>
      </c>
      <c r="F6" s="5">
        <v>79770.240000000005</v>
      </c>
      <c r="G6" s="1">
        <v>45653</v>
      </c>
      <c r="H6" t="s">
        <v>25</v>
      </c>
      <c r="I6">
        <v>3.1</v>
      </c>
      <c r="J6" t="s">
        <v>26</v>
      </c>
      <c r="K6">
        <v>2024</v>
      </c>
      <c r="L6">
        <v>15954.048000000003</v>
      </c>
      <c r="M6">
        <v>12</v>
      </c>
      <c r="N6" t="s">
        <v>41</v>
      </c>
      <c r="O6" t="s">
        <v>28</v>
      </c>
      <c r="P6">
        <f>FlipkartSales[[#This Row],[Price (INR)]]*FlipkartSales[[#This Row],[Quantity Sold]]</f>
        <v>79770.240000000005</v>
      </c>
      <c r="Q6">
        <f>FlipkartSales[[#This Row],[Total Sales (INR)]]-FlipkartSales[[#This Row],[Calculated Sales]]</f>
        <v>0</v>
      </c>
      <c r="R6" s="9">
        <f t="shared" si="0"/>
        <v>0.2</v>
      </c>
      <c r="S6">
        <f t="shared" si="1"/>
        <v>26590.080000000002</v>
      </c>
      <c r="T6">
        <f t="shared" si="2"/>
        <v>5318.0160000000005</v>
      </c>
      <c r="U6">
        <f t="shared" si="3"/>
        <v>12</v>
      </c>
      <c r="V6" t="str">
        <f t="shared" si="4"/>
        <v>Q4</v>
      </c>
      <c r="W6" t="str">
        <f t="shared" si="5"/>
        <v>Dec-2024</v>
      </c>
      <c r="X6">
        <f t="shared" si="6"/>
        <v>9572.4288000000015</v>
      </c>
      <c r="Y6" s="5">
        <f t="shared" si="7"/>
        <v>70197.811199999996</v>
      </c>
      <c r="Z6" s="21">
        <f>DATE(K6,MATCH(J6,{"January","February","March","April","May","June","July","August","September","October","November","December"},0),1)</f>
        <v>45627</v>
      </c>
    </row>
    <row r="7" spans="1:26" x14ac:dyDescent="0.3">
      <c r="A7" s="4" t="s">
        <v>42</v>
      </c>
      <c r="B7" s="4" t="s">
        <v>43</v>
      </c>
      <c r="C7" s="4" t="s">
        <v>40</v>
      </c>
      <c r="D7" s="5">
        <v>10475.030000000001</v>
      </c>
      <c r="E7" s="6">
        <v>2</v>
      </c>
      <c r="F7" s="5">
        <v>20950.060000000001</v>
      </c>
      <c r="G7" s="1">
        <v>45587</v>
      </c>
      <c r="H7" t="s">
        <v>44</v>
      </c>
      <c r="I7">
        <v>1.7</v>
      </c>
      <c r="J7" t="s">
        <v>45</v>
      </c>
      <c r="K7">
        <v>2024</v>
      </c>
      <c r="L7">
        <v>4190.0120000000006</v>
      </c>
      <c r="M7">
        <v>25</v>
      </c>
      <c r="N7" t="s">
        <v>27</v>
      </c>
      <c r="O7" t="s">
        <v>28</v>
      </c>
      <c r="P7">
        <f>FlipkartSales[[#This Row],[Price (INR)]]*FlipkartSales[[#This Row],[Quantity Sold]]</f>
        <v>20950.060000000001</v>
      </c>
      <c r="Q7">
        <f>FlipkartSales[[#This Row],[Total Sales (INR)]]-FlipkartSales[[#This Row],[Calculated Sales]]</f>
        <v>0</v>
      </c>
      <c r="R7" s="9">
        <f t="shared" si="0"/>
        <v>0.2</v>
      </c>
      <c r="S7">
        <f t="shared" si="1"/>
        <v>10475.030000000001</v>
      </c>
      <c r="T7">
        <f t="shared" si="2"/>
        <v>2095.0060000000003</v>
      </c>
      <c r="U7">
        <f t="shared" si="3"/>
        <v>10</v>
      </c>
      <c r="V7" t="str">
        <f t="shared" si="4"/>
        <v>Q4</v>
      </c>
      <c r="W7" t="str">
        <f t="shared" si="5"/>
        <v>Oct-2024</v>
      </c>
      <c r="X7">
        <f t="shared" si="6"/>
        <v>5237.5150000000003</v>
      </c>
      <c r="Y7" s="5">
        <f t="shared" si="7"/>
        <v>15712.545000000002</v>
      </c>
      <c r="Z7" s="21">
        <f>DATE(K7,MATCH(J7,{"January","February","March","April","May","June","July","August","September","October","November","December"},0),1)</f>
        <v>45566</v>
      </c>
    </row>
    <row r="8" spans="1:26" x14ac:dyDescent="0.3">
      <c r="A8" s="4" t="s">
        <v>46</v>
      </c>
      <c r="B8" s="4" t="s">
        <v>47</v>
      </c>
      <c r="C8" s="4" t="s">
        <v>24</v>
      </c>
      <c r="D8" s="5">
        <v>38647.72</v>
      </c>
      <c r="E8" s="6">
        <v>3</v>
      </c>
      <c r="F8" s="5">
        <v>115943.16</v>
      </c>
      <c r="G8" s="1">
        <v>45477</v>
      </c>
      <c r="H8" t="s">
        <v>44</v>
      </c>
      <c r="I8">
        <v>2</v>
      </c>
      <c r="J8" t="s">
        <v>48</v>
      </c>
      <c r="K8">
        <v>2024</v>
      </c>
      <c r="L8">
        <v>23188.632000000001</v>
      </c>
      <c r="M8">
        <v>11</v>
      </c>
      <c r="N8" t="s">
        <v>27</v>
      </c>
      <c r="O8" t="s">
        <v>28</v>
      </c>
      <c r="P8">
        <f>FlipkartSales[[#This Row],[Price (INR)]]*FlipkartSales[[#This Row],[Quantity Sold]]</f>
        <v>115943.16</v>
      </c>
      <c r="Q8">
        <f>FlipkartSales[[#This Row],[Total Sales (INR)]]-FlipkartSales[[#This Row],[Calculated Sales]]</f>
        <v>0</v>
      </c>
      <c r="R8" s="9">
        <f t="shared" si="0"/>
        <v>0.2</v>
      </c>
      <c r="S8">
        <f t="shared" si="1"/>
        <v>38647.72</v>
      </c>
      <c r="T8">
        <f t="shared" si="2"/>
        <v>7729.5440000000008</v>
      </c>
      <c r="U8">
        <f t="shared" si="3"/>
        <v>7</v>
      </c>
      <c r="V8" t="str">
        <f t="shared" si="4"/>
        <v>Q3</v>
      </c>
      <c r="W8" t="str">
        <f t="shared" si="5"/>
        <v>Jul-2024</v>
      </c>
      <c r="X8">
        <f t="shared" si="6"/>
        <v>12753.747600000001</v>
      </c>
      <c r="Y8" s="5">
        <f t="shared" si="7"/>
        <v>103189.4124</v>
      </c>
      <c r="Z8" s="21">
        <f>DATE(K8,MATCH(J8,{"January","February","March","April","May","June","July","August","September","October","November","December"},0),1)</f>
        <v>45474</v>
      </c>
    </row>
    <row r="9" spans="1:26" x14ac:dyDescent="0.3">
      <c r="A9" s="4" t="s">
        <v>49</v>
      </c>
      <c r="B9" s="4" t="s">
        <v>50</v>
      </c>
      <c r="C9" s="4" t="s">
        <v>40</v>
      </c>
      <c r="D9" s="5">
        <v>24818.59</v>
      </c>
      <c r="E9" s="6">
        <v>3</v>
      </c>
      <c r="F9" s="5">
        <v>74455.77</v>
      </c>
      <c r="G9" s="1">
        <v>45653</v>
      </c>
      <c r="H9" t="s">
        <v>18</v>
      </c>
      <c r="I9">
        <v>2.4</v>
      </c>
      <c r="J9" t="s">
        <v>26</v>
      </c>
      <c r="K9">
        <v>2024</v>
      </c>
      <c r="L9">
        <v>14891.154000000002</v>
      </c>
      <c r="M9">
        <v>30</v>
      </c>
      <c r="N9" t="s">
        <v>27</v>
      </c>
      <c r="O9" t="s">
        <v>33</v>
      </c>
      <c r="P9">
        <f>FlipkartSales[[#This Row],[Price (INR)]]*FlipkartSales[[#This Row],[Quantity Sold]]</f>
        <v>74455.77</v>
      </c>
      <c r="Q9">
        <f>FlipkartSales[[#This Row],[Total Sales (INR)]]-FlipkartSales[[#This Row],[Calculated Sales]]</f>
        <v>0</v>
      </c>
      <c r="R9" s="9">
        <f t="shared" si="0"/>
        <v>0.2</v>
      </c>
      <c r="S9">
        <f t="shared" si="1"/>
        <v>24818.59</v>
      </c>
      <c r="T9">
        <f t="shared" si="2"/>
        <v>4963.7180000000008</v>
      </c>
      <c r="U9">
        <f t="shared" si="3"/>
        <v>12</v>
      </c>
      <c r="V9" t="str">
        <f t="shared" si="4"/>
        <v>Q4</v>
      </c>
      <c r="W9" t="str">
        <f t="shared" si="5"/>
        <v>Dec-2024</v>
      </c>
      <c r="X9">
        <f t="shared" si="6"/>
        <v>22336.731</v>
      </c>
      <c r="Y9" s="5">
        <f t="shared" si="7"/>
        <v>52119.039000000004</v>
      </c>
      <c r="Z9" s="21">
        <f>DATE(K9,MATCH(J9,{"January","February","March","April","May","June","July","August","September","October","November","December"},0),1)</f>
        <v>45627</v>
      </c>
    </row>
    <row r="10" spans="1:26" x14ac:dyDescent="0.3">
      <c r="A10" s="4" t="s">
        <v>51</v>
      </c>
      <c r="B10" s="4" t="s">
        <v>52</v>
      </c>
      <c r="C10" s="4" t="s">
        <v>24</v>
      </c>
      <c r="D10" s="5">
        <v>1987.39</v>
      </c>
      <c r="E10" s="6">
        <v>2</v>
      </c>
      <c r="F10" s="5">
        <v>3974.78</v>
      </c>
      <c r="G10" s="1">
        <v>45675</v>
      </c>
      <c r="H10" t="s">
        <v>18</v>
      </c>
      <c r="I10">
        <v>2.6</v>
      </c>
      <c r="J10" t="s">
        <v>53</v>
      </c>
      <c r="K10">
        <v>2025</v>
      </c>
      <c r="L10">
        <v>794.95600000000013</v>
      </c>
      <c r="M10">
        <v>23</v>
      </c>
      <c r="N10" t="s">
        <v>20</v>
      </c>
      <c r="O10" t="s">
        <v>28</v>
      </c>
      <c r="P10">
        <f>FlipkartSales[[#This Row],[Price (INR)]]*FlipkartSales[[#This Row],[Quantity Sold]]</f>
        <v>3974.78</v>
      </c>
      <c r="Q10">
        <f>FlipkartSales[[#This Row],[Total Sales (INR)]]-FlipkartSales[[#This Row],[Calculated Sales]]</f>
        <v>0</v>
      </c>
      <c r="R10" s="9">
        <f t="shared" si="0"/>
        <v>0.2</v>
      </c>
      <c r="S10">
        <f t="shared" si="1"/>
        <v>1987.39</v>
      </c>
      <c r="T10">
        <f t="shared" si="2"/>
        <v>397.47800000000007</v>
      </c>
      <c r="U10">
        <f t="shared" si="3"/>
        <v>1</v>
      </c>
      <c r="V10" t="str">
        <f t="shared" si="4"/>
        <v>Q1</v>
      </c>
      <c r="W10" t="str">
        <f t="shared" si="5"/>
        <v>Jan-2025</v>
      </c>
      <c r="X10">
        <f t="shared" si="6"/>
        <v>914.19939999999997</v>
      </c>
      <c r="Y10" s="5">
        <f t="shared" si="7"/>
        <v>3060.5806000000002</v>
      </c>
      <c r="Z10" s="21">
        <f>DATE(K10,MATCH(J10,{"January","February","March","April","May","June","July","August","September","October","November","December"},0),1)</f>
        <v>45658</v>
      </c>
    </row>
    <row r="11" spans="1:26" x14ac:dyDescent="0.3">
      <c r="A11" s="4" t="s">
        <v>54</v>
      </c>
      <c r="B11" s="4" t="s">
        <v>55</v>
      </c>
      <c r="C11" s="4" t="s">
        <v>36</v>
      </c>
      <c r="D11" s="5">
        <v>26876.51</v>
      </c>
      <c r="E11" s="6">
        <v>2</v>
      </c>
      <c r="F11" s="5">
        <v>53753.02</v>
      </c>
      <c r="G11" s="1">
        <v>45365</v>
      </c>
      <c r="H11" t="s">
        <v>18</v>
      </c>
      <c r="I11">
        <v>4</v>
      </c>
      <c r="J11" t="s">
        <v>56</v>
      </c>
      <c r="K11">
        <v>2024</v>
      </c>
      <c r="L11">
        <v>10750.603999999999</v>
      </c>
      <c r="M11">
        <v>27</v>
      </c>
      <c r="N11" t="s">
        <v>20</v>
      </c>
      <c r="O11" t="s">
        <v>28</v>
      </c>
      <c r="P11">
        <f>FlipkartSales[[#This Row],[Price (INR)]]*FlipkartSales[[#This Row],[Quantity Sold]]</f>
        <v>53753.02</v>
      </c>
      <c r="Q11">
        <f>FlipkartSales[[#This Row],[Total Sales (INR)]]-FlipkartSales[[#This Row],[Calculated Sales]]</f>
        <v>0</v>
      </c>
      <c r="R11" s="9">
        <f t="shared" si="0"/>
        <v>0.2</v>
      </c>
      <c r="S11">
        <f t="shared" si="1"/>
        <v>26876.51</v>
      </c>
      <c r="T11">
        <f t="shared" si="2"/>
        <v>5375.3019999999997</v>
      </c>
      <c r="U11">
        <f t="shared" si="3"/>
        <v>3</v>
      </c>
      <c r="V11" t="str">
        <f t="shared" si="4"/>
        <v>Q1</v>
      </c>
      <c r="W11" t="str">
        <f t="shared" si="5"/>
        <v>Mar-2024</v>
      </c>
      <c r="X11">
        <f t="shared" si="6"/>
        <v>14513.315399999998</v>
      </c>
      <c r="Y11" s="5">
        <f t="shared" si="7"/>
        <v>39239.704599999997</v>
      </c>
      <c r="Z11" s="21">
        <f>DATE(K11,MATCH(J11,{"January","February","March","April","May","June","July","August","September","October","November","December"},0),1)</f>
        <v>45352</v>
      </c>
    </row>
    <row r="12" spans="1:26" x14ac:dyDescent="0.3">
      <c r="A12" s="4" t="s">
        <v>57</v>
      </c>
      <c r="B12" s="4" t="s">
        <v>58</v>
      </c>
      <c r="C12" s="4" t="s">
        <v>31</v>
      </c>
      <c r="D12" s="5">
        <v>46409.57</v>
      </c>
      <c r="E12" s="6">
        <v>5</v>
      </c>
      <c r="F12" s="5">
        <v>232047.85</v>
      </c>
      <c r="G12" s="1">
        <v>45696</v>
      </c>
      <c r="H12" t="s">
        <v>25</v>
      </c>
      <c r="I12">
        <v>2.2999999999999998</v>
      </c>
      <c r="J12" t="s">
        <v>59</v>
      </c>
      <c r="K12">
        <v>2025</v>
      </c>
      <c r="L12">
        <v>46409.570000000007</v>
      </c>
      <c r="M12">
        <v>15</v>
      </c>
      <c r="N12" t="s">
        <v>20</v>
      </c>
      <c r="O12" t="s">
        <v>21</v>
      </c>
      <c r="P12">
        <f>FlipkartSales[[#This Row],[Price (INR)]]*FlipkartSales[[#This Row],[Quantity Sold]]</f>
        <v>232047.85</v>
      </c>
      <c r="Q12">
        <f>FlipkartSales[[#This Row],[Total Sales (INR)]]-FlipkartSales[[#This Row],[Calculated Sales]]</f>
        <v>0</v>
      </c>
      <c r="R12" s="9">
        <f t="shared" si="0"/>
        <v>0.20000000000000004</v>
      </c>
      <c r="S12">
        <f t="shared" si="1"/>
        <v>46409.57</v>
      </c>
      <c r="T12">
        <f t="shared" si="2"/>
        <v>9281.9140000000007</v>
      </c>
      <c r="U12">
        <f t="shared" si="3"/>
        <v>2</v>
      </c>
      <c r="V12" t="str">
        <f t="shared" si="4"/>
        <v>Q1</v>
      </c>
      <c r="W12" t="str">
        <f t="shared" si="5"/>
        <v>Feb-2025</v>
      </c>
      <c r="X12">
        <f t="shared" si="6"/>
        <v>34807.177499999998</v>
      </c>
      <c r="Y12" s="5">
        <f t="shared" si="7"/>
        <v>197240.67250000002</v>
      </c>
      <c r="Z12" s="21">
        <f>DATE(K12,MATCH(J12,{"January","February","March","April","May","June","July","August","September","October","November","December"},0),1)</f>
        <v>45689</v>
      </c>
    </row>
    <row r="13" spans="1:26" x14ac:dyDescent="0.3">
      <c r="A13" s="4" t="s">
        <v>60</v>
      </c>
      <c r="B13" s="4" t="s">
        <v>61</v>
      </c>
      <c r="C13" s="4" t="s">
        <v>31</v>
      </c>
      <c r="D13" s="5">
        <v>48780.78</v>
      </c>
      <c r="E13" s="6">
        <v>5</v>
      </c>
      <c r="F13" s="5">
        <v>243903.9</v>
      </c>
      <c r="G13" s="1">
        <v>45395</v>
      </c>
      <c r="H13" t="s">
        <v>25</v>
      </c>
      <c r="I13">
        <v>1.3</v>
      </c>
      <c r="J13" t="s">
        <v>62</v>
      </c>
      <c r="K13">
        <v>2024</v>
      </c>
      <c r="L13">
        <v>48780.78</v>
      </c>
      <c r="M13">
        <v>15</v>
      </c>
      <c r="N13" t="s">
        <v>41</v>
      </c>
      <c r="O13" t="s">
        <v>33</v>
      </c>
      <c r="P13">
        <f>FlipkartSales[[#This Row],[Price (INR)]]*FlipkartSales[[#This Row],[Quantity Sold]]</f>
        <v>243903.9</v>
      </c>
      <c r="Q13">
        <f>FlipkartSales[[#This Row],[Total Sales (INR)]]-FlipkartSales[[#This Row],[Calculated Sales]]</f>
        <v>0</v>
      </c>
      <c r="R13" s="9">
        <f t="shared" si="0"/>
        <v>0.2</v>
      </c>
      <c r="S13">
        <f t="shared" si="1"/>
        <v>48780.78</v>
      </c>
      <c r="T13">
        <f t="shared" si="2"/>
        <v>9756.155999999999</v>
      </c>
      <c r="U13">
        <f t="shared" si="3"/>
        <v>4</v>
      </c>
      <c r="V13" t="str">
        <f t="shared" si="4"/>
        <v>Q2</v>
      </c>
      <c r="W13" t="str">
        <f t="shared" si="5"/>
        <v>Apr-2024</v>
      </c>
      <c r="X13">
        <f t="shared" si="6"/>
        <v>36585.584999999999</v>
      </c>
      <c r="Y13" s="5">
        <f t="shared" si="7"/>
        <v>207318.315</v>
      </c>
      <c r="Z13" s="21">
        <f>DATE(K13,MATCH(J13,{"January","February","March","April","May","June","July","August","September","October","November","December"},0),1)</f>
        <v>45383</v>
      </c>
    </row>
    <row r="14" spans="1:26" x14ac:dyDescent="0.3">
      <c r="A14" s="4" t="s">
        <v>63</v>
      </c>
      <c r="B14" s="4" t="s">
        <v>16</v>
      </c>
      <c r="C14" s="4" t="s">
        <v>17</v>
      </c>
      <c r="D14" s="5">
        <v>6670.82</v>
      </c>
      <c r="E14" s="6">
        <v>5</v>
      </c>
      <c r="F14" s="5">
        <v>33354.1</v>
      </c>
      <c r="G14" s="1">
        <v>45345</v>
      </c>
      <c r="H14" t="s">
        <v>64</v>
      </c>
      <c r="I14">
        <v>1.2</v>
      </c>
      <c r="J14" t="s">
        <v>59</v>
      </c>
      <c r="K14">
        <v>2024</v>
      </c>
      <c r="L14">
        <v>6670.82</v>
      </c>
      <c r="M14">
        <v>28</v>
      </c>
      <c r="N14" t="s">
        <v>20</v>
      </c>
      <c r="O14" t="s">
        <v>33</v>
      </c>
      <c r="P14">
        <f>FlipkartSales[[#This Row],[Price (INR)]]*FlipkartSales[[#This Row],[Quantity Sold]]</f>
        <v>33354.1</v>
      </c>
      <c r="Q14">
        <f>FlipkartSales[[#This Row],[Total Sales (INR)]]-FlipkartSales[[#This Row],[Calculated Sales]]</f>
        <v>0</v>
      </c>
      <c r="R14" s="9">
        <f t="shared" si="0"/>
        <v>0.2</v>
      </c>
      <c r="S14">
        <f t="shared" si="1"/>
        <v>6670.82</v>
      </c>
      <c r="T14">
        <f t="shared" si="2"/>
        <v>1334.164</v>
      </c>
      <c r="U14">
        <f t="shared" si="3"/>
        <v>2</v>
      </c>
      <c r="V14" t="str">
        <f t="shared" si="4"/>
        <v>Q1</v>
      </c>
      <c r="W14" t="str">
        <f t="shared" si="5"/>
        <v>Feb-2024</v>
      </c>
      <c r="X14">
        <f t="shared" si="6"/>
        <v>9339.1479999999992</v>
      </c>
      <c r="Y14" s="5">
        <f t="shared" si="7"/>
        <v>24014.951999999997</v>
      </c>
      <c r="Z14" s="21">
        <f>DATE(K14,MATCH(J14,{"January","February","March","April","May","June","July","August","September","October","November","December"},0),1)</f>
        <v>45323</v>
      </c>
    </row>
    <row r="15" spans="1:26" x14ac:dyDescent="0.3">
      <c r="A15" s="4" t="s">
        <v>65</v>
      </c>
      <c r="B15" s="4" t="s">
        <v>66</v>
      </c>
      <c r="C15" s="4" t="s">
        <v>36</v>
      </c>
      <c r="D15" s="5">
        <v>10826.05</v>
      </c>
      <c r="E15" s="6">
        <v>1</v>
      </c>
      <c r="F15" s="5">
        <v>10826.05</v>
      </c>
      <c r="G15" s="1">
        <v>45445</v>
      </c>
      <c r="H15" t="s">
        <v>44</v>
      </c>
      <c r="I15">
        <v>3.7</v>
      </c>
      <c r="J15" t="s">
        <v>67</v>
      </c>
      <c r="K15">
        <v>2024</v>
      </c>
      <c r="L15">
        <v>2165.21</v>
      </c>
      <c r="M15">
        <v>25</v>
      </c>
      <c r="N15" t="s">
        <v>41</v>
      </c>
      <c r="O15" t="s">
        <v>68</v>
      </c>
      <c r="P15">
        <f>FlipkartSales[[#This Row],[Price (INR)]]*FlipkartSales[[#This Row],[Quantity Sold]]</f>
        <v>10826.05</v>
      </c>
      <c r="Q15">
        <f>FlipkartSales[[#This Row],[Total Sales (INR)]]-FlipkartSales[[#This Row],[Calculated Sales]]</f>
        <v>0</v>
      </c>
      <c r="R15" s="9">
        <f t="shared" si="0"/>
        <v>0.2</v>
      </c>
      <c r="S15">
        <f t="shared" si="1"/>
        <v>10826.05</v>
      </c>
      <c r="T15">
        <f t="shared" si="2"/>
        <v>2165.21</v>
      </c>
      <c r="U15">
        <f t="shared" si="3"/>
        <v>6</v>
      </c>
      <c r="V15" t="str">
        <f t="shared" si="4"/>
        <v>Q2</v>
      </c>
      <c r="W15" t="str">
        <f t="shared" si="5"/>
        <v>Jun-2024</v>
      </c>
      <c r="X15">
        <f t="shared" si="6"/>
        <v>2706.5124999999998</v>
      </c>
      <c r="Y15" s="5">
        <f t="shared" si="7"/>
        <v>8119.5374999999995</v>
      </c>
      <c r="Z15" s="21">
        <f>DATE(K15,MATCH(J15,{"January","February","March","April","May","June","July","August","September","October","November","December"},0),1)</f>
        <v>45444</v>
      </c>
    </row>
    <row r="16" spans="1:26" x14ac:dyDescent="0.3">
      <c r="A16" s="4" t="s">
        <v>69</v>
      </c>
      <c r="B16" s="4" t="s">
        <v>70</v>
      </c>
      <c r="C16" s="4" t="s">
        <v>17</v>
      </c>
      <c r="D16" s="5">
        <v>6839.1</v>
      </c>
      <c r="E16" s="6">
        <v>1</v>
      </c>
      <c r="F16" s="5">
        <v>6839.1</v>
      </c>
      <c r="G16" s="1">
        <v>45547</v>
      </c>
      <c r="H16" t="s">
        <v>71</v>
      </c>
      <c r="I16">
        <v>1.6</v>
      </c>
      <c r="J16" t="s">
        <v>19</v>
      </c>
      <c r="K16">
        <v>2024</v>
      </c>
      <c r="L16">
        <v>1367.8200000000002</v>
      </c>
      <c r="M16">
        <v>8</v>
      </c>
      <c r="N16" t="s">
        <v>27</v>
      </c>
      <c r="O16" t="s">
        <v>33</v>
      </c>
      <c r="P16">
        <f>FlipkartSales[[#This Row],[Price (INR)]]*FlipkartSales[[#This Row],[Quantity Sold]]</f>
        <v>6839.1</v>
      </c>
      <c r="Q16">
        <f>FlipkartSales[[#This Row],[Total Sales (INR)]]-FlipkartSales[[#This Row],[Calculated Sales]]</f>
        <v>0</v>
      </c>
      <c r="R16" s="9">
        <f t="shared" si="0"/>
        <v>0.2</v>
      </c>
      <c r="S16">
        <f t="shared" si="1"/>
        <v>6839.1</v>
      </c>
      <c r="T16">
        <f t="shared" si="2"/>
        <v>1367.8200000000002</v>
      </c>
      <c r="U16">
        <f t="shared" si="3"/>
        <v>9</v>
      </c>
      <c r="V16" t="str">
        <f t="shared" si="4"/>
        <v>Q3</v>
      </c>
      <c r="W16" t="str">
        <f t="shared" si="5"/>
        <v>Sep-2024</v>
      </c>
      <c r="X16">
        <f t="shared" si="6"/>
        <v>547.12800000000004</v>
      </c>
      <c r="Y16" s="5">
        <f t="shared" si="7"/>
        <v>6291.9720000000007</v>
      </c>
      <c r="Z16" s="21">
        <f>DATE(K16,MATCH(J16,{"January","February","March","April","May","June","July","August","September","October","November","December"},0),1)</f>
        <v>45536</v>
      </c>
    </row>
    <row r="17" spans="1:26" x14ac:dyDescent="0.3">
      <c r="A17" s="4" t="s">
        <v>72</v>
      </c>
      <c r="B17" s="4" t="s">
        <v>43</v>
      </c>
      <c r="C17" s="4" t="s">
        <v>40</v>
      </c>
      <c r="D17" s="5">
        <v>18197.89</v>
      </c>
      <c r="E17" s="6">
        <v>5</v>
      </c>
      <c r="F17" s="5">
        <v>90989.45</v>
      </c>
      <c r="G17" s="1">
        <v>45381</v>
      </c>
      <c r="H17" t="s">
        <v>18</v>
      </c>
      <c r="I17">
        <v>1.6</v>
      </c>
      <c r="J17" t="s">
        <v>56</v>
      </c>
      <c r="K17">
        <v>2024</v>
      </c>
      <c r="L17">
        <v>18197.89</v>
      </c>
      <c r="M17">
        <v>12</v>
      </c>
      <c r="N17" t="s">
        <v>20</v>
      </c>
      <c r="O17" t="s">
        <v>33</v>
      </c>
      <c r="P17">
        <f>FlipkartSales[[#This Row],[Price (INR)]]*FlipkartSales[[#This Row],[Quantity Sold]]</f>
        <v>90989.45</v>
      </c>
      <c r="Q17">
        <f>FlipkartSales[[#This Row],[Total Sales (INR)]]-FlipkartSales[[#This Row],[Calculated Sales]]</f>
        <v>0</v>
      </c>
      <c r="R17" s="9">
        <f t="shared" si="0"/>
        <v>0.2</v>
      </c>
      <c r="S17">
        <f t="shared" si="1"/>
        <v>18197.89</v>
      </c>
      <c r="T17">
        <f t="shared" si="2"/>
        <v>3639.578</v>
      </c>
      <c r="U17">
        <f t="shared" si="3"/>
        <v>3</v>
      </c>
      <c r="V17" t="str">
        <f t="shared" si="4"/>
        <v>Q1</v>
      </c>
      <c r="W17" t="str">
        <f t="shared" si="5"/>
        <v>Mar-2024</v>
      </c>
      <c r="X17">
        <f t="shared" si="6"/>
        <v>10918.733999999999</v>
      </c>
      <c r="Y17" s="5">
        <f t="shared" si="7"/>
        <v>80070.716</v>
      </c>
      <c r="Z17" s="21">
        <f>DATE(K17,MATCH(J17,{"January","February","March","April","May","June","July","August","September","October","November","December"},0),1)</f>
        <v>45352</v>
      </c>
    </row>
    <row r="18" spans="1:26" x14ac:dyDescent="0.3">
      <c r="A18" s="4" t="s">
        <v>73</v>
      </c>
      <c r="B18" s="4" t="s">
        <v>74</v>
      </c>
      <c r="C18" s="4" t="s">
        <v>17</v>
      </c>
      <c r="D18" s="5">
        <v>20817.46</v>
      </c>
      <c r="E18" s="6">
        <v>2</v>
      </c>
      <c r="F18" s="5">
        <v>41634.92</v>
      </c>
      <c r="G18" s="1">
        <v>45381</v>
      </c>
      <c r="H18" t="s">
        <v>18</v>
      </c>
      <c r="I18">
        <v>2.2999999999999998</v>
      </c>
      <c r="J18" t="s">
        <v>56</v>
      </c>
      <c r="K18">
        <v>2024</v>
      </c>
      <c r="L18">
        <v>8326.9840000000004</v>
      </c>
      <c r="M18">
        <v>28</v>
      </c>
      <c r="N18" t="s">
        <v>41</v>
      </c>
      <c r="O18" t="s">
        <v>68</v>
      </c>
      <c r="P18">
        <f>FlipkartSales[[#This Row],[Price (INR)]]*FlipkartSales[[#This Row],[Quantity Sold]]</f>
        <v>41634.92</v>
      </c>
      <c r="Q18">
        <f>FlipkartSales[[#This Row],[Total Sales (INR)]]-FlipkartSales[[#This Row],[Calculated Sales]]</f>
        <v>0</v>
      </c>
      <c r="R18" s="9">
        <f t="shared" si="0"/>
        <v>0.2</v>
      </c>
      <c r="S18">
        <f t="shared" si="1"/>
        <v>20817.46</v>
      </c>
      <c r="T18">
        <f t="shared" si="2"/>
        <v>4163.4920000000002</v>
      </c>
      <c r="U18">
        <f t="shared" si="3"/>
        <v>3</v>
      </c>
      <c r="V18" t="str">
        <f t="shared" si="4"/>
        <v>Q1</v>
      </c>
      <c r="W18" t="str">
        <f t="shared" si="5"/>
        <v>Mar-2024</v>
      </c>
      <c r="X18">
        <f t="shared" si="6"/>
        <v>11657.777599999999</v>
      </c>
      <c r="Y18" s="5">
        <f t="shared" si="7"/>
        <v>29977.142399999997</v>
      </c>
      <c r="Z18" s="21">
        <f>DATE(K18,MATCH(J18,{"January","February","March","April","May","June","July","August","September","October","November","December"},0),1)</f>
        <v>45352</v>
      </c>
    </row>
    <row r="19" spans="1:26" x14ac:dyDescent="0.3">
      <c r="A19" s="4" t="s">
        <v>75</v>
      </c>
      <c r="B19" s="4" t="s">
        <v>58</v>
      </c>
      <c r="C19" s="4" t="s">
        <v>31</v>
      </c>
      <c r="D19" s="5">
        <v>44061.25</v>
      </c>
      <c r="E19" s="6">
        <v>4</v>
      </c>
      <c r="F19" s="5">
        <v>176245</v>
      </c>
      <c r="G19" s="1">
        <v>45404</v>
      </c>
      <c r="H19" t="s">
        <v>64</v>
      </c>
      <c r="I19">
        <v>2.5</v>
      </c>
      <c r="J19" t="s">
        <v>62</v>
      </c>
      <c r="K19">
        <v>2024</v>
      </c>
      <c r="L19">
        <v>35249</v>
      </c>
      <c r="M19">
        <v>7</v>
      </c>
      <c r="N19" t="s">
        <v>41</v>
      </c>
      <c r="O19" t="s">
        <v>33</v>
      </c>
      <c r="P19">
        <f>FlipkartSales[[#This Row],[Price (INR)]]*FlipkartSales[[#This Row],[Quantity Sold]]</f>
        <v>176245</v>
      </c>
      <c r="Q19">
        <f>FlipkartSales[[#This Row],[Total Sales (INR)]]-FlipkartSales[[#This Row],[Calculated Sales]]</f>
        <v>0</v>
      </c>
      <c r="R19" s="9">
        <f t="shared" si="0"/>
        <v>0.2</v>
      </c>
      <c r="S19">
        <f t="shared" si="1"/>
        <v>44061.25</v>
      </c>
      <c r="T19">
        <f t="shared" si="2"/>
        <v>8812.25</v>
      </c>
      <c r="U19">
        <f t="shared" si="3"/>
        <v>4</v>
      </c>
      <c r="V19" t="str">
        <f t="shared" si="4"/>
        <v>Q2</v>
      </c>
      <c r="W19" t="str">
        <f t="shared" si="5"/>
        <v>Apr-2024</v>
      </c>
      <c r="X19">
        <f t="shared" si="6"/>
        <v>12337.15</v>
      </c>
      <c r="Y19" s="5">
        <f t="shared" si="7"/>
        <v>163907.85</v>
      </c>
      <c r="Z19" s="21">
        <f>DATE(K19,MATCH(J19,{"January","February","March","April","May","June","July","August","September","October","November","December"},0),1)</f>
        <v>45383</v>
      </c>
    </row>
    <row r="20" spans="1:26" x14ac:dyDescent="0.3">
      <c r="A20" s="4" t="s">
        <v>76</v>
      </c>
      <c r="B20" s="4" t="s">
        <v>74</v>
      </c>
      <c r="C20" s="4" t="s">
        <v>17</v>
      </c>
      <c r="D20" s="5">
        <v>4398.59</v>
      </c>
      <c r="E20" s="6">
        <v>5</v>
      </c>
      <c r="F20" s="5">
        <v>21992.95</v>
      </c>
      <c r="G20" s="1">
        <v>45373</v>
      </c>
      <c r="H20" t="s">
        <v>44</v>
      </c>
      <c r="I20">
        <v>4</v>
      </c>
      <c r="J20" t="s">
        <v>56</v>
      </c>
      <c r="K20">
        <v>2024</v>
      </c>
      <c r="L20">
        <v>4398.59</v>
      </c>
      <c r="M20">
        <v>26</v>
      </c>
      <c r="N20" t="s">
        <v>20</v>
      </c>
      <c r="O20" t="s">
        <v>33</v>
      </c>
      <c r="P20">
        <f>FlipkartSales[[#This Row],[Price (INR)]]*FlipkartSales[[#This Row],[Quantity Sold]]</f>
        <v>21992.95</v>
      </c>
      <c r="Q20">
        <f>FlipkartSales[[#This Row],[Total Sales (INR)]]-FlipkartSales[[#This Row],[Calculated Sales]]</f>
        <v>0</v>
      </c>
      <c r="R20" s="9">
        <f t="shared" si="0"/>
        <v>0.2</v>
      </c>
      <c r="S20">
        <f t="shared" si="1"/>
        <v>4398.59</v>
      </c>
      <c r="T20">
        <f t="shared" si="2"/>
        <v>879.71800000000007</v>
      </c>
      <c r="U20">
        <f t="shared" si="3"/>
        <v>3</v>
      </c>
      <c r="V20" t="str">
        <f t="shared" si="4"/>
        <v>Q1</v>
      </c>
      <c r="W20" t="str">
        <f t="shared" si="5"/>
        <v>Mar-2024</v>
      </c>
      <c r="X20">
        <f t="shared" si="6"/>
        <v>5718.1670000000004</v>
      </c>
      <c r="Y20" s="5">
        <f t="shared" si="7"/>
        <v>16274.782999999999</v>
      </c>
      <c r="Z20" s="21">
        <f>DATE(K20,MATCH(J20,{"January","February","March","April","May","June","July","August","September","October","November","December"},0),1)</f>
        <v>45352</v>
      </c>
    </row>
    <row r="21" spans="1:26" x14ac:dyDescent="0.3">
      <c r="A21" s="4" t="s">
        <v>77</v>
      </c>
      <c r="B21" s="4" t="s">
        <v>78</v>
      </c>
      <c r="C21" s="4" t="s">
        <v>24</v>
      </c>
      <c r="D21" s="5">
        <v>32565.77</v>
      </c>
      <c r="E21" s="6">
        <v>5</v>
      </c>
      <c r="F21" s="5">
        <v>162828.85</v>
      </c>
      <c r="G21" s="1">
        <v>45663</v>
      </c>
      <c r="H21" t="s">
        <v>64</v>
      </c>
      <c r="I21">
        <v>4.4000000000000004</v>
      </c>
      <c r="J21" t="s">
        <v>53</v>
      </c>
      <c r="K21">
        <v>2025</v>
      </c>
      <c r="L21">
        <v>32565.770000000004</v>
      </c>
      <c r="M21">
        <v>25</v>
      </c>
      <c r="N21" t="s">
        <v>27</v>
      </c>
      <c r="O21" t="s">
        <v>33</v>
      </c>
      <c r="P21">
        <f>FlipkartSales[[#This Row],[Price (INR)]]*FlipkartSales[[#This Row],[Quantity Sold]]</f>
        <v>162828.85</v>
      </c>
      <c r="Q21">
        <f>FlipkartSales[[#This Row],[Total Sales (INR)]]-FlipkartSales[[#This Row],[Calculated Sales]]</f>
        <v>0</v>
      </c>
      <c r="R21" s="9">
        <f t="shared" si="0"/>
        <v>0.2</v>
      </c>
      <c r="S21">
        <f t="shared" si="1"/>
        <v>32565.77</v>
      </c>
      <c r="T21">
        <f t="shared" si="2"/>
        <v>6513.1540000000005</v>
      </c>
      <c r="U21">
        <f t="shared" si="3"/>
        <v>1</v>
      </c>
      <c r="V21" t="str">
        <f t="shared" si="4"/>
        <v>Q1</v>
      </c>
      <c r="W21" t="str">
        <f t="shared" si="5"/>
        <v>Jan-2025</v>
      </c>
      <c r="X21">
        <f t="shared" si="6"/>
        <v>40707.212500000001</v>
      </c>
      <c r="Y21" s="5">
        <f t="shared" si="7"/>
        <v>122121.63750000001</v>
      </c>
      <c r="Z21" s="21">
        <f>DATE(K21,MATCH(J21,{"January","February","March","April","May","June","July","August","September","October","November","December"},0),1)</f>
        <v>45658</v>
      </c>
    </row>
    <row r="22" spans="1:26" x14ac:dyDescent="0.3">
      <c r="A22" s="4" t="s">
        <v>79</v>
      </c>
      <c r="B22" s="4" t="s">
        <v>39</v>
      </c>
      <c r="C22" s="4" t="s">
        <v>40</v>
      </c>
      <c r="D22" s="5">
        <v>47529.36</v>
      </c>
      <c r="E22" s="6">
        <v>1</v>
      </c>
      <c r="F22" s="5">
        <v>47529.36</v>
      </c>
      <c r="G22" s="1">
        <v>45482</v>
      </c>
      <c r="H22" t="s">
        <v>80</v>
      </c>
      <c r="I22">
        <v>4.5</v>
      </c>
      <c r="J22" t="s">
        <v>48</v>
      </c>
      <c r="K22">
        <v>2024</v>
      </c>
      <c r="L22">
        <v>9505.8720000000012</v>
      </c>
      <c r="M22">
        <v>6</v>
      </c>
      <c r="N22" t="s">
        <v>27</v>
      </c>
      <c r="O22" t="s">
        <v>33</v>
      </c>
      <c r="P22">
        <f>FlipkartSales[[#This Row],[Price (INR)]]*FlipkartSales[[#This Row],[Quantity Sold]]</f>
        <v>47529.36</v>
      </c>
      <c r="Q22">
        <f>FlipkartSales[[#This Row],[Total Sales (INR)]]-FlipkartSales[[#This Row],[Calculated Sales]]</f>
        <v>0</v>
      </c>
      <c r="R22" s="9">
        <f t="shared" si="0"/>
        <v>0.2</v>
      </c>
      <c r="S22">
        <f t="shared" si="1"/>
        <v>47529.36</v>
      </c>
      <c r="T22">
        <f t="shared" si="2"/>
        <v>9505.8720000000012</v>
      </c>
      <c r="U22">
        <f t="shared" si="3"/>
        <v>7</v>
      </c>
      <c r="V22" t="str">
        <f t="shared" si="4"/>
        <v>Q3</v>
      </c>
      <c r="W22" t="str">
        <f t="shared" si="5"/>
        <v>Jul-2024</v>
      </c>
      <c r="X22">
        <f t="shared" si="6"/>
        <v>2851.7616000000003</v>
      </c>
      <c r="Y22" s="5">
        <f t="shared" si="7"/>
        <v>44677.598400000003</v>
      </c>
      <c r="Z22" s="21">
        <f>DATE(K22,MATCH(J22,{"January","February","March","April","May","June","July","August","September","October","November","December"},0),1)</f>
        <v>45474</v>
      </c>
    </row>
    <row r="23" spans="1:26" x14ac:dyDescent="0.3">
      <c r="A23" s="4" t="s">
        <v>81</v>
      </c>
      <c r="B23" s="4" t="s">
        <v>23</v>
      </c>
      <c r="C23" s="4" t="s">
        <v>24</v>
      </c>
      <c r="D23" s="5">
        <v>37129.730000000003</v>
      </c>
      <c r="E23" s="6">
        <v>3</v>
      </c>
      <c r="F23" s="5">
        <v>111389.19</v>
      </c>
      <c r="G23" s="1">
        <v>45679</v>
      </c>
      <c r="H23" t="s">
        <v>44</v>
      </c>
      <c r="I23">
        <v>4.3</v>
      </c>
      <c r="J23" t="s">
        <v>53</v>
      </c>
      <c r="K23">
        <v>2025</v>
      </c>
      <c r="L23">
        <v>22277.838000000003</v>
      </c>
      <c r="M23">
        <v>28</v>
      </c>
      <c r="N23" t="s">
        <v>27</v>
      </c>
      <c r="O23" t="s">
        <v>68</v>
      </c>
      <c r="P23">
        <f>FlipkartSales[[#This Row],[Price (INR)]]*FlipkartSales[[#This Row],[Quantity Sold]]</f>
        <v>111389.19</v>
      </c>
      <c r="Q23">
        <f>FlipkartSales[[#This Row],[Total Sales (INR)]]-FlipkartSales[[#This Row],[Calculated Sales]]</f>
        <v>0</v>
      </c>
      <c r="R23" s="9">
        <f t="shared" si="0"/>
        <v>0.20000000000000004</v>
      </c>
      <c r="S23">
        <f t="shared" si="1"/>
        <v>37129.730000000003</v>
      </c>
      <c r="T23">
        <f t="shared" si="2"/>
        <v>7425.9460000000008</v>
      </c>
      <c r="U23">
        <f t="shared" si="3"/>
        <v>1</v>
      </c>
      <c r="V23" t="str">
        <f t="shared" si="4"/>
        <v>Q1</v>
      </c>
      <c r="W23" t="str">
        <f t="shared" si="5"/>
        <v>Jan-2025</v>
      </c>
      <c r="X23">
        <f t="shared" si="6"/>
        <v>31188.973200000004</v>
      </c>
      <c r="Y23" s="5">
        <f t="shared" si="7"/>
        <v>80200.216799999995</v>
      </c>
      <c r="Z23" s="21">
        <f>DATE(K23,MATCH(J23,{"January","February","March","April","May","June","July","August","September","October","November","December"},0),1)</f>
        <v>45658</v>
      </c>
    </row>
    <row r="24" spans="1:26" x14ac:dyDescent="0.3">
      <c r="A24" s="4" t="s">
        <v>82</v>
      </c>
      <c r="B24" s="4" t="s">
        <v>16</v>
      </c>
      <c r="C24" s="4" t="s">
        <v>17</v>
      </c>
      <c r="D24" s="5">
        <v>48258.19</v>
      </c>
      <c r="E24" s="6">
        <v>4</v>
      </c>
      <c r="F24" s="5">
        <v>193032.76</v>
      </c>
      <c r="G24" s="1">
        <v>45466</v>
      </c>
      <c r="H24" t="s">
        <v>25</v>
      </c>
      <c r="I24">
        <v>1.6</v>
      </c>
      <c r="J24" t="s">
        <v>67</v>
      </c>
      <c r="K24">
        <v>2024</v>
      </c>
      <c r="L24">
        <v>38606.552000000003</v>
      </c>
      <c r="M24">
        <v>16</v>
      </c>
      <c r="N24" t="s">
        <v>41</v>
      </c>
      <c r="O24" t="s">
        <v>33</v>
      </c>
      <c r="P24">
        <f>FlipkartSales[[#This Row],[Price (INR)]]*FlipkartSales[[#This Row],[Quantity Sold]]</f>
        <v>193032.76</v>
      </c>
      <c r="Q24">
        <f>FlipkartSales[[#This Row],[Total Sales (INR)]]-FlipkartSales[[#This Row],[Calculated Sales]]</f>
        <v>0</v>
      </c>
      <c r="R24" s="9">
        <f t="shared" si="0"/>
        <v>0.2</v>
      </c>
      <c r="S24">
        <f t="shared" si="1"/>
        <v>48258.19</v>
      </c>
      <c r="T24">
        <f t="shared" si="2"/>
        <v>9651.6380000000008</v>
      </c>
      <c r="U24">
        <f t="shared" si="3"/>
        <v>6</v>
      </c>
      <c r="V24" t="str">
        <f t="shared" si="4"/>
        <v>Q2</v>
      </c>
      <c r="W24" t="str">
        <f t="shared" si="5"/>
        <v>Jun-2024</v>
      </c>
      <c r="X24">
        <f t="shared" si="6"/>
        <v>30885.241600000001</v>
      </c>
      <c r="Y24" s="5">
        <f t="shared" si="7"/>
        <v>162147.5184</v>
      </c>
      <c r="Z24" s="21">
        <f>DATE(K24,MATCH(J24,{"January","February","March","April","May","June","July","August","September","October","November","December"},0),1)</f>
        <v>45444</v>
      </c>
    </row>
    <row r="25" spans="1:26" x14ac:dyDescent="0.3">
      <c r="A25" s="4" t="s">
        <v>83</v>
      </c>
      <c r="B25" s="4" t="s">
        <v>84</v>
      </c>
      <c r="C25" s="4" t="s">
        <v>40</v>
      </c>
      <c r="D25" s="5">
        <v>32505.96</v>
      </c>
      <c r="E25" s="6">
        <v>1</v>
      </c>
      <c r="F25" s="5">
        <v>32505.96</v>
      </c>
      <c r="G25" s="1">
        <v>45370</v>
      </c>
      <c r="H25" t="s">
        <v>44</v>
      </c>
      <c r="I25">
        <v>2.8</v>
      </c>
      <c r="J25" t="s">
        <v>56</v>
      </c>
      <c r="K25">
        <v>2024</v>
      </c>
      <c r="L25">
        <v>6501.192</v>
      </c>
      <c r="M25">
        <v>10</v>
      </c>
      <c r="N25" t="s">
        <v>41</v>
      </c>
      <c r="O25" t="s">
        <v>33</v>
      </c>
      <c r="P25">
        <f>FlipkartSales[[#This Row],[Price (INR)]]*FlipkartSales[[#This Row],[Quantity Sold]]</f>
        <v>32505.96</v>
      </c>
      <c r="Q25">
        <f>FlipkartSales[[#This Row],[Total Sales (INR)]]-FlipkartSales[[#This Row],[Calculated Sales]]</f>
        <v>0</v>
      </c>
      <c r="R25" s="9">
        <f t="shared" si="0"/>
        <v>0.2</v>
      </c>
      <c r="S25">
        <f t="shared" si="1"/>
        <v>32505.96</v>
      </c>
      <c r="T25">
        <f t="shared" si="2"/>
        <v>6501.192</v>
      </c>
      <c r="U25">
        <f t="shared" si="3"/>
        <v>3</v>
      </c>
      <c r="V25" t="str">
        <f t="shared" si="4"/>
        <v>Q1</v>
      </c>
      <c r="W25" t="str">
        <f t="shared" si="5"/>
        <v>Mar-2024</v>
      </c>
      <c r="X25">
        <f t="shared" si="6"/>
        <v>3250.5959999999995</v>
      </c>
      <c r="Y25" s="5">
        <f t="shared" si="7"/>
        <v>29255.364000000001</v>
      </c>
      <c r="Z25" s="21">
        <f>DATE(K25,MATCH(J25,{"January","February","March","April","May","June","July","August","September","October","November","December"},0),1)</f>
        <v>45352</v>
      </c>
    </row>
    <row r="26" spans="1:26" x14ac:dyDescent="0.3">
      <c r="A26" s="4" t="s">
        <v>85</v>
      </c>
      <c r="B26" s="4" t="s">
        <v>39</v>
      </c>
      <c r="C26" s="4" t="s">
        <v>40</v>
      </c>
      <c r="D26" s="5">
        <v>4165.6400000000003</v>
      </c>
      <c r="E26" s="6">
        <v>2</v>
      </c>
      <c r="F26" s="5">
        <v>8331.2800000000007</v>
      </c>
      <c r="G26" s="1">
        <v>45620</v>
      </c>
      <c r="H26" t="s">
        <v>64</v>
      </c>
      <c r="I26">
        <v>1.1000000000000001</v>
      </c>
      <c r="J26" t="s">
        <v>37</v>
      </c>
      <c r="K26">
        <v>2024</v>
      </c>
      <c r="L26">
        <v>1666.2560000000003</v>
      </c>
      <c r="M26">
        <v>6</v>
      </c>
      <c r="N26" t="s">
        <v>41</v>
      </c>
      <c r="O26" t="s">
        <v>68</v>
      </c>
      <c r="P26">
        <f>FlipkartSales[[#This Row],[Price (INR)]]*FlipkartSales[[#This Row],[Quantity Sold]]</f>
        <v>8331.2800000000007</v>
      </c>
      <c r="Q26">
        <f>FlipkartSales[[#This Row],[Total Sales (INR)]]-FlipkartSales[[#This Row],[Calculated Sales]]</f>
        <v>0</v>
      </c>
      <c r="R26" s="9">
        <f t="shared" si="0"/>
        <v>0.2</v>
      </c>
      <c r="S26">
        <f t="shared" si="1"/>
        <v>4165.6400000000003</v>
      </c>
      <c r="T26">
        <f t="shared" si="2"/>
        <v>833.12800000000016</v>
      </c>
      <c r="U26">
        <f t="shared" si="3"/>
        <v>11</v>
      </c>
      <c r="V26" t="str">
        <f t="shared" si="4"/>
        <v>Q4</v>
      </c>
      <c r="W26" t="str">
        <f t="shared" si="5"/>
        <v>Nov-2024</v>
      </c>
      <c r="X26">
        <f t="shared" si="6"/>
        <v>499.87680000000006</v>
      </c>
      <c r="Y26" s="5">
        <f t="shared" si="7"/>
        <v>7831.4032000000007</v>
      </c>
      <c r="Z26" s="21">
        <f>DATE(K26,MATCH(J26,{"January","February","March","April","May","June","July","August","September","October","November","December"},0),1)</f>
        <v>45597</v>
      </c>
    </row>
    <row r="27" spans="1:26" x14ac:dyDescent="0.3">
      <c r="A27" s="4" t="s">
        <v>86</v>
      </c>
      <c r="B27" s="4" t="s">
        <v>78</v>
      </c>
      <c r="C27" s="4" t="s">
        <v>24</v>
      </c>
      <c r="D27" s="5">
        <v>2053.11</v>
      </c>
      <c r="E27" s="6">
        <v>4</v>
      </c>
      <c r="F27" s="5">
        <v>8212.44</v>
      </c>
      <c r="G27" s="1">
        <v>45496</v>
      </c>
      <c r="H27" t="s">
        <v>64</v>
      </c>
      <c r="I27">
        <v>3.4</v>
      </c>
      <c r="J27" t="s">
        <v>48</v>
      </c>
      <c r="K27">
        <v>2024</v>
      </c>
      <c r="L27">
        <v>1642.4880000000003</v>
      </c>
      <c r="M27">
        <v>25</v>
      </c>
      <c r="N27" t="s">
        <v>41</v>
      </c>
      <c r="O27" t="s">
        <v>21</v>
      </c>
      <c r="P27">
        <f>FlipkartSales[[#This Row],[Price (INR)]]*FlipkartSales[[#This Row],[Quantity Sold]]</f>
        <v>8212.44</v>
      </c>
      <c r="Q27">
        <f>FlipkartSales[[#This Row],[Total Sales (INR)]]-FlipkartSales[[#This Row],[Calculated Sales]]</f>
        <v>0</v>
      </c>
      <c r="R27" s="9">
        <f t="shared" si="0"/>
        <v>0.2</v>
      </c>
      <c r="S27">
        <f t="shared" si="1"/>
        <v>2053.11</v>
      </c>
      <c r="T27">
        <f t="shared" si="2"/>
        <v>410.62200000000007</v>
      </c>
      <c r="U27">
        <f t="shared" si="3"/>
        <v>7</v>
      </c>
      <c r="V27" t="str">
        <f t="shared" si="4"/>
        <v>Q3</v>
      </c>
      <c r="W27" t="str">
        <f t="shared" si="5"/>
        <v>Jul-2024</v>
      </c>
      <c r="X27">
        <f t="shared" si="6"/>
        <v>2053.11</v>
      </c>
      <c r="Y27" s="5">
        <f t="shared" si="7"/>
        <v>6159.33</v>
      </c>
      <c r="Z27" s="21">
        <f>DATE(K27,MATCH(J27,{"January","February","March","April","May","June","July","August","September","October","November","December"},0),1)</f>
        <v>45474</v>
      </c>
    </row>
    <row r="28" spans="1:26" x14ac:dyDescent="0.3">
      <c r="A28" s="4" t="s">
        <v>87</v>
      </c>
      <c r="B28" s="4" t="s">
        <v>23</v>
      </c>
      <c r="C28" s="4" t="s">
        <v>24</v>
      </c>
      <c r="D28" s="5">
        <v>38927.620000000003</v>
      </c>
      <c r="E28" s="6">
        <v>4</v>
      </c>
      <c r="F28" s="5">
        <v>155710.48000000001</v>
      </c>
      <c r="G28" s="1">
        <v>45528</v>
      </c>
      <c r="H28" t="s">
        <v>44</v>
      </c>
      <c r="I28">
        <v>2.5</v>
      </c>
      <c r="J28" t="s">
        <v>88</v>
      </c>
      <c r="K28">
        <v>2024</v>
      </c>
      <c r="L28">
        <v>31142.096000000005</v>
      </c>
      <c r="M28">
        <v>5</v>
      </c>
      <c r="N28" t="s">
        <v>27</v>
      </c>
      <c r="O28" t="s">
        <v>28</v>
      </c>
      <c r="P28">
        <f>FlipkartSales[[#This Row],[Price (INR)]]*FlipkartSales[[#This Row],[Quantity Sold]]</f>
        <v>155710.48000000001</v>
      </c>
      <c r="Q28">
        <f>FlipkartSales[[#This Row],[Total Sales (INR)]]-FlipkartSales[[#This Row],[Calculated Sales]]</f>
        <v>0</v>
      </c>
      <c r="R28" s="9">
        <f t="shared" si="0"/>
        <v>0.2</v>
      </c>
      <c r="S28">
        <f t="shared" si="1"/>
        <v>38927.620000000003</v>
      </c>
      <c r="T28">
        <f t="shared" si="2"/>
        <v>7785.5240000000013</v>
      </c>
      <c r="U28">
        <f t="shared" si="3"/>
        <v>8</v>
      </c>
      <c r="V28" t="str">
        <f t="shared" si="4"/>
        <v>Q3</v>
      </c>
      <c r="W28" t="str">
        <f t="shared" si="5"/>
        <v>Aug-2024</v>
      </c>
      <c r="X28">
        <f t="shared" si="6"/>
        <v>7785.5240000000003</v>
      </c>
      <c r="Y28" s="5">
        <f t="shared" si="7"/>
        <v>147924.95600000001</v>
      </c>
      <c r="Z28" s="21">
        <f>DATE(K28,MATCH(J28,{"January","February","March","April","May","June","July","August","September","October","November","December"},0),1)</f>
        <v>45505</v>
      </c>
    </row>
    <row r="29" spans="1:26" x14ac:dyDescent="0.3">
      <c r="A29" s="4" t="s">
        <v>89</v>
      </c>
      <c r="B29" s="4" t="s">
        <v>43</v>
      </c>
      <c r="C29" s="4" t="s">
        <v>40</v>
      </c>
      <c r="D29" s="5">
        <v>28978.47</v>
      </c>
      <c r="E29" s="6">
        <v>4</v>
      </c>
      <c r="F29" s="5">
        <v>115913.88</v>
      </c>
      <c r="G29" s="1">
        <v>45494</v>
      </c>
      <c r="H29" t="s">
        <v>25</v>
      </c>
      <c r="I29">
        <v>2.2999999999999998</v>
      </c>
      <c r="J29" t="s">
        <v>48</v>
      </c>
      <c r="K29">
        <v>2024</v>
      </c>
      <c r="L29">
        <v>23182.776000000002</v>
      </c>
      <c r="M29">
        <v>16</v>
      </c>
      <c r="N29" t="s">
        <v>20</v>
      </c>
      <c r="O29" t="s">
        <v>21</v>
      </c>
      <c r="P29">
        <f>FlipkartSales[[#This Row],[Price (INR)]]*FlipkartSales[[#This Row],[Quantity Sold]]</f>
        <v>115913.88</v>
      </c>
      <c r="Q29">
        <f>FlipkartSales[[#This Row],[Total Sales (INR)]]-FlipkartSales[[#This Row],[Calculated Sales]]</f>
        <v>0</v>
      </c>
      <c r="R29" s="9">
        <f t="shared" si="0"/>
        <v>0.2</v>
      </c>
      <c r="S29">
        <f t="shared" si="1"/>
        <v>28978.47</v>
      </c>
      <c r="T29">
        <f t="shared" si="2"/>
        <v>5795.6940000000004</v>
      </c>
      <c r="U29">
        <f t="shared" si="3"/>
        <v>7</v>
      </c>
      <c r="V29" t="str">
        <f t="shared" si="4"/>
        <v>Q3</v>
      </c>
      <c r="W29" t="str">
        <f t="shared" si="5"/>
        <v>Jul-2024</v>
      </c>
      <c r="X29">
        <f t="shared" si="6"/>
        <v>18546.220799999999</v>
      </c>
      <c r="Y29" s="5">
        <f t="shared" si="7"/>
        <v>97367.659200000009</v>
      </c>
      <c r="Z29" s="21">
        <f>DATE(K29,MATCH(J29,{"January","February","March","April","May","June","July","August","September","October","November","December"},0),1)</f>
        <v>45474</v>
      </c>
    </row>
    <row r="30" spans="1:26" x14ac:dyDescent="0.3">
      <c r="A30" s="4" t="s">
        <v>90</v>
      </c>
      <c r="B30" s="4" t="s">
        <v>61</v>
      </c>
      <c r="C30" s="4" t="s">
        <v>31</v>
      </c>
      <c r="D30" s="5">
        <v>21293.42</v>
      </c>
      <c r="E30" s="6">
        <v>5</v>
      </c>
      <c r="F30" s="5">
        <v>106467.1</v>
      </c>
      <c r="G30" s="1">
        <v>45398</v>
      </c>
      <c r="H30" t="s">
        <v>44</v>
      </c>
      <c r="I30">
        <v>2.2000000000000002</v>
      </c>
      <c r="J30" t="s">
        <v>62</v>
      </c>
      <c r="K30">
        <v>2024</v>
      </c>
      <c r="L30">
        <v>21293.420000000002</v>
      </c>
      <c r="M30">
        <v>30</v>
      </c>
      <c r="N30" t="s">
        <v>41</v>
      </c>
      <c r="O30" t="s">
        <v>68</v>
      </c>
      <c r="P30">
        <f>FlipkartSales[[#This Row],[Price (INR)]]*FlipkartSales[[#This Row],[Quantity Sold]]</f>
        <v>106467.09999999999</v>
      </c>
      <c r="Q30">
        <f>FlipkartSales[[#This Row],[Total Sales (INR)]]-FlipkartSales[[#This Row],[Calculated Sales]]</f>
        <v>0</v>
      </c>
      <c r="R30" s="9">
        <f t="shared" si="0"/>
        <v>0.2</v>
      </c>
      <c r="S30">
        <f t="shared" si="1"/>
        <v>21293.420000000002</v>
      </c>
      <c r="T30">
        <f t="shared" si="2"/>
        <v>4258.6840000000002</v>
      </c>
      <c r="U30">
        <f t="shared" si="3"/>
        <v>4</v>
      </c>
      <c r="V30" t="str">
        <f t="shared" si="4"/>
        <v>Q2</v>
      </c>
      <c r="W30" t="str">
        <f t="shared" si="5"/>
        <v>Apr-2024</v>
      </c>
      <c r="X30">
        <f t="shared" si="6"/>
        <v>31940.13</v>
      </c>
      <c r="Y30" s="5">
        <f t="shared" si="7"/>
        <v>74526.97</v>
      </c>
      <c r="Z30" s="21">
        <f>DATE(K30,MATCH(J30,{"January","February","March","April","May","June","July","August","September","October","November","December"},0),1)</f>
        <v>45383</v>
      </c>
    </row>
    <row r="31" spans="1:26" x14ac:dyDescent="0.3">
      <c r="A31" s="4" t="s">
        <v>91</v>
      </c>
      <c r="B31" s="4" t="s">
        <v>61</v>
      </c>
      <c r="C31" s="4" t="s">
        <v>31</v>
      </c>
      <c r="D31" s="5">
        <v>49097.01</v>
      </c>
      <c r="E31" s="6">
        <v>4</v>
      </c>
      <c r="F31" s="5">
        <v>196388.04</v>
      </c>
      <c r="G31" s="1">
        <v>45509</v>
      </c>
      <c r="H31" t="s">
        <v>71</v>
      </c>
      <c r="I31">
        <v>3.7</v>
      </c>
      <c r="J31" t="s">
        <v>88</v>
      </c>
      <c r="K31">
        <v>2024</v>
      </c>
      <c r="L31">
        <v>39277.608</v>
      </c>
      <c r="M31">
        <v>26</v>
      </c>
      <c r="N31" t="s">
        <v>41</v>
      </c>
      <c r="O31" t="s">
        <v>28</v>
      </c>
      <c r="P31">
        <f>FlipkartSales[[#This Row],[Price (INR)]]*FlipkartSales[[#This Row],[Quantity Sold]]</f>
        <v>196388.04</v>
      </c>
      <c r="Q31">
        <f>FlipkartSales[[#This Row],[Total Sales (INR)]]-FlipkartSales[[#This Row],[Calculated Sales]]</f>
        <v>0</v>
      </c>
      <c r="R31" s="9">
        <f t="shared" si="0"/>
        <v>0.19999999999999998</v>
      </c>
      <c r="S31">
        <f t="shared" si="1"/>
        <v>49097.01</v>
      </c>
      <c r="T31">
        <f t="shared" si="2"/>
        <v>9819.402</v>
      </c>
      <c r="U31">
        <f t="shared" si="3"/>
        <v>8</v>
      </c>
      <c r="V31" t="str">
        <f t="shared" si="4"/>
        <v>Q3</v>
      </c>
      <c r="W31" t="str">
        <f t="shared" si="5"/>
        <v>Aug-2024</v>
      </c>
      <c r="X31">
        <f t="shared" si="6"/>
        <v>51060.890400000004</v>
      </c>
      <c r="Y31" s="5">
        <f t="shared" si="7"/>
        <v>145327.1496</v>
      </c>
      <c r="Z31" s="21">
        <f>DATE(K31,MATCH(J31,{"January","February","March","April","May","June","July","August","September","October","November","December"},0),1)</f>
        <v>45505</v>
      </c>
    </row>
    <row r="32" spans="1:26" x14ac:dyDescent="0.3">
      <c r="A32" s="4" t="s">
        <v>92</v>
      </c>
      <c r="B32" s="4" t="s">
        <v>58</v>
      </c>
      <c r="C32" s="4" t="s">
        <v>31</v>
      </c>
      <c r="D32" s="5">
        <v>47651.19</v>
      </c>
      <c r="E32" s="6">
        <v>1</v>
      </c>
      <c r="F32" s="5">
        <v>47651.19</v>
      </c>
      <c r="G32" s="1">
        <v>45396</v>
      </c>
      <c r="H32" t="s">
        <v>80</v>
      </c>
      <c r="I32">
        <v>3.6</v>
      </c>
      <c r="J32" t="s">
        <v>62</v>
      </c>
      <c r="K32">
        <v>2024</v>
      </c>
      <c r="L32">
        <v>9530.2380000000012</v>
      </c>
      <c r="M32">
        <v>16</v>
      </c>
      <c r="N32" t="s">
        <v>27</v>
      </c>
      <c r="O32" t="s">
        <v>68</v>
      </c>
      <c r="P32">
        <f>FlipkartSales[[#This Row],[Price (INR)]]*FlipkartSales[[#This Row],[Quantity Sold]]</f>
        <v>47651.19</v>
      </c>
      <c r="Q32">
        <f>FlipkartSales[[#This Row],[Total Sales (INR)]]-FlipkartSales[[#This Row],[Calculated Sales]]</f>
        <v>0</v>
      </c>
      <c r="R32" s="9">
        <f t="shared" si="0"/>
        <v>0.2</v>
      </c>
      <c r="S32">
        <f t="shared" si="1"/>
        <v>47651.19</v>
      </c>
      <c r="T32">
        <f t="shared" si="2"/>
        <v>9530.2380000000012</v>
      </c>
      <c r="U32">
        <f t="shared" si="3"/>
        <v>4</v>
      </c>
      <c r="V32" t="str">
        <f t="shared" si="4"/>
        <v>Q2</v>
      </c>
      <c r="W32" t="str">
        <f t="shared" si="5"/>
        <v>Apr-2024</v>
      </c>
      <c r="X32">
        <f t="shared" si="6"/>
        <v>7624.1904000000004</v>
      </c>
      <c r="Y32" s="5">
        <f t="shared" si="7"/>
        <v>40026.999600000003</v>
      </c>
      <c r="Z32" s="21">
        <f>DATE(K32,MATCH(J32,{"January","February","March","April","May","June","July","August","September","October","November","December"},0),1)</f>
        <v>45383</v>
      </c>
    </row>
    <row r="33" spans="1:26" x14ac:dyDescent="0.3">
      <c r="A33" s="4" t="s">
        <v>93</v>
      </c>
      <c r="B33" s="4" t="s">
        <v>94</v>
      </c>
      <c r="C33" s="4" t="s">
        <v>31</v>
      </c>
      <c r="D33" s="5">
        <v>15046.01</v>
      </c>
      <c r="E33" s="6">
        <v>5</v>
      </c>
      <c r="F33" s="5">
        <v>75230.05</v>
      </c>
      <c r="G33" s="1">
        <v>45582</v>
      </c>
      <c r="H33" t="s">
        <v>64</v>
      </c>
      <c r="I33">
        <v>1.1000000000000001</v>
      </c>
      <c r="J33" t="s">
        <v>45</v>
      </c>
      <c r="K33">
        <v>2024</v>
      </c>
      <c r="L33">
        <v>15046.010000000002</v>
      </c>
      <c r="M33">
        <v>29</v>
      </c>
      <c r="N33" t="s">
        <v>20</v>
      </c>
      <c r="O33" t="s">
        <v>68</v>
      </c>
      <c r="P33">
        <f>FlipkartSales[[#This Row],[Price (INR)]]*FlipkartSales[[#This Row],[Quantity Sold]]</f>
        <v>75230.05</v>
      </c>
      <c r="Q33">
        <f>FlipkartSales[[#This Row],[Total Sales (INR)]]-FlipkartSales[[#This Row],[Calculated Sales]]</f>
        <v>0</v>
      </c>
      <c r="R33" s="9">
        <f t="shared" si="0"/>
        <v>0.2</v>
      </c>
      <c r="S33">
        <f t="shared" si="1"/>
        <v>15046.01</v>
      </c>
      <c r="T33">
        <f t="shared" si="2"/>
        <v>3009.2020000000002</v>
      </c>
      <c r="U33">
        <f t="shared" si="3"/>
        <v>10</v>
      </c>
      <c r="V33" t="str">
        <f t="shared" si="4"/>
        <v>Q4</v>
      </c>
      <c r="W33" t="str">
        <f t="shared" si="5"/>
        <v>Oct-2024</v>
      </c>
      <c r="X33">
        <f t="shared" si="6"/>
        <v>21816.714500000002</v>
      </c>
      <c r="Y33" s="5">
        <f t="shared" si="7"/>
        <v>53413.335500000001</v>
      </c>
      <c r="Z33" s="21">
        <f>DATE(K33,MATCH(J33,{"January","February","March","April","May","June","July","August","September","October","November","December"},0),1)</f>
        <v>45566</v>
      </c>
    </row>
    <row r="34" spans="1:26" x14ac:dyDescent="0.3">
      <c r="A34" s="4" t="s">
        <v>95</v>
      </c>
      <c r="B34" s="4" t="s">
        <v>96</v>
      </c>
      <c r="C34" s="4" t="s">
        <v>36</v>
      </c>
      <c r="D34" s="5">
        <v>36980.1</v>
      </c>
      <c r="E34" s="6">
        <v>3</v>
      </c>
      <c r="F34" s="5">
        <v>110940.3</v>
      </c>
      <c r="G34" s="1">
        <v>45566</v>
      </c>
      <c r="H34" t="s">
        <v>64</v>
      </c>
      <c r="I34">
        <v>3.2</v>
      </c>
      <c r="J34" t="s">
        <v>45</v>
      </c>
      <c r="K34">
        <v>2024</v>
      </c>
      <c r="L34">
        <v>22188.06</v>
      </c>
      <c r="M34">
        <v>21</v>
      </c>
      <c r="N34" t="s">
        <v>20</v>
      </c>
      <c r="O34" t="s">
        <v>33</v>
      </c>
      <c r="P34">
        <f>FlipkartSales[[#This Row],[Price (INR)]]*FlipkartSales[[#This Row],[Quantity Sold]]</f>
        <v>110940.29999999999</v>
      </c>
      <c r="Q34">
        <f>FlipkartSales[[#This Row],[Total Sales (INR)]]-FlipkartSales[[#This Row],[Calculated Sales]]</f>
        <v>0</v>
      </c>
      <c r="R34" s="9">
        <f t="shared" si="0"/>
        <v>0.2</v>
      </c>
      <c r="S34">
        <f t="shared" si="1"/>
        <v>36980.1</v>
      </c>
      <c r="T34">
        <f t="shared" si="2"/>
        <v>7396.02</v>
      </c>
      <c r="U34">
        <f t="shared" si="3"/>
        <v>10</v>
      </c>
      <c r="V34" t="str">
        <f t="shared" si="4"/>
        <v>Q4</v>
      </c>
      <c r="W34" t="str">
        <f t="shared" si="5"/>
        <v>Oct-2024</v>
      </c>
      <c r="X34">
        <f t="shared" si="6"/>
        <v>23297.463000000003</v>
      </c>
      <c r="Y34" s="5">
        <f t="shared" si="7"/>
        <v>87642.837</v>
      </c>
      <c r="Z34" s="21">
        <f>DATE(K34,MATCH(J34,{"January","February","March","April","May","June","July","August","September","October","November","December"},0),1)</f>
        <v>45566</v>
      </c>
    </row>
    <row r="35" spans="1:26" x14ac:dyDescent="0.3">
      <c r="A35" s="4" t="s">
        <v>97</v>
      </c>
      <c r="B35" s="4" t="s">
        <v>50</v>
      </c>
      <c r="C35" s="4" t="s">
        <v>40</v>
      </c>
      <c r="D35" s="5">
        <v>38144.67</v>
      </c>
      <c r="E35" s="6">
        <v>2</v>
      </c>
      <c r="F35" s="5">
        <v>76289.34</v>
      </c>
      <c r="G35" s="1">
        <v>45488</v>
      </c>
      <c r="H35" t="s">
        <v>80</v>
      </c>
      <c r="I35">
        <v>3.1</v>
      </c>
      <c r="J35" t="s">
        <v>48</v>
      </c>
      <c r="K35">
        <v>2024</v>
      </c>
      <c r="L35">
        <v>15257.868</v>
      </c>
      <c r="M35">
        <v>14</v>
      </c>
      <c r="N35" t="s">
        <v>27</v>
      </c>
      <c r="O35" t="s">
        <v>28</v>
      </c>
      <c r="P35">
        <f>FlipkartSales[[#This Row],[Price (INR)]]*FlipkartSales[[#This Row],[Quantity Sold]]</f>
        <v>76289.34</v>
      </c>
      <c r="Q35">
        <f>FlipkartSales[[#This Row],[Total Sales (INR)]]-FlipkartSales[[#This Row],[Calculated Sales]]</f>
        <v>0</v>
      </c>
      <c r="R35" s="9">
        <f t="shared" si="0"/>
        <v>0.2</v>
      </c>
      <c r="S35">
        <f t="shared" si="1"/>
        <v>38144.67</v>
      </c>
      <c r="T35">
        <f t="shared" si="2"/>
        <v>7628.9340000000002</v>
      </c>
      <c r="U35">
        <f t="shared" si="3"/>
        <v>7</v>
      </c>
      <c r="V35" t="str">
        <f t="shared" si="4"/>
        <v>Q3</v>
      </c>
      <c r="W35" t="str">
        <f t="shared" si="5"/>
        <v>Jul-2024</v>
      </c>
      <c r="X35">
        <f t="shared" si="6"/>
        <v>10680.507600000001</v>
      </c>
      <c r="Y35" s="5">
        <f t="shared" si="7"/>
        <v>65608.832399999999</v>
      </c>
      <c r="Z35" s="21">
        <f>DATE(K35,MATCH(J35,{"January","February","March","April","May","June","July","August","September","October","November","December"},0),1)</f>
        <v>45474</v>
      </c>
    </row>
    <row r="36" spans="1:26" x14ac:dyDescent="0.3">
      <c r="A36" s="4" t="s">
        <v>98</v>
      </c>
      <c r="B36" s="4" t="s">
        <v>96</v>
      </c>
      <c r="C36" s="4" t="s">
        <v>36</v>
      </c>
      <c r="D36" s="5">
        <v>49355.45</v>
      </c>
      <c r="E36" s="6">
        <v>2</v>
      </c>
      <c r="F36" s="5">
        <v>98710.9</v>
      </c>
      <c r="G36" s="1">
        <v>45413</v>
      </c>
      <c r="H36" t="s">
        <v>64</v>
      </c>
      <c r="I36">
        <v>3.5</v>
      </c>
      <c r="J36" t="s">
        <v>32</v>
      </c>
      <c r="K36">
        <v>2024</v>
      </c>
      <c r="L36">
        <v>19742.18</v>
      </c>
      <c r="M36">
        <v>20</v>
      </c>
      <c r="N36" t="s">
        <v>27</v>
      </c>
      <c r="O36" t="s">
        <v>33</v>
      </c>
      <c r="P36">
        <f>FlipkartSales[[#This Row],[Price (INR)]]*FlipkartSales[[#This Row],[Quantity Sold]]</f>
        <v>98710.9</v>
      </c>
      <c r="Q36">
        <f>FlipkartSales[[#This Row],[Total Sales (INR)]]-FlipkartSales[[#This Row],[Calculated Sales]]</f>
        <v>0</v>
      </c>
      <c r="R36" s="9">
        <f t="shared" si="0"/>
        <v>0.2</v>
      </c>
      <c r="S36">
        <f t="shared" si="1"/>
        <v>49355.45</v>
      </c>
      <c r="T36">
        <f t="shared" si="2"/>
        <v>9871.09</v>
      </c>
      <c r="U36">
        <f t="shared" si="3"/>
        <v>5</v>
      </c>
      <c r="V36" t="str">
        <f t="shared" si="4"/>
        <v>Q2</v>
      </c>
      <c r="W36" t="str">
        <f t="shared" si="5"/>
        <v>May-2024</v>
      </c>
      <c r="X36">
        <f t="shared" si="6"/>
        <v>19742.18</v>
      </c>
      <c r="Y36" s="5">
        <f t="shared" si="7"/>
        <v>78968.72</v>
      </c>
      <c r="Z36" s="21">
        <f>DATE(K36,MATCH(J36,{"January","February","March","April","May","June","July","August","September","October","November","December"},0),1)</f>
        <v>45413</v>
      </c>
    </row>
    <row r="37" spans="1:26" x14ac:dyDescent="0.3">
      <c r="A37" s="4" t="s">
        <v>99</v>
      </c>
      <c r="B37" s="4" t="s">
        <v>100</v>
      </c>
      <c r="C37" s="4" t="s">
        <v>31</v>
      </c>
      <c r="D37" s="5">
        <v>12945.96</v>
      </c>
      <c r="E37" s="6">
        <v>3</v>
      </c>
      <c r="F37" s="5">
        <v>38837.879999999997</v>
      </c>
      <c r="G37" s="1">
        <v>45453</v>
      </c>
      <c r="H37" t="s">
        <v>44</v>
      </c>
      <c r="I37">
        <v>1.4</v>
      </c>
      <c r="J37" t="s">
        <v>67</v>
      </c>
      <c r="K37">
        <v>2024</v>
      </c>
      <c r="L37">
        <v>7767.576</v>
      </c>
      <c r="M37">
        <v>19</v>
      </c>
      <c r="N37" t="s">
        <v>20</v>
      </c>
      <c r="O37" t="s">
        <v>28</v>
      </c>
      <c r="P37">
        <f>FlipkartSales[[#This Row],[Price (INR)]]*FlipkartSales[[#This Row],[Quantity Sold]]</f>
        <v>38837.879999999997</v>
      </c>
      <c r="Q37">
        <f>FlipkartSales[[#This Row],[Total Sales (INR)]]-FlipkartSales[[#This Row],[Calculated Sales]]</f>
        <v>0</v>
      </c>
      <c r="R37" s="9">
        <f t="shared" si="0"/>
        <v>0.2</v>
      </c>
      <c r="S37">
        <f t="shared" si="1"/>
        <v>12945.96</v>
      </c>
      <c r="T37">
        <f t="shared" si="2"/>
        <v>2589.192</v>
      </c>
      <c r="U37">
        <f t="shared" si="3"/>
        <v>6</v>
      </c>
      <c r="V37" t="str">
        <f t="shared" si="4"/>
        <v>Q2</v>
      </c>
      <c r="W37" t="str">
        <f t="shared" si="5"/>
        <v>Jun-2024</v>
      </c>
      <c r="X37">
        <f t="shared" si="6"/>
        <v>7379.1971999999996</v>
      </c>
      <c r="Y37" s="5">
        <f t="shared" si="7"/>
        <v>31458.682799999999</v>
      </c>
      <c r="Z37" s="21">
        <f>DATE(K37,MATCH(J37,{"January","February","March","April","May","June","July","August","September","October","November","December"},0),1)</f>
        <v>45444</v>
      </c>
    </row>
    <row r="38" spans="1:26" x14ac:dyDescent="0.3">
      <c r="A38" s="4" t="s">
        <v>101</v>
      </c>
      <c r="B38" s="4" t="s">
        <v>58</v>
      </c>
      <c r="C38" s="4" t="s">
        <v>31</v>
      </c>
      <c r="D38" s="5">
        <v>34927.79</v>
      </c>
      <c r="E38" s="6">
        <v>4</v>
      </c>
      <c r="F38" s="5">
        <v>139711.16</v>
      </c>
      <c r="G38" s="1">
        <v>45470</v>
      </c>
      <c r="H38" t="s">
        <v>71</v>
      </c>
      <c r="I38">
        <v>1.1000000000000001</v>
      </c>
      <c r="J38" t="s">
        <v>67</v>
      </c>
      <c r="K38">
        <v>2024</v>
      </c>
      <c r="L38">
        <v>27942.232000000004</v>
      </c>
      <c r="M38">
        <v>19</v>
      </c>
      <c r="N38" t="s">
        <v>41</v>
      </c>
      <c r="O38" t="s">
        <v>68</v>
      </c>
      <c r="P38">
        <f>FlipkartSales[[#This Row],[Price (INR)]]*FlipkartSales[[#This Row],[Quantity Sold]]</f>
        <v>139711.16</v>
      </c>
      <c r="Q38">
        <f>FlipkartSales[[#This Row],[Total Sales (INR)]]-FlipkartSales[[#This Row],[Calculated Sales]]</f>
        <v>0</v>
      </c>
      <c r="R38" s="9">
        <f t="shared" si="0"/>
        <v>0.2</v>
      </c>
      <c r="S38">
        <f t="shared" si="1"/>
        <v>34927.79</v>
      </c>
      <c r="T38">
        <f t="shared" si="2"/>
        <v>6985.5580000000009</v>
      </c>
      <c r="U38">
        <f t="shared" si="3"/>
        <v>6</v>
      </c>
      <c r="V38" t="str">
        <f t="shared" si="4"/>
        <v>Q2</v>
      </c>
      <c r="W38" t="str">
        <f t="shared" si="5"/>
        <v>Jun-2024</v>
      </c>
      <c r="X38">
        <f t="shared" si="6"/>
        <v>26545.1204</v>
      </c>
      <c r="Y38" s="5">
        <f t="shared" si="7"/>
        <v>113166.0396</v>
      </c>
      <c r="Z38" s="21">
        <f>DATE(K38,MATCH(J38,{"January","February","March","April","May","June","July","August","September","October","November","December"},0),1)</f>
        <v>45444</v>
      </c>
    </row>
    <row r="39" spans="1:26" x14ac:dyDescent="0.3">
      <c r="A39" s="4" t="s">
        <v>102</v>
      </c>
      <c r="B39" s="4" t="s">
        <v>50</v>
      </c>
      <c r="C39" s="4" t="s">
        <v>40</v>
      </c>
      <c r="D39" s="5">
        <v>3677.4</v>
      </c>
      <c r="E39" s="6">
        <v>3</v>
      </c>
      <c r="F39" s="5">
        <v>11032.2</v>
      </c>
      <c r="G39" s="1">
        <v>45504</v>
      </c>
      <c r="H39" t="s">
        <v>25</v>
      </c>
      <c r="I39">
        <v>3.7</v>
      </c>
      <c r="J39" t="s">
        <v>48</v>
      </c>
      <c r="K39">
        <v>2024</v>
      </c>
      <c r="L39">
        <v>2206.44</v>
      </c>
      <c r="M39">
        <v>23</v>
      </c>
      <c r="N39" t="s">
        <v>20</v>
      </c>
      <c r="O39" t="s">
        <v>68</v>
      </c>
      <c r="P39">
        <f>FlipkartSales[[#This Row],[Price (INR)]]*FlipkartSales[[#This Row],[Quantity Sold]]</f>
        <v>11032.2</v>
      </c>
      <c r="Q39">
        <f>FlipkartSales[[#This Row],[Total Sales (INR)]]-FlipkartSales[[#This Row],[Calculated Sales]]</f>
        <v>0</v>
      </c>
      <c r="R39" s="9">
        <f t="shared" si="0"/>
        <v>0.19999999999999998</v>
      </c>
      <c r="S39">
        <f t="shared" si="1"/>
        <v>3677.4</v>
      </c>
      <c r="T39">
        <f t="shared" si="2"/>
        <v>735.48</v>
      </c>
      <c r="U39">
        <f t="shared" si="3"/>
        <v>7</v>
      </c>
      <c r="V39" t="str">
        <f t="shared" si="4"/>
        <v>Q3</v>
      </c>
      <c r="W39" t="str">
        <f t="shared" si="5"/>
        <v>Jul-2024</v>
      </c>
      <c r="X39">
        <f t="shared" si="6"/>
        <v>2537.4059999999999</v>
      </c>
      <c r="Y39" s="5">
        <f t="shared" si="7"/>
        <v>8494.7940000000017</v>
      </c>
      <c r="Z39" s="21">
        <f>DATE(K39,MATCH(J39,{"January","February","March","April","May","June","July","August","September","October","November","December"},0),1)</f>
        <v>45474</v>
      </c>
    </row>
    <row r="40" spans="1:26" x14ac:dyDescent="0.3">
      <c r="A40" s="4" t="s">
        <v>103</v>
      </c>
      <c r="B40" s="4" t="s">
        <v>70</v>
      </c>
      <c r="C40" s="4" t="s">
        <v>17</v>
      </c>
      <c r="D40" s="5">
        <v>37004.54</v>
      </c>
      <c r="E40" s="6">
        <v>4</v>
      </c>
      <c r="F40" s="5">
        <v>148018.16</v>
      </c>
      <c r="G40" s="1">
        <v>45591</v>
      </c>
      <c r="H40" t="s">
        <v>18</v>
      </c>
      <c r="I40">
        <v>4</v>
      </c>
      <c r="J40" t="s">
        <v>45</v>
      </c>
      <c r="K40">
        <v>2024</v>
      </c>
      <c r="L40">
        <v>29603.632000000001</v>
      </c>
      <c r="M40">
        <v>16</v>
      </c>
      <c r="N40" t="s">
        <v>27</v>
      </c>
      <c r="O40" t="s">
        <v>21</v>
      </c>
      <c r="P40">
        <f>FlipkartSales[[#This Row],[Price (INR)]]*FlipkartSales[[#This Row],[Quantity Sold]]</f>
        <v>148018.16</v>
      </c>
      <c r="Q40">
        <f>FlipkartSales[[#This Row],[Total Sales (INR)]]-FlipkartSales[[#This Row],[Calculated Sales]]</f>
        <v>0</v>
      </c>
      <c r="R40" s="9">
        <f t="shared" si="0"/>
        <v>0.2</v>
      </c>
      <c r="S40">
        <f t="shared" si="1"/>
        <v>37004.54</v>
      </c>
      <c r="T40">
        <f t="shared" si="2"/>
        <v>7400.9080000000004</v>
      </c>
      <c r="U40">
        <f t="shared" si="3"/>
        <v>10</v>
      </c>
      <c r="V40" t="str">
        <f t="shared" si="4"/>
        <v>Q4</v>
      </c>
      <c r="W40" t="str">
        <f t="shared" si="5"/>
        <v>Oct-2024</v>
      </c>
      <c r="X40">
        <f t="shared" si="6"/>
        <v>23682.905600000002</v>
      </c>
      <c r="Y40" s="5">
        <f t="shared" si="7"/>
        <v>124335.25440000001</v>
      </c>
      <c r="Z40" s="21">
        <f>DATE(K40,MATCH(J40,{"January","February","March","April","May","June","July","August","September","October","November","December"},0),1)</f>
        <v>45566</v>
      </c>
    </row>
    <row r="41" spans="1:26" x14ac:dyDescent="0.3">
      <c r="A41" s="4" t="s">
        <v>104</v>
      </c>
      <c r="B41" s="4" t="s">
        <v>74</v>
      </c>
      <c r="C41" s="4" t="s">
        <v>17</v>
      </c>
      <c r="D41" s="5">
        <v>27961.78</v>
      </c>
      <c r="E41" s="6">
        <v>5</v>
      </c>
      <c r="F41" s="5">
        <v>139808.9</v>
      </c>
      <c r="G41" s="1">
        <v>45345</v>
      </c>
      <c r="H41" t="s">
        <v>80</v>
      </c>
      <c r="I41">
        <v>4</v>
      </c>
      <c r="J41" t="s">
        <v>59</v>
      </c>
      <c r="K41">
        <v>2024</v>
      </c>
      <c r="L41">
        <v>27961.78</v>
      </c>
      <c r="M41">
        <v>27</v>
      </c>
      <c r="N41" t="s">
        <v>41</v>
      </c>
      <c r="O41" t="s">
        <v>28</v>
      </c>
      <c r="P41">
        <f>FlipkartSales[[#This Row],[Price (INR)]]*FlipkartSales[[#This Row],[Quantity Sold]]</f>
        <v>139808.9</v>
      </c>
      <c r="Q41">
        <f>FlipkartSales[[#This Row],[Total Sales (INR)]]-FlipkartSales[[#This Row],[Calculated Sales]]</f>
        <v>0</v>
      </c>
      <c r="R41" s="9">
        <f t="shared" si="0"/>
        <v>0.2</v>
      </c>
      <c r="S41">
        <f t="shared" si="1"/>
        <v>27961.78</v>
      </c>
      <c r="T41">
        <f t="shared" si="2"/>
        <v>5592.3559999999998</v>
      </c>
      <c r="U41">
        <f t="shared" si="3"/>
        <v>2</v>
      </c>
      <c r="V41" t="str">
        <f t="shared" si="4"/>
        <v>Q1</v>
      </c>
      <c r="W41" t="str">
        <f t="shared" si="5"/>
        <v>Feb-2024</v>
      </c>
      <c r="X41">
        <f t="shared" si="6"/>
        <v>37748.402999999998</v>
      </c>
      <c r="Y41" s="5">
        <f t="shared" si="7"/>
        <v>102060.497</v>
      </c>
      <c r="Z41" s="21">
        <f>DATE(K41,MATCH(J41,{"January","February","March","April","May","June","July","August","September","October","November","December"},0),1)</f>
        <v>45323</v>
      </c>
    </row>
    <row r="42" spans="1:26" x14ac:dyDescent="0.3">
      <c r="A42" s="4" t="s">
        <v>105</v>
      </c>
      <c r="B42" s="4" t="s">
        <v>70</v>
      </c>
      <c r="C42" s="4" t="s">
        <v>17</v>
      </c>
      <c r="D42" s="5">
        <v>2655.8</v>
      </c>
      <c r="E42" s="6">
        <v>2</v>
      </c>
      <c r="F42" s="5">
        <v>5311.6</v>
      </c>
      <c r="G42" s="1">
        <v>45334</v>
      </c>
      <c r="H42" t="s">
        <v>80</v>
      </c>
      <c r="I42">
        <v>3.7</v>
      </c>
      <c r="J42" t="s">
        <v>59</v>
      </c>
      <c r="K42">
        <v>2024</v>
      </c>
      <c r="L42">
        <v>1062.3200000000002</v>
      </c>
      <c r="M42">
        <v>24</v>
      </c>
      <c r="N42" t="s">
        <v>41</v>
      </c>
      <c r="O42" t="s">
        <v>33</v>
      </c>
      <c r="P42">
        <f>FlipkartSales[[#This Row],[Price (INR)]]*FlipkartSales[[#This Row],[Quantity Sold]]</f>
        <v>5311.6</v>
      </c>
      <c r="Q42">
        <f>FlipkartSales[[#This Row],[Total Sales (INR)]]-FlipkartSales[[#This Row],[Calculated Sales]]</f>
        <v>0</v>
      </c>
      <c r="R42" s="9">
        <f t="shared" si="0"/>
        <v>0.2</v>
      </c>
      <c r="S42">
        <f t="shared" si="1"/>
        <v>2655.8</v>
      </c>
      <c r="T42">
        <f t="shared" si="2"/>
        <v>531.16000000000008</v>
      </c>
      <c r="U42">
        <f t="shared" si="3"/>
        <v>2</v>
      </c>
      <c r="V42" t="str">
        <f t="shared" si="4"/>
        <v>Q1</v>
      </c>
      <c r="W42" t="str">
        <f t="shared" si="5"/>
        <v>Feb-2024</v>
      </c>
      <c r="X42">
        <f t="shared" si="6"/>
        <v>1274.7840000000001</v>
      </c>
      <c r="Y42" s="5">
        <f t="shared" si="7"/>
        <v>4036.8160000000003</v>
      </c>
      <c r="Z42" s="21">
        <f>DATE(K42,MATCH(J42,{"January","February","March","April","May","June","July","August","September","October","November","December"},0),1)</f>
        <v>45323</v>
      </c>
    </row>
    <row r="43" spans="1:26" x14ac:dyDescent="0.3">
      <c r="A43" s="4" t="s">
        <v>106</v>
      </c>
      <c r="B43" s="4" t="s">
        <v>107</v>
      </c>
      <c r="C43" s="4" t="s">
        <v>36</v>
      </c>
      <c r="D43" s="5">
        <v>965.51</v>
      </c>
      <c r="E43" s="6">
        <v>4</v>
      </c>
      <c r="F43" s="5">
        <v>3862.04</v>
      </c>
      <c r="G43" s="1">
        <v>45449</v>
      </c>
      <c r="H43" t="s">
        <v>64</v>
      </c>
      <c r="I43">
        <v>3.5</v>
      </c>
      <c r="J43" t="s">
        <v>67</v>
      </c>
      <c r="K43">
        <v>2024</v>
      </c>
      <c r="L43">
        <v>772.40800000000002</v>
      </c>
      <c r="M43">
        <v>29</v>
      </c>
      <c r="N43" t="s">
        <v>27</v>
      </c>
      <c r="O43" t="s">
        <v>21</v>
      </c>
      <c r="P43">
        <f>FlipkartSales[[#This Row],[Price (INR)]]*FlipkartSales[[#This Row],[Quantity Sold]]</f>
        <v>3862.04</v>
      </c>
      <c r="Q43">
        <f>FlipkartSales[[#This Row],[Total Sales (INR)]]-FlipkartSales[[#This Row],[Calculated Sales]]</f>
        <v>0</v>
      </c>
      <c r="R43" s="9">
        <f t="shared" si="0"/>
        <v>0.2</v>
      </c>
      <c r="S43">
        <f t="shared" si="1"/>
        <v>965.51</v>
      </c>
      <c r="T43">
        <f t="shared" si="2"/>
        <v>193.102</v>
      </c>
      <c r="U43">
        <f t="shared" si="3"/>
        <v>6</v>
      </c>
      <c r="V43" t="str">
        <f t="shared" si="4"/>
        <v>Q2</v>
      </c>
      <c r="W43" t="str">
        <f t="shared" si="5"/>
        <v>Jun-2024</v>
      </c>
      <c r="X43">
        <f t="shared" si="6"/>
        <v>1119.9916000000001</v>
      </c>
      <c r="Y43" s="5">
        <f t="shared" si="7"/>
        <v>2742.0483999999997</v>
      </c>
      <c r="Z43" s="21">
        <f>DATE(K43,MATCH(J43,{"January","February","March","April","May","June","July","August","September","October","November","December"},0),1)</f>
        <v>45444</v>
      </c>
    </row>
    <row r="44" spans="1:26" x14ac:dyDescent="0.3">
      <c r="A44" s="4" t="s">
        <v>108</v>
      </c>
      <c r="B44" s="4" t="s">
        <v>84</v>
      </c>
      <c r="C44" s="4" t="s">
        <v>40</v>
      </c>
      <c r="D44" s="5">
        <v>2980.08</v>
      </c>
      <c r="E44" s="6">
        <v>3</v>
      </c>
      <c r="F44" s="5">
        <v>8940.24</v>
      </c>
      <c r="G44" s="1">
        <v>45640</v>
      </c>
      <c r="H44" t="s">
        <v>80</v>
      </c>
      <c r="I44">
        <v>4.2</v>
      </c>
      <c r="J44" t="s">
        <v>26</v>
      </c>
      <c r="K44">
        <v>2024</v>
      </c>
      <c r="L44">
        <v>1788.048</v>
      </c>
      <c r="M44">
        <v>7</v>
      </c>
      <c r="N44" t="s">
        <v>27</v>
      </c>
      <c r="O44" t="s">
        <v>21</v>
      </c>
      <c r="P44">
        <f>FlipkartSales[[#This Row],[Price (INR)]]*FlipkartSales[[#This Row],[Quantity Sold]]</f>
        <v>8940.24</v>
      </c>
      <c r="Q44">
        <f>FlipkartSales[[#This Row],[Total Sales (INR)]]-FlipkartSales[[#This Row],[Calculated Sales]]</f>
        <v>0</v>
      </c>
      <c r="R44" s="9">
        <f t="shared" si="0"/>
        <v>0.2</v>
      </c>
      <c r="S44">
        <f t="shared" si="1"/>
        <v>2980.08</v>
      </c>
      <c r="T44">
        <f t="shared" si="2"/>
        <v>596.01599999999996</v>
      </c>
      <c r="U44">
        <f t="shared" si="3"/>
        <v>12</v>
      </c>
      <c r="V44" t="str">
        <f t="shared" si="4"/>
        <v>Q4</v>
      </c>
      <c r="W44" t="str">
        <f t="shared" si="5"/>
        <v>Dec-2024</v>
      </c>
      <c r="X44">
        <f t="shared" si="6"/>
        <v>625.81680000000006</v>
      </c>
      <c r="Y44" s="5">
        <f t="shared" si="7"/>
        <v>8314.4231999999993</v>
      </c>
      <c r="Z44" s="21">
        <f>DATE(K44,MATCH(J44,{"January","February","March","April","May","June","July","August","September","October","November","December"},0),1)</f>
        <v>45627</v>
      </c>
    </row>
    <row r="45" spans="1:26" x14ac:dyDescent="0.3">
      <c r="A45" s="4" t="s">
        <v>109</v>
      </c>
      <c r="B45" s="4" t="s">
        <v>43</v>
      </c>
      <c r="C45" s="4" t="s">
        <v>40</v>
      </c>
      <c r="D45" s="5">
        <v>8598.58</v>
      </c>
      <c r="E45" s="6">
        <v>1</v>
      </c>
      <c r="F45" s="5">
        <v>8598.58</v>
      </c>
      <c r="G45" s="1">
        <v>45574</v>
      </c>
      <c r="H45" t="s">
        <v>18</v>
      </c>
      <c r="I45">
        <v>1.1000000000000001</v>
      </c>
      <c r="J45" t="s">
        <v>45</v>
      </c>
      <c r="K45">
        <v>2024</v>
      </c>
      <c r="L45">
        <v>1719.7160000000001</v>
      </c>
      <c r="M45">
        <v>9</v>
      </c>
      <c r="N45" t="s">
        <v>27</v>
      </c>
      <c r="O45" t="s">
        <v>21</v>
      </c>
      <c r="P45">
        <f>FlipkartSales[[#This Row],[Price (INR)]]*FlipkartSales[[#This Row],[Quantity Sold]]</f>
        <v>8598.58</v>
      </c>
      <c r="Q45">
        <f>FlipkartSales[[#This Row],[Total Sales (INR)]]-FlipkartSales[[#This Row],[Calculated Sales]]</f>
        <v>0</v>
      </c>
      <c r="R45" s="9">
        <f t="shared" si="0"/>
        <v>0.2</v>
      </c>
      <c r="S45">
        <f t="shared" si="1"/>
        <v>8598.58</v>
      </c>
      <c r="T45">
        <f t="shared" si="2"/>
        <v>1719.7160000000001</v>
      </c>
      <c r="U45">
        <f t="shared" si="3"/>
        <v>10</v>
      </c>
      <c r="V45" t="str">
        <f t="shared" si="4"/>
        <v>Q4</v>
      </c>
      <c r="W45" t="str">
        <f t="shared" si="5"/>
        <v>Oct-2024</v>
      </c>
      <c r="X45">
        <f t="shared" si="6"/>
        <v>773.87220000000002</v>
      </c>
      <c r="Y45" s="5">
        <f t="shared" si="7"/>
        <v>7824.7078000000001</v>
      </c>
      <c r="Z45" s="21">
        <f>DATE(K45,MATCH(J45,{"January","February","March","April","May","June","July","August","September","October","November","December"},0),1)</f>
        <v>45566</v>
      </c>
    </row>
    <row r="46" spans="1:26" x14ac:dyDescent="0.3">
      <c r="A46" s="4" t="s">
        <v>110</v>
      </c>
      <c r="B46" s="4" t="s">
        <v>100</v>
      </c>
      <c r="C46" s="4" t="s">
        <v>31</v>
      </c>
      <c r="D46" s="5">
        <v>31850.15</v>
      </c>
      <c r="E46" s="6">
        <v>2</v>
      </c>
      <c r="F46" s="5">
        <v>63700.3</v>
      </c>
      <c r="G46" s="1">
        <v>45396</v>
      </c>
      <c r="H46" t="s">
        <v>80</v>
      </c>
      <c r="I46">
        <v>2.8</v>
      </c>
      <c r="J46" t="s">
        <v>62</v>
      </c>
      <c r="K46">
        <v>2024</v>
      </c>
      <c r="L46">
        <v>12740.060000000001</v>
      </c>
      <c r="M46">
        <v>23</v>
      </c>
      <c r="N46" t="s">
        <v>20</v>
      </c>
      <c r="O46" t="s">
        <v>33</v>
      </c>
      <c r="P46">
        <f>FlipkartSales[[#This Row],[Price (INR)]]*FlipkartSales[[#This Row],[Quantity Sold]]</f>
        <v>63700.3</v>
      </c>
      <c r="Q46">
        <f>FlipkartSales[[#This Row],[Total Sales (INR)]]-FlipkartSales[[#This Row],[Calculated Sales]]</f>
        <v>0</v>
      </c>
      <c r="R46" s="9">
        <f t="shared" si="0"/>
        <v>0.2</v>
      </c>
      <c r="S46">
        <f t="shared" si="1"/>
        <v>31850.15</v>
      </c>
      <c r="T46">
        <f t="shared" si="2"/>
        <v>6370.0300000000007</v>
      </c>
      <c r="U46">
        <f t="shared" si="3"/>
        <v>4</v>
      </c>
      <c r="V46" t="str">
        <f t="shared" si="4"/>
        <v>Q2</v>
      </c>
      <c r="W46" t="str">
        <f t="shared" si="5"/>
        <v>Apr-2024</v>
      </c>
      <c r="X46">
        <f t="shared" si="6"/>
        <v>14651.069000000001</v>
      </c>
      <c r="Y46" s="5">
        <f t="shared" si="7"/>
        <v>49049.231</v>
      </c>
      <c r="Z46" s="21">
        <f>DATE(K46,MATCH(J46,{"January","February","March","April","May","June","July","August","September","October","November","December"},0),1)</f>
        <v>45383</v>
      </c>
    </row>
    <row r="47" spans="1:26" x14ac:dyDescent="0.3">
      <c r="A47" s="4" t="s">
        <v>111</v>
      </c>
      <c r="B47" s="4" t="s">
        <v>35</v>
      </c>
      <c r="C47" s="4" t="s">
        <v>36</v>
      </c>
      <c r="D47" s="5">
        <v>33443.32</v>
      </c>
      <c r="E47" s="6">
        <v>5</v>
      </c>
      <c r="F47" s="5">
        <v>167216.6</v>
      </c>
      <c r="G47" s="1">
        <v>45337</v>
      </c>
      <c r="H47" t="s">
        <v>25</v>
      </c>
      <c r="I47">
        <v>2.4</v>
      </c>
      <c r="J47" t="s">
        <v>59</v>
      </c>
      <c r="K47">
        <v>2024</v>
      </c>
      <c r="L47">
        <v>33443.32</v>
      </c>
      <c r="M47">
        <v>11</v>
      </c>
      <c r="N47" t="s">
        <v>20</v>
      </c>
      <c r="O47" t="s">
        <v>21</v>
      </c>
      <c r="P47">
        <f>FlipkartSales[[#This Row],[Price (INR)]]*FlipkartSales[[#This Row],[Quantity Sold]]</f>
        <v>167216.6</v>
      </c>
      <c r="Q47">
        <f>FlipkartSales[[#This Row],[Total Sales (INR)]]-FlipkartSales[[#This Row],[Calculated Sales]]</f>
        <v>0</v>
      </c>
      <c r="R47" s="9">
        <f t="shared" si="0"/>
        <v>0.19999999999999998</v>
      </c>
      <c r="S47">
        <f t="shared" si="1"/>
        <v>33443.32</v>
      </c>
      <c r="T47">
        <f t="shared" si="2"/>
        <v>6688.6639999999998</v>
      </c>
      <c r="U47">
        <f t="shared" si="3"/>
        <v>2</v>
      </c>
      <c r="V47" t="str">
        <f t="shared" si="4"/>
        <v>Q1</v>
      </c>
      <c r="W47" t="str">
        <f t="shared" si="5"/>
        <v>Feb-2024</v>
      </c>
      <c r="X47">
        <f t="shared" si="6"/>
        <v>18393.826000000001</v>
      </c>
      <c r="Y47" s="5">
        <f t="shared" si="7"/>
        <v>148822.774</v>
      </c>
      <c r="Z47" s="21">
        <f>DATE(K47,MATCH(J47,{"January","February","March","April","May","June","July","August","September","October","November","December"},0),1)</f>
        <v>45323</v>
      </c>
    </row>
    <row r="48" spans="1:26" x14ac:dyDescent="0.3">
      <c r="A48" s="4" t="s">
        <v>112</v>
      </c>
      <c r="B48" s="4" t="s">
        <v>52</v>
      </c>
      <c r="C48" s="4" t="s">
        <v>24</v>
      </c>
      <c r="D48" s="5">
        <v>29592.5</v>
      </c>
      <c r="E48" s="6">
        <v>5</v>
      </c>
      <c r="F48" s="5">
        <v>147962.5</v>
      </c>
      <c r="G48" s="1">
        <v>45498</v>
      </c>
      <c r="H48" t="s">
        <v>80</v>
      </c>
      <c r="I48">
        <v>4.7</v>
      </c>
      <c r="J48" t="s">
        <v>48</v>
      </c>
      <c r="K48">
        <v>2024</v>
      </c>
      <c r="L48">
        <v>29592.5</v>
      </c>
      <c r="M48">
        <v>25</v>
      </c>
      <c r="N48" t="s">
        <v>41</v>
      </c>
      <c r="O48" t="s">
        <v>33</v>
      </c>
      <c r="P48">
        <f>FlipkartSales[[#This Row],[Price (INR)]]*FlipkartSales[[#This Row],[Quantity Sold]]</f>
        <v>147962.5</v>
      </c>
      <c r="Q48">
        <f>FlipkartSales[[#This Row],[Total Sales (INR)]]-FlipkartSales[[#This Row],[Calculated Sales]]</f>
        <v>0</v>
      </c>
      <c r="R48" s="9">
        <f t="shared" si="0"/>
        <v>0.2</v>
      </c>
      <c r="S48">
        <f t="shared" si="1"/>
        <v>29592.5</v>
      </c>
      <c r="T48">
        <f t="shared" si="2"/>
        <v>5918.5</v>
      </c>
      <c r="U48">
        <f t="shared" si="3"/>
        <v>7</v>
      </c>
      <c r="V48" t="str">
        <f t="shared" si="4"/>
        <v>Q3</v>
      </c>
      <c r="W48" t="str">
        <f t="shared" si="5"/>
        <v>Jul-2024</v>
      </c>
      <c r="X48">
        <f t="shared" si="6"/>
        <v>36990.625</v>
      </c>
      <c r="Y48" s="5">
        <f t="shared" si="7"/>
        <v>110971.875</v>
      </c>
      <c r="Z48" s="21">
        <f>DATE(K48,MATCH(J48,{"January","February","March","April","May","June","July","August","September","October","November","December"},0),1)</f>
        <v>45474</v>
      </c>
    </row>
    <row r="49" spans="1:26" x14ac:dyDescent="0.3">
      <c r="A49" s="4" t="s">
        <v>113</v>
      </c>
      <c r="B49" s="4" t="s">
        <v>94</v>
      </c>
      <c r="C49" s="4" t="s">
        <v>31</v>
      </c>
      <c r="D49" s="5">
        <v>11187.38</v>
      </c>
      <c r="E49" s="6">
        <v>4</v>
      </c>
      <c r="F49" s="5">
        <v>44749.52</v>
      </c>
      <c r="G49" s="1">
        <v>45465</v>
      </c>
      <c r="H49" t="s">
        <v>44</v>
      </c>
      <c r="I49">
        <v>2.2999999999999998</v>
      </c>
      <c r="J49" t="s">
        <v>67</v>
      </c>
      <c r="K49">
        <v>2024</v>
      </c>
      <c r="L49">
        <v>8949.9040000000005</v>
      </c>
      <c r="M49">
        <v>13</v>
      </c>
      <c r="N49" t="s">
        <v>27</v>
      </c>
      <c r="O49" t="s">
        <v>21</v>
      </c>
      <c r="P49">
        <f>FlipkartSales[[#This Row],[Price (INR)]]*FlipkartSales[[#This Row],[Quantity Sold]]</f>
        <v>44749.52</v>
      </c>
      <c r="Q49">
        <f>FlipkartSales[[#This Row],[Total Sales (INR)]]-FlipkartSales[[#This Row],[Calculated Sales]]</f>
        <v>0</v>
      </c>
      <c r="R49" s="9">
        <f t="shared" si="0"/>
        <v>0.2</v>
      </c>
      <c r="S49">
        <f t="shared" si="1"/>
        <v>11187.38</v>
      </c>
      <c r="T49">
        <f t="shared" si="2"/>
        <v>2237.4760000000001</v>
      </c>
      <c r="U49">
        <f t="shared" si="3"/>
        <v>6</v>
      </c>
      <c r="V49" t="str">
        <f t="shared" si="4"/>
        <v>Q2</v>
      </c>
      <c r="W49" t="str">
        <f t="shared" si="5"/>
        <v>Jun-2024</v>
      </c>
      <c r="X49">
        <f t="shared" si="6"/>
        <v>5817.4376000000002</v>
      </c>
      <c r="Y49" s="5">
        <f t="shared" si="7"/>
        <v>38932.082399999999</v>
      </c>
      <c r="Z49" s="21">
        <f>DATE(K49,MATCH(J49,{"January","February","March","April","May","June","July","August","September","October","November","December"},0),1)</f>
        <v>45444</v>
      </c>
    </row>
    <row r="50" spans="1:26" x14ac:dyDescent="0.3">
      <c r="A50" s="4" t="s">
        <v>114</v>
      </c>
      <c r="B50" s="4" t="s">
        <v>84</v>
      </c>
      <c r="C50" s="4" t="s">
        <v>40</v>
      </c>
      <c r="D50" s="5">
        <v>23898.58</v>
      </c>
      <c r="E50" s="6">
        <v>5</v>
      </c>
      <c r="F50" s="5">
        <v>119492.9</v>
      </c>
      <c r="G50" s="1">
        <v>45624</v>
      </c>
      <c r="H50" t="s">
        <v>71</v>
      </c>
      <c r="I50">
        <v>3.3</v>
      </c>
      <c r="J50" t="s">
        <v>37</v>
      </c>
      <c r="K50">
        <v>2024</v>
      </c>
      <c r="L50">
        <v>23898.58</v>
      </c>
      <c r="M50">
        <v>11</v>
      </c>
      <c r="N50" t="s">
        <v>41</v>
      </c>
      <c r="O50" t="s">
        <v>33</v>
      </c>
      <c r="P50">
        <f>FlipkartSales[[#This Row],[Price (INR)]]*FlipkartSales[[#This Row],[Quantity Sold]]</f>
        <v>119492.90000000001</v>
      </c>
      <c r="Q50">
        <f>FlipkartSales[[#This Row],[Total Sales (INR)]]-FlipkartSales[[#This Row],[Calculated Sales]]</f>
        <v>0</v>
      </c>
      <c r="R50" s="9">
        <f t="shared" si="0"/>
        <v>0.2</v>
      </c>
      <c r="S50">
        <f t="shared" si="1"/>
        <v>23898.579999999998</v>
      </c>
      <c r="T50">
        <f t="shared" si="2"/>
        <v>4779.7160000000003</v>
      </c>
      <c r="U50">
        <f t="shared" si="3"/>
        <v>11</v>
      </c>
      <c r="V50" t="str">
        <f t="shared" si="4"/>
        <v>Q4</v>
      </c>
      <c r="W50" t="str">
        <f t="shared" si="5"/>
        <v>Nov-2024</v>
      </c>
      <c r="X50">
        <f t="shared" si="6"/>
        <v>13144.218999999999</v>
      </c>
      <c r="Y50" s="5">
        <f t="shared" si="7"/>
        <v>106348.681</v>
      </c>
      <c r="Z50" s="21">
        <f>DATE(K50,MATCH(J50,{"January","February","March","April","May","June","July","August","September","October","November","December"},0),1)</f>
        <v>45597</v>
      </c>
    </row>
    <row r="51" spans="1:26" x14ac:dyDescent="0.3">
      <c r="A51" s="4" t="s">
        <v>115</v>
      </c>
      <c r="B51" s="4" t="s">
        <v>70</v>
      </c>
      <c r="C51" s="4" t="s">
        <v>17</v>
      </c>
      <c r="D51" s="5">
        <v>1391.49</v>
      </c>
      <c r="E51" s="6">
        <v>4</v>
      </c>
      <c r="F51" s="5">
        <v>5565.96</v>
      </c>
      <c r="G51" s="1">
        <v>45515</v>
      </c>
      <c r="H51" t="s">
        <v>71</v>
      </c>
      <c r="I51">
        <v>4.5</v>
      </c>
      <c r="J51" t="s">
        <v>88</v>
      </c>
      <c r="K51">
        <v>2024</v>
      </c>
      <c r="L51">
        <v>1113.192</v>
      </c>
      <c r="M51">
        <v>22</v>
      </c>
      <c r="N51" t="s">
        <v>41</v>
      </c>
      <c r="O51" t="s">
        <v>68</v>
      </c>
      <c r="P51">
        <f>FlipkartSales[[#This Row],[Price (INR)]]*FlipkartSales[[#This Row],[Quantity Sold]]</f>
        <v>5565.96</v>
      </c>
      <c r="Q51">
        <f>FlipkartSales[[#This Row],[Total Sales (INR)]]-FlipkartSales[[#This Row],[Calculated Sales]]</f>
        <v>0</v>
      </c>
      <c r="R51" s="9">
        <f t="shared" si="0"/>
        <v>0.2</v>
      </c>
      <c r="S51">
        <f t="shared" si="1"/>
        <v>1391.49</v>
      </c>
      <c r="T51">
        <f t="shared" si="2"/>
        <v>278.298</v>
      </c>
      <c r="U51">
        <f t="shared" si="3"/>
        <v>8</v>
      </c>
      <c r="V51" t="str">
        <f t="shared" si="4"/>
        <v>Q3</v>
      </c>
      <c r="W51" t="str">
        <f t="shared" si="5"/>
        <v>Aug-2024</v>
      </c>
      <c r="X51">
        <f t="shared" si="6"/>
        <v>1224.5111999999999</v>
      </c>
      <c r="Y51" s="5">
        <f t="shared" si="7"/>
        <v>4341.4488000000001</v>
      </c>
      <c r="Z51" s="21">
        <f>DATE(K51,MATCH(J51,{"January","February","March","April","May","June","July","August","September","October","November","December"},0),1)</f>
        <v>45505</v>
      </c>
    </row>
    <row r="52" spans="1:26" x14ac:dyDescent="0.3">
      <c r="A52" s="4" t="s">
        <v>116</v>
      </c>
      <c r="B52" s="4" t="s">
        <v>23</v>
      </c>
      <c r="C52" s="4" t="s">
        <v>24</v>
      </c>
      <c r="D52" s="5">
        <v>18607.689999999999</v>
      </c>
      <c r="E52" s="6">
        <v>5</v>
      </c>
      <c r="F52" s="5">
        <v>93038.45</v>
      </c>
      <c r="G52" s="1">
        <v>45545</v>
      </c>
      <c r="H52" t="s">
        <v>64</v>
      </c>
      <c r="I52">
        <v>2.4</v>
      </c>
      <c r="J52" t="s">
        <v>19</v>
      </c>
      <c r="K52">
        <v>2024</v>
      </c>
      <c r="L52">
        <v>18607.689999999999</v>
      </c>
      <c r="M52">
        <v>8</v>
      </c>
      <c r="N52" t="s">
        <v>41</v>
      </c>
      <c r="O52" t="s">
        <v>68</v>
      </c>
      <c r="P52">
        <f>FlipkartSales[[#This Row],[Price (INR)]]*FlipkartSales[[#This Row],[Quantity Sold]]</f>
        <v>93038.45</v>
      </c>
      <c r="Q52">
        <f>FlipkartSales[[#This Row],[Total Sales (INR)]]-FlipkartSales[[#This Row],[Calculated Sales]]</f>
        <v>0</v>
      </c>
      <c r="R52" s="9">
        <f t="shared" si="0"/>
        <v>0.19999999999999998</v>
      </c>
      <c r="S52">
        <f t="shared" si="1"/>
        <v>18607.689999999999</v>
      </c>
      <c r="T52">
        <f t="shared" si="2"/>
        <v>3721.5379999999996</v>
      </c>
      <c r="U52">
        <f t="shared" si="3"/>
        <v>9</v>
      </c>
      <c r="V52" t="str">
        <f t="shared" si="4"/>
        <v>Q3</v>
      </c>
      <c r="W52" t="str">
        <f t="shared" si="5"/>
        <v>Sep-2024</v>
      </c>
      <c r="X52">
        <f t="shared" si="6"/>
        <v>7443.076</v>
      </c>
      <c r="Y52" s="5">
        <f t="shared" si="7"/>
        <v>85595.373999999996</v>
      </c>
      <c r="Z52" s="21">
        <f>DATE(K52,MATCH(J52,{"January","February","March","April","May","June","July","August","September","October","November","December"},0),1)</f>
        <v>45536</v>
      </c>
    </row>
    <row r="53" spans="1:26" x14ac:dyDescent="0.3">
      <c r="A53" s="4" t="s">
        <v>117</v>
      </c>
      <c r="B53" s="4" t="s">
        <v>118</v>
      </c>
      <c r="C53" s="4" t="s">
        <v>17</v>
      </c>
      <c r="D53" s="5">
        <v>46224.88</v>
      </c>
      <c r="E53" s="6">
        <v>3</v>
      </c>
      <c r="F53" s="5">
        <v>138674.64000000001</v>
      </c>
      <c r="G53" s="1">
        <v>45595</v>
      </c>
      <c r="H53" t="s">
        <v>71</v>
      </c>
      <c r="I53">
        <v>4.0999999999999996</v>
      </c>
      <c r="J53" t="s">
        <v>45</v>
      </c>
      <c r="K53">
        <v>2024</v>
      </c>
      <c r="L53">
        <v>27734.928000000004</v>
      </c>
      <c r="M53">
        <v>29</v>
      </c>
      <c r="N53" t="s">
        <v>41</v>
      </c>
      <c r="O53" t="s">
        <v>68</v>
      </c>
      <c r="P53">
        <f>FlipkartSales[[#This Row],[Price (INR)]]*FlipkartSales[[#This Row],[Quantity Sold]]</f>
        <v>138674.63999999998</v>
      </c>
      <c r="Q53">
        <f>FlipkartSales[[#This Row],[Total Sales (INR)]]-FlipkartSales[[#This Row],[Calculated Sales]]</f>
        <v>0</v>
      </c>
      <c r="R53" s="9">
        <f t="shared" si="0"/>
        <v>0.2</v>
      </c>
      <c r="S53">
        <f t="shared" si="1"/>
        <v>46224.880000000005</v>
      </c>
      <c r="T53">
        <f t="shared" si="2"/>
        <v>9244.9760000000006</v>
      </c>
      <c r="U53">
        <f t="shared" si="3"/>
        <v>10</v>
      </c>
      <c r="V53" t="str">
        <f t="shared" si="4"/>
        <v>Q4</v>
      </c>
      <c r="W53" t="str">
        <f t="shared" si="5"/>
        <v>Oct-2024</v>
      </c>
      <c r="X53">
        <f t="shared" si="6"/>
        <v>40215.645600000003</v>
      </c>
      <c r="Y53" s="5">
        <f t="shared" si="7"/>
        <v>98458.994400000011</v>
      </c>
      <c r="Z53" s="21">
        <f>DATE(K53,MATCH(J53,{"January","February","March","April","May","June","July","August","September","October","November","December"},0),1)</f>
        <v>45566</v>
      </c>
    </row>
    <row r="54" spans="1:26" x14ac:dyDescent="0.3">
      <c r="A54" s="4" t="s">
        <v>119</v>
      </c>
      <c r="B54" s="4" t="s">
        <v>55</v>
      </c>
      <c r="C54" s="4" t="s">
        <v>36</v>
      </c>
      <c r="D54" s="5">
        <v>11864.13</v>
      </c>
      <c r="E54" s="6">
        <v>5</v>
      </c>
      <c r="F54" s="5">
        <v>59320.65</v>
      </c>
      <c r="G54" s="1">
        <v>45607</v>
      </c>
      <c r="H54" t="s">
        <v>18</v>
      </c>
      <c r="I54">
        <v>1.3</v>
      </c>
      <c r="J54" t="s">
        <v>37</v>
      </c>
      <c r="K54">
        <v>2024</v>
      </c>
      <c r="L54">
        <v>11864.130000000001</v>
      </c>
      <c r="M54">
        <v>18</v>
      </c>
      <c r="N54" t="s">
        <v>27</v>
      </c>
      <c r="O54" t="s">
        <v>68</v>
      </c>
      <c r="P54">
        <f>FlipkartSales[[#This Row],[Price (INR)]]*FlipkartSales[[#This Row],[Quantity Sold]]</f>
        <v>59320.649999999994</v>
      </c>
      <c r="Q54">
        <f>FlipkartSales[[#This Row],[Total Sales (INR)]]-FlipkartSales[[#This Row],[Calculated Sales]]</f>
        <v>0</v>
      </c>
      <c r="R54" s="9">
        <f t="shared" si="0"/>
        <v>0.2</v>
      </c>
      <c r="S54">
        <f t="shared" si="1"/>
        <v>11864.130000000001</v>
      </c>
      <c r="T54">
        <f t="shared" si="2"/>
        <v>2372.826</v>
      </c>
      <c r="U54">
        <f t="shared" si="3"/>
        <v>11</v>
      </c>
      <c r="V54" t="str">
        <f t="shared" si="4"/>
        <v>Q4</v>
      </c>
      <c r="W54" t="str">
        <f t="shared" si="5"/>
        <v>Nov-2024</v>
      </c>
      <c r="X54">
        <f t="shared" si="6"/>
        <v>10677.716999999999</v>
      </c>
      <c r="Y54" s="5">
        <f t="shared" si="7"/>
        <v>48642.933000000005</v>
      </c>
      <c r="Z54" s="21">
        <f>DATE(K54,MATCH(J54,{"January","February","March","April","May","June","July","August","September","October","November","December"},0),1)</f>
        <v>45597</v>
      </c>
    </row>
    <row r="55" spans="1:26" x14ac:dyDescent="0.3">
      <c r="A55" s="4" t="s">
        <v>120</v>
      </c>
      <c r="B55" s="4" t="s">
        <v>70</v>
      </c>
      <c r="C55" s="4" t="s">
        <v>17</v>
      </c>
      <c r="D55" s="5">
        <v>7757.2</v>
      </c>
      <c r="E55" s="6">
        <v>5</v>
      </c>
      <c r="F55" s="5">
        <v>38786</v>
      </c>
      <c r="G55" s="1">
        <v>45618</v>
      </c>
      <c r="H55" t="s">
        <v>44</v>
      </c>
      <c r="I55">
        <v>2.2000000000000002</v>
      </c>
      <c r="J55" t="s">
        <v>37</v>
      </c>
      <c r="K55">
        <v>2024</v>
      </c>
      <c r="L55">
        <v>7757.2000000000007</v>
      </c>
      <c r="M55">
        <v>22</v>
      </c>
      <c r="N55" t="s">
        <v>41</v>
      </c>
      <c r="O55" t="s">
        <v>68</v>
      </c>
      <c r="P55">
        <f>FlipkartSales[[#This Row],[Price (INR)]]*FlipkartSales[[#This Row],[Quantity Sold]]</f>
        <v>38786</v>
      </c>
      <c r="Q55">
        <f>FlipkartSales[[#This Row],[Total Sales (INR)]]-FlipkartSales[[#This Row],[Calculated Sales]]</f>
        <v>0</v>
      </c>
      <c r="R55" s="9">
        <f t="shared" si="0"/>
        <v>0.2</v>
      </c>
      <c r="S55">
        <f t="shared" si="1"/>
        <v>7757.2</v>
      </c>
      <c r="T55">
        <f t="shared" si="2"/>
        <v>1551.44</v>
      </c>
      <c r="U55">
        <f t="shared" si="3"/>
        <v>11</v>
      </c>
      <c r="V55" t="str">
        <f t="shared" si="4"/>
        <v>Q4</v>
      </c>
      <c r="W55" t="str">
        <f t="shared" si="5"/>
        <v>Nov-2024</v>
      </c>
      <c r="X55">
        <f t="shared" si="6"/>
        <v>8532.92</v>
      </c>
      <c r="Y55" s="5">
        <f t="shared" si="7"/>
        <v>30253.08</v>
      </c>
      <c r="Z55" s="21">
        <f>DATE(K55,MATCH(J55,{"January","February","March","April","May","June","July","August","September","October","November","December"},0),1)</f>
        <v>45597</v>
      </c>
    </row>
    <row r="56" spans="1:26" x14ac:dyDescent="0.3">
      <c r="A56" s="4" t="s">
        <v>121</v>
      </c>
      <c r="B56" s="4" t="s">
        <v>35</v>
      </c>
      <c r="C56" s="4" t="s">
        <v>36</v>
      </c>
      <c r="D56" s="5">
        <v>29745</v>
      </c>
      <c r="E56" s="6">
        <v>1</v>
      </c>
      <c r="F56" s="5">
        <v>29745</v>
      </c>
      <c r="G56" s="1">
        <v>45569</v>
      </c>
      <c r="H56" t="s">
        <v>25</v>
      </c>
      <c r="I56">
        <v>3.6</v>
      </c>
      <c r="J56" t="s">
        <v>45</v>
      </c>
      <c r="K56">
        <v>2024</v>
      </c>
      <c r="L56">
        <v>5949</v>
      </c>
      <c r="M56">
        <v>30</v>
      </c>
      <c r="N56" t="s">
        <v>27</v>
      </c>
      <c r="O56" t="s">
        <v>21</v>
      </c>
      <c r="P56">
        <f>FlipkartSales[[#This Row],[Price (INR)]]*FlipkartSales[[#This Row],[Quantity Sold]]</f>
        <v>29745</v>
      </c>
      <c r="Q56">
        <f>FlipkartSales[[#This Row],[Total Sales (INR)]]-FlipkartSales[[#This Row],[Calculated Sales]]</f>
        <v>0</v>
      </c>
      <c r="R56" s="9">
        <f t="shared" si="0"/>
        <v>0.2</v>
      </c>
      <c r="S56">
        <f t="shared" si="1"/>
        <v>29745</v>
      </c>
      <c r="T56">
        <f t="shared" si="2"/>
        <v>5949</v>
      </c>
      <c r="U56">
        <f t="shared" si="3"/>
        <v>10</v>
      </c>
      <c r="V56" t="str">
        <f t="shared" si="4"/>
        <v>Q4</v>
      </c>
      <c r="W56" t="str">
        <f t="shared" si="5"/>
        <v>Oct-2024</v>
      </c>
      <c r="X56">
        <f t="shared" si="6"/>
        <v>8923.5</v>
      </c>
      <c r="Y56" s="5">
        <f t="shared" si="7"/>
        <v>20821.5</v>
      </c>
      <c r="Z56" s="21">
        <f>DATE(K56,MATCH(J56,{"January","February","March","April","May","June","July","August","September","October","November","December"},0),1)</f>
        <v>45566</v>
      </c>
    </row>
    <row r="57" spans="1:26" x14ac:dyDescent="0.3">
      <c r="A57" s="4" t="s">
        <v>122</v>
      </c>
      <c r="B57" s="4" t="s">
        <v>23</v>
      </c>
      <c r="C57" s="4" t="s">
        <v>24</v>
      </c>
      <c r="D57" s="5">
        <v>39176.54</v>
      </c>
      <c r="E57" s="6">
        <v>5</v>
      </c>
      <c r="F57" s="5">
        <v>195882.7</v>
      </c>
      <c r="G57" s="1">
        <v>45386</v>
      </c>
      <c r="H57" t="s">
        <v>80</v>
      </c>
      <c r="I57">
        <v>4.0999999999999996</v>
      </c>
      <c r="J57" t="s">
        <v>62</v>
      </c>
      <c r="K57">
        <v>2024</v>
      </c>
      <c r="L57">
        <v>39176.54</v>
      </c>
      <c r="M57">
        <v>13</v>
      </c>
      <c r="N57" t="s">
        <v>27</v>
      </c>
      <c r="O57" t="s">
        <v>21</v>
      </c>
      <c r="P57">
        <f>FlipkartSales[[#This Row],[Price (INR)]]*FlipkartSales[[#This Row],[Quantity Sold]]</f>
        <v>195882.7</v>
      </c>
      <c r="Q57">
        <f>FlipkartSales[[#This Row],[Total Sales (INR)]]-FlipkartSales[[#This Row],[Calculated Sales]]</f>
        <v>0</v>
      </c>
      <c r="R57" s="9">
        <f t="shared" si="0"/>
        <v>0.19999999999999998</v>
      </c>
      <c r="S57">
        <f t="shared" si="1"/>
        <v>39176.54</v>
      </c>
      <c r="T57">
        <f t="shared" si="2"/>
        <v>7835.308</v>
      </c>
      <c r="U57">
        <f t="shared" si="3"/>
        <v>4</v>
      </c>
      <c r="V57" t="str">
        <f t="shared" si="4"/>
        <v>Q2</v>
      </c>
      <c r="W57" t="str">
        <f t="shared" si="5"/>
        <v>Apr-2024</v>
      </c>
      <c r="X57">
        <f t="shared" si="6"/>
        <v>25464.751</v>
      </c>
      <c r="Y57" s="5">
        <f t="shared" si="7"/>
        <v>170417.94900000002</v>
      </c>
      <c r="Z57" s="21">
        <f>DATE(K57,MATCH(J57,{"January","February","March","April","May","June","July","August","September","October","November","December"},0),1)</f>
        <v>45383</v>
      </c>
    </row>
    <row r="58" spans="1:26" x14ac:dyDescent="0.3">
      <c r="A58" s="4" t="s">
        <v>123</v>
      </c>
      <c r="B58" s="4" t="s">
        <v>23</v>
      </c>
      <c r="C58" s="4" t="s">
        <v>24</v>
      </c>
      <c r="D58" s="5">
        <v>18075.189999999999</v>
      </c>
      <c r="E58" s="6">
        <v>5</v>
      </c>
      <c r="F58" s="5">
        <v>90375.95</v>
      </c>
      <c r="G58" s="1">
        <v>45538</v>
      </c>
      <c r="H58" t="s">
        <v>18</v>
      </c>
      <c r="I58">
        <v>1.7</v>
      </c>
      <c r="J58" t="s">
        <v>19</v>
      </c>
      <c r="K58">
        <v>2024</v>
      </c>
      <c r="L58">
        <v>18075.189999999999</v>
      </c>
      <c r="M58">
        <v>30</v>
      </c>
      <c r="N58" t="s">
        <v>20</v>
      </c>
      <c r="O58" t="s">
        <v>21</v>
      </c>
      <c r="P58">
        <f>FlipkartSales[[#This Row],[Price (INR)]]*FlipkartSales[[#This Row],[Quantity Sold]]</f>
        <v>90375.95</v>
      </c>
      <c r="Q58">
        <f>FlipkartSales[[#This Row],[Total Sales (INR)]]-FlipkartSales[[#This Row],[Calculated Sales]]</f>
        <v>0</v>
      </c>
      <c r="R58" s="9">
        <f t="shared" si="0"/>
        <v>0.19999999999999998</v>
      </c>
      <c r="S58">
        <f t="shared" si="1"/>
        <v>18075.189999999999</v>
      </c>
      <c r="T58">
        <f t="shared" si="2"/>
        <v>3615.0379999999996</v>
      </c>
      <c r="U58">
        <f t="shared" si="3"/>
        <v>9</v>
      </c>
      <c r="V58" t="str">
        <f t="shared" si="4"/>
        <v>Q3</v>
      </c>
      <c r="W58" t="str">
        <f t="shared" si="5"/>
        <v>Sep-2024</v>
      </c>
      <c r="X58">
        <f t="shared" si="6"/>
        <v>27112.785</v>
      </c>
      <c r="Y58" s="5">
        <f t="shared" si="7"/>
        <v>63263.164999999994</v>
      </c>
      <c r="Z58" s="21">
        <f>DATE(K58,MATCH(J58,{"January","February","March","April","May","June","July","August","September","October","November","December"},0),1)</f>
        <v>45536</v>
      </c>
    </row>
    <row r="59" spans="1:26" x14ac:dyDescent="0.3">
      <c r="A59" s="4" t="s">
        <v>124</v>
      </c>
      <c r="B59" s="4" t="s">
        <v>125</v>
      </c>
      <c r="C59" s="4" t="s">
        <v>17</v>
      </c>
      <c r="D59" s="5">
        <v>18830.59</v>
      </c>
      <c r="E59" s="6">
        <v>4</v>
      </c>
      <c r="F59" s="5">
        <v>75322.36</v>
      </c>
      <c r="G59" s="1">
        <v>45428</v>
      </c>
      <c r="H59" t="s">
        <v>80</v>
      </c>
      <c r="I59">
        <v>3.6</v>
      </c>
      <c r="J59" t="s">
        <v>32</v>
      </c>
      <c r="K59">
        <v>2024</v>
      </c>
      <c r="L59">
        <v>15064.472000000002</v>
      </c>
      <c r="M59">
        <v>25</v>
      </c>
      <c r="N59" t="s">
        <v>27</v>
      </c>
      <c r="O59" t="s">
        <v>33</v>
      </c>
      <c r="P59">
        <f>FlipkartSales[[#This Row],[Price (INR)]]*FlipkartSales[[#This Row],[Quantity Sold]]</f>
        <v>75322.36</v>
      </c>
      <c r="Q59">
        <f>FlipkartSales[[#This Row],[Total Sales (INR)]]-FlipkartSales[[#This Row],[Calculated Sales]]</f>
        <v>0</v>
      </c>
      <c r="R59" s="9">
        <f t="shared" si="0"/>
        <v>0.2</v>
      </c>
      <c r="S59">
        <f t="shared" si="1"/>
        <v>18830.59</v>
      </c>
      <c r="T59">
        <f t="shared" si="2"/>
        <v>3766.1180000000004</v>
      </c>
      <c r="U59">
        <f t="shared" si="3"/>
        <v>5</v>
      </c>
      <c r="V59" t="str">
        <f t="shared" si="4"/>
        <v>Q2</v>
      </c>
      <c r="W59" t="str">
        <f t="shared" si="5"/>
        <v>May-2024</v>
      </c>
      <c r="X59">
        <f t="shared" si="6"/>
        <v>18830.59</v>
      </c>
      <c r="Y59" s="5">
        <f t="shared" si="7"/>
        <v>56491.770000000004</v>
      </c>
      <c r="Z59" s="21">
        <f>DATE(K59,MATCH(J59,{"January","February","March","April","May","June","July","August","September","October","November","December"},0),1)</f>
        <v>45413</v>
      </c>
    </row>
    <row r="60" spans="1:26" x14ac:dyDescent="0.3">
      <c r="A60" s="4" t="s">
        <v>126</v>
      </c>
      <c r="B60" s="4" t="s">
        <v>107</v>
      </c>
      <c r="C60" s="4" t="s">
        <v>36</v>
      </c>
      <c r="D60" s="5">
        <v>38476.480000000003</v>
      </c>
      <c r="E60" s="6">
        <v>4</v>
      </c>
      <c r="F60" s="5">
        <v>153905.92000000001</v>
      </c>
      <c r="G60" s="1">
        <v>45534</v>
      </c>
      <c r="H60" t="s">
        <v>71</v>
      </c>
      <c r="I60">
        <v>2</v>
      </c>
      <c r="J60" t="s">
        <v>88</v>
      </c>
      <c r="K60">
        <v>2024</v>
      </c>
      <c r="L60">
        <v>30781.184000000005</v>
      </c>
      <c r="M60">
        <v>6</v>
      </c>
      <c r="N60" t="s">
        <v>20</v>
      </c>
      <c r="O60" t="s">
        <v>33</v>
      </c>
      <c r="P60">
        <f>FlipkartSales[[#This Row],[Price (INR)]]*FlipkartSales[[#This Row],[Quantity Sold]]</f>
        <v>153905.92000000001</v>
      </c>
      <c r="Q60">
        <f>FlipkartSales[[#This Row],[Total Sales (INR)]]-FlipkartSales[[#This Row],[Calculated Sales]]</f>
        <v>0</v>
      </c>
      <c r="R60" s="9">
        <f t="shared" si="0"/>
        <v>0.2</v>
      </c>
      <c r="S60">
        <f t="shared" si="1"/>
        <v>38476.480000000003</v>
      </c>
      <c r="T60">
        <f t="shared" si="2"/>
        <v>7695.2960000000012</v>
      </c>
      <c r="U60">
        <f t="shared" si="3"/>
        <v>8</v>
      </c>
      <c r="V60" t="str">
        <f t="shared" si="4"/>
        <v>Q3</v>
      </c>
      <c r="W60" t="str">
        <f t="shared" si="5"/>
        <v>Aug-2024</v>
      </c>
      <c r="X60">
        <f t="shared" si="6"/>
        <v>9234.3552</v>
      </c>
      <c r="Y60" s="5">
        <f t="shared" si="7"/>
        <v>144671.56480000002</v>
      </c>
      <c r="Z60" s="21">
        <f>DATE(K60,MATCH(J60,{"January","February","March","April","May","June","July","August","September","October","November","December"},0),1)</f>
        <v>45505</v>
      </c>
    </row>
    <row r="61" spans="1:26" x14ac:dyDescent="0.3">
      <c r="A61" s="4" t="s">
        <v>127</v>
      </c>
      <c r="B61" s="4" t="s">
        <v>96</v>
      </c>
      <c r="C61" s="4" t="s">
        <v>36</v>
      </c>
      <c r="D61" s="5">
        <v>27120.36</v>
      </c>
      <c r="E61" s="6">
        <v>2</v>
      </c>
      <c r="F61" s="5">
        <v>54240.72</v>
      </c>
      <c r="G61" s="1">
        <v>45456</v>
      </c>
      <c r="H61" t="s">
        <v>71</v>
      </c>
      <c r="I61">
        <v>3.8</v>
      </c>
      <c r="J61" t="s">
        <v>67</v>
      </c>
      <c r="K61">
        <v>2024</v>
      </c>
      <c r="L61">
        <v>10848.144</v>
      </c>
      <c r="M61">
        <v>24</v>
      </c>
      <c r="N61" t="s">
        <v>27</v>
      </c>
      <c r="O61" t="s">
        <v>33</v>
      </c>
      <c r="P61">
        <f>FlipkartSales[[#This Row],[Price (INR)]]*FlipkartSales[[#This Row],[Quantity Sold]]</f>
        <v>54240.72</v>
      </c>
      <c r="Q61">
        <f>FlipkartSales[[#This Row],[Total Sales (INR)]]-FlipkartSales[[#This Row],[Calculated Sales]]</f>
        <v>0</v>
      </c>
      <c r="R61" s="9">
        <f t="shared" si="0"/>
        <v>0.2</v>
      </c>
      <c r="S61">
        <f t="shared" si="1"/>
        <v>27120.36</v>
      </c>
      <c r="T61">
        <f t="shared" si="2"/>
        <v>5424.0720000000001</v>
      </c>
      <c r="U61">
        <f t="shared" si="3"/>
        <v>6</v>
      </c>
      <c r="V61" t="str">
        <f t="shared" si="4"/>
        <v>Q2</v>
      </c>
      <c r="W61" t="str">
        <f t="shared" si="5"/>
        <v>Jun-2024</v>
      </c>
      <c r="X61">
        <f t="shared" si="6"/>
        <v>13017.772800000001</v>
      </c>
      <c r="Y61" s="5">
        <f t="shared" si="7"/>
        <v>41222.947200000002</v>
      </c>
      <c r="Z61" s="21">
        <f>DATE(K61,MATCH(J61,{"January","February","March","April","May","June","July","August","September","October","November","December"},0),1)</f>
        <v>45444</v>
      </c>
    </row>
    <row r="62" spans="1:26" x14ac:dyDescent="0.3">
      <c r="A62" s="4" t="s">
        <v>128</v>
      </c>
      <c r="B62" s="4" t="s">
        <v>74</v>
      </c>
      <c r="C62" s="4" t="s">
        <v>17</v>
      </c>
      <c r="D62" s="5">
        <v>31627</v>
      </c>
      <c r="E62" s="6">
        <v>5</v>
      </c>
      <c r="F62" s="5">
        <v>158135</v>
      </c>
      <c r="G62" s="1">
        <v>45501</v>
      </c>
      <c r="H62" t="s">
        <v>18</v>
      </c>
      <c r="I62">
        <v>3.1</v>
      </c>
      <c r="J62" t="s">
        <v>48</v>
      </c>
      <c r="K62">
        <v>2024</v>
      </c>
      <c r="L62">
        <v>31627</v>
      </c>
      <c r="M62">
        <v>19</v>
      </c>
      <c r="N62" t="s">
        <v>27</v>
      </c>
      <c r="O62" t="s">
        <v>33</v>
      </c>
      <c r="P62">
        <f>FlipkartSales[[#This Row],[Price (INR)]]*FlipkartSales[[#This Row],[Quantity Sold]]</f>
        <v>158135</v>
      </c>
      <c r="Q62">
        <f>FlipkartSales[[#This Row],[Total Sales (INR)]]-FlipkartSales[[#This Row],[Calculated Sales]]</f>
        <v>0</v>
      </c>
      <c r="R62" s="9">
        <f t="shared" si="0"/>
        <v>0.2</v>
      </c>
      <c r="S62">
        <f t="shared" si="1"/>
        <v>31627</v>
      </c>
      <c r="T62">
        <f t="shared" si="2"/>
        <v>6325.4</v>
      </c>
      <c r="U62">
        <f t="shared" si="3"/>
        <v>7</v>
      </c>
      <c r="V62" t="str">
        <f t="shared" si="4"/>
        <v>Q3</v>
      </c>
      <c r="W62" t="str">
        <f t="shared" si="5"/>
        <v>Jul-2024</v>
      </c>
      <c r="X62">
        <f t="shared" si="6"/>
        <v>30045.65</v>
      </c>
      <c r="Y62" s="5">
        <f t="shared" si="7"/>
        <v>128089.35</v>
      </c>
      <c r="Z62" s="21">
        <f>DATE(K62,MATCH(J62,{"January","February","March","April","May","June","July","August","September","October","November","December"},0),1)</f>
        <v>45474</v>
      </c>
    </row>
    <row r="63" spans="1:26" x14ac:dyDescent="0.3">
      <c r="A63" s="4" t="s">
        <v>129</v>
      </c>
      <c r="B63" s="4" t="s">
        <v>70</v>
      </c>
      <c r="C63" s="4" t="s">
        <v>17</v>
      </c>
      <c r="D63" s="5">
        <v>14505.79</v>
      </c>
      <c r="E63" s="6">
        <v>3</v>
      </c>
      <c r="F63" s="5">
        <v>43517.37</v>
      </c>
      <c r="G63" s="1">
        <v>45483</v>
      </c>
      <c r="H63" t="s">
        <v>25</v>
      </c>
      <c r="I63">
        <v>3.9</v>
      </c>
      <c r="J63" t="s">
        <v>48</v>
      </c>
      <c r="K63">
        <v>2024</v>
      </c>
      <c r="L63">
        <v>8703.4740000000002</v>
      </c>
      <c r="M63">
        <v>11</v>
      </c>
      <c r="N63" t="s">
        <v>27</v>
      </c>
      <c r="O63" t="s">
        <v>68</v>
      </c>
      <c r="P63">
        <f>FlipkartSales[[#This Row],[Price (INR)]]*FlipkartSales[[#This Row],[Quantity Sold]]</f>
        <v>43517.37</v>
      </c>
      <c r="Q63">
        <f>FlipkartSales[[#This Row],[Total Sales (INR)]]-FlipkartSales[[#This Row],[Calculated Sales]]</f>
        <v>0</v>
      </c>
      <c r="R63" s="9">
        <f t="shared" si="0"/>
        <v>0.19999999999999998</v>
      </c>
      <c r="S63">
        <f t="shared" si="1"/>
        <v>14505.79</v>
      </c>
      <c r="T63">
        <f t="shared" si="2"/>
        <v>2901.1579999999999</v>
      </c>
      <c r="U63">
        <f t="shared" si="3"/>
        <v>7</v>
      </c>
      <c r="V63" t="str">
        <f t="shared" si="4"/>
        <v>Q3</v>
      </c>
      <c r="W63" t="str">
        <f t="shared" si="5"/>
        <v>Jul-2024</v>
      </c>
      <c r="X63">
        <f t="shared" si="6"/>
        <v>4786.9107000000004</v>
      </c>
      <c r="Y63" s="5">
        <f t="shared" si="7"/>
        <v>38730.459300000002</v>
      </c>
      <c r="Z63" s="21">
        <f>DATE(K63,MATCH(J63,{"January","February","March","April","May","June","July","August","September","October","November","December"},0),1)</f>
        <v>45474</v>
      </c>
    </row>
    <row r="64" spans="1:26" x14ac:dyDescent="0.3">
      <c r="A64" s="4" t="s">
        <v>130</v>
      </c>
      <c r="B64" s="4" t="s">
        <v>35</v>
      </c>
      <c r="C64" s="4" t="s">
        <v>36</v>
      </c>
      <c r="D64" s="5">
        <v>15229.67</v>
      </c>
      <c r="E64" s="6">
        <v>3</v>
      </c>
      <c r="F64" s="5">
        <v>45689.01</v>
      </c>
      <c r="G64" s="1">
        <v>45494</v>
      </c>
      <c r="H64" t="s">
        <v>71</v>
      </c>
      <c r="I64">
        <v>2.7</v>
      </c>
      <c r="J64" t="s">
        <v>48</v>
      </c>
      <c r="K64">
        <v>2024</v>
      </c>
      <c r="L64">
        <v>9137.8020000000015</v>
      </c>
      <c r="M64">
        <v>16</v>
      </c>
      <c r="N64" t="s">
        <v>20</v>
      </c>
      <c r="O64" t="s">
        <v>68</v>
      </c>
      <c r="P64">
        <f>FlipkartSales[[#This Row],[Price (INR)]]*FlipkartSales[[#This Row],[Quantity Sold]]</f>
        <v>45689.01</v>
      </c>
      <c r="Q64">
        <f>FlipkartSales[[#This Row],[Total Sales (INR)]]-FlipkartSales[[#This Row],[Calculated Sales]]</f>
        <v>0</v>
      </c>
      <c r="R64" s="9">
        <f t="shared" si="0"/>
        <v>0.2</v>
      </c>
      <c r="S64">
        <f t="shared" si="1"/>
        <v>15229.67</v>
      </c>
      <c r="T64">
        <f t="shared" si="2"/>
        <v>3045.9340000000007</v>
      </c>
      <c r="U64">
        <f t="shared" si="3"/>
        <v>7</v>
      </c>
      <c r="V64" t="str">
        <f t="shared" si="4"/>
        <v>Q3</v>
      </c>
      <c r="W64" t="str">
        <f t="shared" si="5"/>
        <v>Jul-2024</v>
      </c>
      <c r="X64">
        <f t="shared" si="6"/>
        <v>7310.2416000000003</v>
      </c>
      <c r="Y64" s="5">
        <f t="shared" si="7"/>
        <v>38378.768400000001</v>
      </c>
      <c r="Z64" s="21">
        <f>DATE(K64,MATCH(J64,{"January","February","March","April","May","June","July","August","September","October","November","December"},0),1)</f>
        <v>45474</v>
      </c>
    </row>
    <row r="65" spans="1:26" x14ac:dyDescent="0.3">
      <c r="A65" s="4" t="s">
        <v>131</v>
      </c>
      <c r="B65" s="4" t="s">
        <v>50</v>
      </c>
      <c r="C65" s="4" t="s">
        <v>40</v>
      </c>
      <c r="D65" s="5">
        <v>2158.12</v>
      </c>
      <c r="E65" s="6">
        <v>3</v>
      </c>
      <c r="F65" s="5">
        <v>6474.36</v>
      </c>
      <c r="G65" s="1">
        <v>45659</v>
      </c>
      <c r="H65" t="s">
        <v>64</v>
      </c>
      <c r="I65">
        <v>3.4</v>
      </c>
      <c r="J65" t="s">
        <v>53</v>
      </c>
      <c r="K65">
        <v>2025</v>
      </c>
      <c r="L65">
        <v>1294.8720000000001</v>
      </c>
      <c r="M65">
        <v>12</v>
      </c>
      <c r="N65" t="s">
        <v>20</v>
      </c>
      <c r="O65" t="s">
        <v>68</v>
      </c>
      <c r="P65">
        <f>FlipkartSales[[#This Row],[Price (INR)]]*FlipkartSales[[#This Row],[Quantity Sold]]</f>
        <v>6474.36</v>
      </c>
      <c r="Q65">
        <f>FlipkartSales[[#This Row],[Total Sales (INR)]]-FlipkartSales[[#This Row],[Calculated Sales]]</f>
        <v>0</v>
      </c>
      <c r="R65" s="9">
        <f t="shared" si="0"/>
        <v>0.2</v>
      </c>
      <c r="S65">
        <f t="shared" si="1"/>
        <v>2158.12</v>
      </c>
      <c r="T65">
        <f t="shared" si="2"/>
        <v>431.62400000000002</v>
      </c>
      <c r="U65">
        <f t="shared" si="3"/>
        <v>1</v>
      </c>
      <c r="V65" t="str">
        <f t="shared" si="4"/>
        <v>Q1</v>
      </c>
      <c r="W65" t="str">
        <f t="shared" si="5"/>
        <v>Jan-2025</v>
      </c>
      <c r="X65">
        <f t="shared" si="6"/>
        <v>776.92319999999995</v>
      </c>
      <c r="Y65" s="5">
        <f t="shared" si="7"/>
        <v>5697.4367999999995</v>
      </c>
      <c r="Z65" s="21">
        <f>DATE(K65,MATCH(J65,{"January","February","March","April","May","June","July","August","September","October","November","December"},0),1)</f>
        <v>45658</v>
      </c>
    </row>
    <row r="66" spans="1:26" x14ac:dyDescent="0.3">
      <c r="A66" s="4" t="s">
        <v>132</v>
      </c>
      <c r="B66" s="4" t="s">
        <v>61</v>
      </c>
      <c r="C66" s="4" t="s">
        <v>31</v>
      </c>
      <c r="D66" s="5">
        <v>11106.19</v>
      </c>
      <c r="E66" s="6">
        <v>2</v>
      </c>
      <c r="F66" s="5">
        <v>22212.38</v>
      </c>
      <c r="G66" s="1">
        <v>45648</v>
      </c>
      <c r="H66" t="s">
        <v>44</v>
      </c>
      <c r="I66">
        <v>1.1000000000000001</v>
      </c>
      <c r="J66" t="s">
        <v>26</v>
      </c>
      <c r="K66">
        <v>2024</v>
      </c>
      <c r="L66">
        <v>4442.4760000000006</v>
      </c>
      <c r="M66">
        <v>19</v>
      </c>
      <c r="N66" t="s">
        <v>41</v>
      </c>
      <c r="O66" t="s">
        <v>28</v>
      </c>
      <c r="P66">
        <f>FlipkartSales[[#This Row],[Price (INR)]]*FlipkartSales[[#This Row],[Quantity Sold]]</f>
        <v>22212.38</v>
      </c>
      <c r="Q66">
        <f>FlipkartSales[[#This Row],[Total Sales (INR)]]-FlipkartSales[[#This Row],[Calculated Sales]]</f>
        <v>0</v>
      </c>
      <c r="R66" s="9">
        <f t="shared" ref="R66:R129" si="8">L66/F66</f>
        <v>0.2</v>
      </c>
      <c r="S66">
        <f t="shared" ref="S66:S129" si="9">F66/E66</f>
        <v>11106.19</v>
      </c>
      <c r="T66">
        <f t="shared" ref="T66:T129" si="10">L66/E66</f>
        <v>2221.2380000000003</v>
      </c>
      <c r="U66">
        <f t="shared" ref="U66:U129" si="11">MONTH(G66)</f>
        <v>12</v>
      </c>
      <c r="V66" t="str">
        <f t="shared" ref="V66:V129" si="12">"Q"&amp;ROUNDUP(MONTH(G66)/3,0)</f>
        <v>Q4</v>
      </c>
      <c r="W66" t="str">
        <f t="shared" ref="W66:W129" si="13">TEXT(G66,"mmm-yyyy")</f>
        <v>Dec-2024</v>
      </c>
      <c r="X66">
        <f t="shared" ref="X66:X129" si="14">F66*M66/100</f>
        <v>4220.3522000000003</v>
      </c>
      <c r="Y66" s="5">
        <f t="shared" ref="Y66:Y129" si="15">F66-X66</f>
        <v>17992.0278</v>
      </c>
      <c r="Z66" s="21">
        <f>DATE(K66,MATCH(J66,{"January","February","March","April","May","June","July","August","September","October","November","December"},0),1)</f>
        <v>45627</v>
      </c>
    </row>
    <row r="67" spans="1:26" x14ac:dyDescent="0.3">
      <c r="A67" s="4" t="s">
        <v>133</v>
      </c>
      <c r="B67" s="4" t="s">
        <v>16</v>
      </c>
      <c r="C67" s="4" t="s">
        <v>17</v>
      </c>
      <c r="D67" s="5">
        <v>21690.55</v>
      </c>
      <c r="E67" s="6">
        <v>2</v>
      </c>
      <c r="F67" s="5">
        <v>43381.1</v>
      </c>
      <c r="G67" s="1">
        <v>45624</v>
      </c>
      <c r="H67" t="s">
        <v>71</v>
      </c>
      <c r="I67">
        <v>1.9</v>
      </c>
      <c r="J67" t="s">
        <v>37</v>
      </c>
      <c r="K67">
        <v>2024</v>
      </c>
      <c r="L67">
        <v>8676.2199999999993</v>
      </c>
      <c r="M67">
        <v>7</v>
      </c>
      <c r="N67" t="s">
        <v>20</v>
      </c>
      <c r="O67" t="s">
        <v>21</v>
      </c>
      <c r="P67">
        <f>FlipkartSales[[#This Row],[Price (INR)]]*FlipkartSales[[#This Row],[Quantity Sold]]</f>
        <v>43381.1</v>
      </c>
      <c r="Q67">
        <f>FlipkartSales[[#This Row],[Total Sales (INR)]]-FlipkartSales[[#This Row],[Calculated Sales]]</f>
        <v>0</v>
      </c>
      <c r="R67" s="9">
        <f t="shared" si="8"/>
        <v>0.19999999999999998</v>
      </c>
      <c r="S67">
        <f t="shared" si="9"/>
        <v>21690.55</v>
      </c>
      <c r="T67">
        <f t="shared" si="10"/>
        <v>4338.1099999999997</v>
      </c>
      <c r="U67">
        <f t="shared" si="11"/>
        <v>11</v>
      </c>
      <c r="V67" t="str">
        <f t="shared" si="12"/>
        <v>Q4</v>
      </c>
      <c r="W67" t="str">
        <f t="shared" si="13"/>
        <v>Nov-2024</v>
      </c>
      <c r="X67">
        <f t="shared" si="14"/>
        <v>3036.6770000000001</v>
      </c>
      <c r="Y67" s="5">
        <f t="shared" si="15"/>
        <v>40344.422999999995</v>
      </c>
      <c r="Z67" s="21">
        <f>DATE(K67,MATCH(J67,{"January","February","March","April","May","June","July","August","September","October","November","December"},0),1)</f>
        <v>45597</v>
      </c>
    </row>
    <row r="68" spans="1:26" x14ac:dyDescent="0.3">
      <c r="A68" s="4" t="s">
        <v>134</v>
      </c>
      <c r="B68" s="4" t="s">
        <v>94</v>
      </c>
      <c r="C68" s="4" t="s">
        <v>31</v>
      </c>
      <c r="D68" s="5">
        <v>4225.6899999999996</v>
      </c>
      <c r="E68" s="6">
        <v>4</v>
      </c>
      <c r="F68" s="5">
        <v>16902.759999999998</v>
      </c>
      <c r="G68" s="1">
        <v>45418</v>
      </c>
      <c r="H68" t="s">
        <v>71</v>
      </c>
      <c r="I68">
        <v>2.5</v>
      </c>
      <c r="J68" t="s">
        <v>32</v>
      </c>
      <c r="K68">
        <v>2024</v>
      </c>
      <c r="L68">
        <v>3380.5519999999997</v>
      </c>
      <c r="M68">
        <v>18</v>
      </c>
      <c r="N68" t="s">
        <v>20</v>
      </c>
      <c r="O68" t="s">
        <v>33</v>
      </c>
      <c r="P68">
        <f>FlipkartSales[[#This Row],[Price (INR)]]*FlipkartSales[[#This Row],[Quantity Sold]]</f>
        <v>16902.759999999998</v>
      </c>
      <c r="Q68">
        <f>FlipkartSales[[#This Row],[Total Sales (INR)]]-FlipkartSales[[#This Row],[Calculated Sales]]</f>
        <v>0</v>
      </c>
      <c r="R68" s="9">
        <f t="shared" si="8"/>
        <v>0.2</v>
      </c>
      <c r="S68">
        <f t="shared" si="9"/>
        <v>4225.6899999999996</v>
      </c>
      <c r="T68">
        <f t="shared" si="10"/>
        <v>845.13799999999992</v>
      </c>
      <c r="U68">
        <f t="shared" si="11"/>
        <v>5</v>
      </c>
      <c r="V68" t="str">
        <f t="shared" si="12"/>
        <v>Q2</v>
      </c>
      <c r="W68" t="str">
        <f t="shared" si="13"/>
        <v>May-2024</v>
      </c>
      <c r="X68">
        <f t="shared" si="14"/>
        <v>3042.4967999999999</v>
      </c>
      <c r="Y68" s="5">
        <f t="shared" si="15"/>
        <v>13860.263199999998</v>
      </c>
      <c r="Z68" s="21">
        <f>DATE(K68,MATCH(J68,{"January","February","March","April","May","June","July","August","September","October","November","December"},0),1)</f>
        <v>45413</v>
      </c>
    </row>
    <row r="69" spans="1:26" x14ac:dyDescent="0.3">
      <c r="A69" s="4" t="s">
        <v>135</v>
      </c>
      <c r="B69" s="4" t="s">
        <v>35</v>
      </c>
      <c r="C69" s="4" t="s">
        <v>36</v>
      </c>
      <c r="D69" s="5">
        <v>23621.02</v>
      </c>
      <c r="E69" s="6">
        <v>1</v>
      </c>
      <c r="F69" s="5">
        <v>23621.02</v>
      </c>
      <c r="G69" s="1">
        <v>45348</v>
      </c>
      <c r="H69" t="s">
        <v>44</v>
      </c>
      <c r="I69">
        <v>4.7</v>
      </c>
      <c r="J69" t="s">
        <v>59</v>
      </c>
      <c r="K69">
        <v>2024</v>
      </c>
      <c r="L69">
        <v>4724.2040000000006</v>
      </c>
      <c r="M69">
        <v>21</v>
      </c>
      <c r="N69" t="s">
        <v>20</v>
      </c>
      <c r="O69" t="s">
        <v>33</v>
      </c>
      <c r="P69">
        <f>FlipkartSales[[#This Row],[Price (INR)]]*FlipkartSales[[#This Row],[Quantity Sold]]</f>
        <v>23621.02</v>
      </c>
      <c r="Q69">
        <f>FlipkartSales[[#This Row],[Total Sales (INR)]]-FlipkartSales[[#This Row],[Calculated Sales]]</f>
        <v>0</v>
      </c>
      <c r="R69" s="9">
        <f t="shared" si="8"/>
        <v>0.2</v>
      </c>
      <c r="S69">
        <f t="shared" si="9"/>
        <v>23621.02</v>
      </c>
      <c r="T69">
        <f t="shared" si="10"/>
        <v>4724.2040000000006</v>
      </c>
      <c r="U69">
        <f t="shared" si="11"/>
        <v>2</v>
      </c>
      <c r="V69" t="str">
        <f t="shared" si="12"/>
        <v>Q1</v>
      </c>
      <c r="W69" t="str">
        <f t="shared" si="13"/>
        <v>Feb-2024</v>
      </c>
      <c r="X69">
        <f t="shared" si="14"/>
        <v>4960.4142000000002</v>
      </c>
      <c r="Y69" s="5">
        <f t="shared" si="15"/>
        <v>18660.605800000001</v>
      </c>
      <c r="Z69" s="21">
        <f>DATE(K69,MATCH(J69,{"January","February","March","April","May","June","July","August","September","October","November","December"},0),1)</f>
        <v>45323</v>
      </c>
    </row>
    <row r="70" spans="1:26" x14ac:dyDescent="0.3">
      <c r="A70" s="4" t="s">
        <v>136</v>
      </c>
      <c r="B70" s="4" t="s">
        <v>16</v>
      </c>
      <c r="C70" s="4" t="s">
        <v>17</v>
      </c>
      <c r="D70" s="5">
        <v>38937.919999999998</v>
      </c>
      <c r="E70" s="6">
        <v>3</v>
      </c>
      <c r="F70" s="5">
        <v>116813.75999999999</v>
      </c>
      <c r="G70" s="1">
        <v>45390</v>
      </c>
      <c r="H70" t="s">
        <v>71</v>
      </c>
      <c r="I70">
        <v>3.4</v>
      </c>
      <c r="J70" t="s">
        <v>62</v>
      </c>
      <c r="K70">
        <v>2024</v>
      </c>
      <c r="L70">
        <v>23362.752</v>
      </c>
      <c r="M70">
        <v>8</v>
      </c>
      <c r="N70" t="s">
        <v>20</v>
      </c>
      <c r="O70" t="s">
        <v>68</v>
      </c>
      <c r="P70">
        <f>FlipkartSales[[#This Row],[Price (INR)]]*FlipkartSales[[#This Row],[Quantity Sold]]</f>
        <v>116813.75999999999</v>
      </c>
      <c r="Q70">
        <f>FlipkartSales[[#This Row],[Total Sales (INR)]]-FlipkartSales[[#This Row],[Calculated Sales]]</f>
        <v>0</v>
      </c>
      <c r="R70" s="9">
        <f t="shared" si="8"/>
        <v>0.2</v>
      </c>
      <c r="S70">
        <f t="shared" si="9"/>
        <v>38937.919999999998</v>
      </c>
      <c r="T70">
        <f t="shared" si="10"/>
        <v>7787.5839999999998</v>
      </c>
      <c r="U70">
        <f t="shared" si="11"/>
        <v>4</v>
      </c>
      <c r="V70" t="str">
        <f t="shared" si="12"/>
        <v>Q2</v>
      </c>
      <c r="W70" t="str">
        <f t="shared" si="13"/>
        <v>Apr-2024</v>
      </c>
      <c r="X70">
        <f t="shared" si="14"/>
        <v>9345.1008000000002</v>
      </c>
      <c r="Y70" s="5">
        <f t="shared" si="15"/>
        <v>107468.65919999999</v>
      </c>
      <c r="Z70" s="21">
        <f>DATE(K70,MATCH(J70,{"January","February","March","April","May","June","July","August","September","October","November","December"},0),1)</f>
        <v>45383</v>
      </c>
    </row>
    <row r="71" spans="1:26" x14ac:dyDescent="0.3">
      <c r="A71" s="4" t="s">
        <v>137</v>
      </c>
      <c r="B71" s="4" t="s">
        <v>39</v>
      </c>
      <c r="C71" s="4" t="s">
        <v>40</v>
      </c>
      <c r="D71" s="5">
        <v>2707.97</v>
      </c>
      <c r="E71" s="6">
        <v>1</v>
      </c>
      <c r="F71" s="5">
        <v>2707.97</v>
      </c>
      <c r="G71" s="1">
        <v>45410</v>
      </c>
      <c r="H71" t="s">
        <v>80</v>
      </c>
      <c r="I71">
        <v>1.2</v>
      </c>
      <c r="J71" t="s">
        <v>62</v>
      </c>
      <c r="K71">
        <v>2024</v>
      </c>
      <c r="L71">
        <v>541.59399999999994</v>
      </c>
      <c r="M71">
        <v>22</v>
      </c>
      <c r="N71" t="s">
        <v>41</v>
      </c>
      <c r="O71" t="s">
        <v>33</v>
      </c>
      <c r="P71">
        <f>FlipkartSales[[#This Row],[Price (INR)]]*FlipkartSales[[#This Row],[Quantity Sold]]</f>
        <v>2707.97</v>
      </c>
      <c r="Q71">
        <f>FlipkartSales[[#This Row],[Total Sales (INR)]]-FlipkartSales[[#This Row],[Calculated Sales]]</f>
        <v>0</v>
      </c>
      <c r="R71" s="9">
        <f t="shared" si="8"/>
        <v>0.19999999999999998</v>
      </c>
      <c r="S71">
        <f t="shared" si="9"/>
        <v>2707.97</v>
      </c>
      <c r="T71">
        <f t="shared" si="10"/>
        <v>541.59399999999994</v>
      </c>
      <c r="U71">
        <f t="shared" si="11"/>
        <v>4</v>
      </c>
      <c r="V71" t="str">
        <f t="shared" si="12"/>
        <v>Q2</v>
      </c>
      <c r="W71" t="str">
        <f t="shared" si="13"/>
        <v>Apr-2024</v>
      </c>
      <c r="X71">
        <f t="shared" si="14"/>
        <v>595.75339999999994</v>
      </c>
      <c r="Y71" s="5">
        <f t="shared" si="15"/>
        <v>2112.2165999999997</v>
      </c>
      <c r="Z71" s="21">
        <f>DATE(K71,MATCH(J71,{"January","February","March","April","May","June","July","August","September","October","November","December"},0),1)</f>
        <v>45383</v>
      </c>
    </row>
    <row r="72" spans="1:26" x14ac:dyDescent="0.3">
      <c r="A72" s="4" t="s">
        <v>138</v>
      </c>
      <c r="B72" s="4" t="s">
        <v>30</v>
      </c>
      <c r="C72" s="4" t="s">
        <v>31</v>
      </c>
      <c r="D72" s="5">
        <v>23715.42</v>
      </c>
      <c r="E72" s="6">
        <v>4</v>
      </c>
      <c r="F72" s="5">
        <v>94861.68</v>
      </c>
      <c r="G72" s="1">
        <v>45375</v>
      </c>
      <c r="H72" t="s">
        <v>64</v>
      </c>
      <c r="I72">
        <v>2</v>
      </c>
      <c r="J72" t="s">
        <v>56</v>
      </c>
      <c r="K72">
        <v>2024</v>
      </c>
      <c r="L72">
        <v>18972.335999999999</v>
      </c>
      <c r="M72">
        <v>12</v>
      </c>
      <c r="N72" t="s">
        <v>20</v>
      </c>
      <c r="O72" t="s">
        <v>33</v>
      </c>
      <c r="P72">
        <f>FlipkartSales[[#This Row],[Price (INR)]]*FlipkartSales[[#This Row],[Quantity Sold]]</f>
        <v>94861.68</v>
      </c>
      <c r="Q72">
        <f>FlipkartSales[[#This Row],[Total Sales (INR)]]-FlipkartSales[[#This Row],[Calculated Sales]]</f>
        <v>0</v>
      </c>
      <c r="R72" s="9">
        <f t="shared" si="8"/>
        <v>0.2</v>
      </c>
      <c r="S72">
        <f t="shared" si="9"/>
        <v>23715.42</v>
      </c>
      <c r="T72">
        <f t="shared" si="10"/>
        <v>4743.0839999999998</v>
      </c>
      <c r="U72">
        <f t="shared" si="11"/>
        <v>3</v>
      </c>
      <c r="V72" t="str">
        <f t="shared" si="12"/>
        <v>Q1</v>
      </c>
      <c r="W72" t="str">
        <f t="shared" si="13"/>
        <v>Mar-2024</v>
      </c>
      <c r="X72">
        <f t="shared" si="14"/>
        <v>11383.401599999999</v>
      </c>
      <c r="Y72" s="5">
        <f t="shared" si="15"/>
        <v>83478.278399999996</v>
      </c>
      <c r="Z72" s="21">
        <f>DATE(K72,MATCH(J72,{"January","February","March","April","May","June","July","August","September","October","November","December"},0),1)</f>
        <v>45352</v>
      </c>
    </row>
    <row r="73" spans="1:26" x14ac:dyDescent="0.3">
      <c r="A73" s="4" t="s">
        <v>139</v>
      </c>
      <c r="B73" s="4" t="s">
        <v>55</v>
      </c>
      <c r="C73" s="4" t="s">
        <v>36</v>
      </c>
      <c r="D73" s="5">
        <v>9083.5</v>
      </c>
      <c r="E73" s="6">
        <v>2</v>
      </c>
      <c r="F73" s="5">
        <v>18167</v>
      </c>
      <c r="G73" s="1">
        <v>45478</v>
      </c>
      <c r="H73" t="s">
        <v>25</v>
      </c>
      <c r="I73">
        <v>1.8</v>
      </c>
      <c r="J73" t="s">
        <v>48</v>
      </c>
      <c r="K73">
        <v>2024</v>
      </c>
      <c r="L73">
        <v>3633.4</v>
      </c>
      <c r="M73">
        <v>8</v>
      </c>
      <c r="N73" t="s">
        <v>27</v>
      </c>
      <c r="O73" t="s">
        <v>21</v>
      </c>
      <c r="P73">
        <f>FlipkartSales[[#This Row],[Price (INR)]]*FlipkartSales[[#This Row],[Quantity Sold]]</f>
        <v>18167</v>
      </c>
      <c r="Q73">
        <f>FlipkartSales[[#This Row],[Total Sales (INR)]]-FlipkartSales[[#This Row],[Calculated Sales]]</f>
        <v>0</v>
      </c>
      <c r="R73" s="9">
        <f t="shared" si="8"/>
        <v>0.2</v>
      </c>
      <c r="S73">
        <f t="shared" si="9"/>
        <v>9083.5</v>
      </c>
      <c r="T73">
        <f t="shared" si="10"/>
        <v>1816.7</v>
      </c>
      <c r="U73">
        <f t="shared" si="11"/>
        <v>7</v>
      </c>
      <c r="V73" t="str">
        <f t="shared" si="12"/>
        <v>Q3</v>
      </c>
      <c r="W73" t="str">
        <f t="shared" si="13"/>
        <v>Jul-2024</v>
      </c>
      <c r="X73">
        <f t="shared" si="14"/>
        <v>1453.36</v>
      </c>
      <c r="Y73" s="5">
        <f t="shared" si="15"/>
        <v>16713.64</v>
      </c>
      <c r="Z73" s="21">
        <f>DATE(K73,MATCH(J73,{"January","February","March","April","May","June","July","August","September","October","November","December"},0),1)</f>
        <v>45474</v>
      </c>
    </row>
    <row r="74" spans="1:26" x14ac:dyDescent="0.3">
      <c r="A74" s="4" t="s">
        <v>140</v>
      </c>
      <c r="B74" s="4" t="s">
        <v>61</v>
      </c>
      <c r="C74" s="4" t="s">
        <v>31</v>
      </c>
      <c r="D74" s="5">
        <v>26379.35</v>
      </c>
      <c r="E74" s="6">
        <v>4</v>
      </c>
      <c r="F74" s="5">
        <v>105517.4</v>
      </c>
      <c r="G74" s="1">
        <v>45542</v>
      </c>
      <c r="H74" t="s">
        <v>25</v>
      </c>
      <c r="I74">
        <v>3</v>
      </c>
      <c r="J74" t="s">
        <v>19</v>
      </c>
      <c r="K74">
        <v>2024</v>
      </c>
      <c r="L74">
        <v>21103.48</v>
      </c>
      <c r="M74">
        <v>6</v>
      </c>
      <c r="N74" t="s">
        <v>27</v>
      </c>
      <c r="O74" t="s">
        <v>68</v>
      </c>
      <c r="P74">
        <f>FlipkartSales[[#This Row],[Price (INR)]]*FlipkartSales[[#This Row],[Quantity Sold]]</f>
        <v>105517.4</v>
      </c>
      <c r="Q74">
        <f>FlipkartSales[[#This Row],[Total Sales (INR)]]-FlipkartSales[[#This Row],[Calculated Sales]]</f>
        <v>0</v>
      </c>
      <c r="R74" s="9">
        <f t="shared" si="8"/>
        <v>0.2</v>
      </c>
      <c r="S74">
        <f t="shared" si="9"/>
        <v>26379.35</v>
      </c>
      <c r="T74">
        <f t="shared" si="10"/>
        <v>5275.87</v>
      </c>
      <c r="U74">
        <f t="shared" si="11"/>
        <v>9</v>
      </c>
      <c r="V74" t="str">
        <f t="shared" si="12"/>
        <v>Q3</v>
      </c>
      <c r="W74" t="str">
        <f t="shared" si="13"/>
        <v>Sep-2024</v>
      </c>
      <c r="X74">
        <f t="shared" si="14"/>
        <v>6331.043999999999</v>
      </c>
      <c r="Y74" s="5">
        <f t="shared" si="15"/>
        <v>99186.356</v>
      </c>
      <c r="Z74" s="21">
        <f>DATE(K74,MATCH(J74,{"January","February","March","April","May","June","July","August","September","October","November","December"},0),1)</f>
        <v>45536</v>
      </c>
    </row>
    <row r="75" spans="1:26" x14ac:dyDescent="0.3">
      <c r="A75" s="4" t="s">
        <v>141</v>
      </c>
      <c r="B75" s="4" t="s">
        <v>52</v>
      </c>
      <c r="C75" s="4" t="s">
        <v>24</v>
      </c>
      <c r="D75" s="5">
        <v>34023.96</v>
      </c>
      <c r="E75" s="6">
        <v>3</v>
      </c>
      <c r="F75" s="5">
        <v>102071.88</v>
      </c>
      <c r="G75" s="1">
        <v>45335</v>
      </c>
      <c r="H75" t="s">
        <v>71</v>
      </c>
      <c r="I75">
        <v>4.5999999999999996</v>
      </c>
      <c r="J75" t="s">
        <v>59</v>
      </c>
      <c r="K75">
        <v>2024</v>
      </c>
      <c r="L75">
        <v>20414.376000000004</v>
      </c>
      <c r="M75">
        <v>10</v>
      </c>
      <c r="N75" t="s">
        <v>20</v>
      </c>
      <c r="O75" t="s">
        <v>21</v>
      </c>
      <c r="P75">
        <f>FlipkartSales[[#This Row],[Price (INR)]]*FlipkartSales[[#This Row],[Quantity Sold]]</f>
        <v>102071.88</v>
      </c>
      <c r="Q75">
        <f>FlipkartSales[[#This Row],[Total Sales (INR)]]-FlipkartSales[[#This Row],[Calculated Sales]]</f>
        <v>0</v>
      </c>
      <c r="R75" s="9">
        <f t="shared" si="8"/>
        <v>0.20000000000000004</v>
      </c>
      <c r="S75">
        <f t="shared" si="9"/>
        <v>34023.96</v>
      </c>
      <c r="T75">
        <f t="shared" si="10"/>
        <v>6804.7920000000013</v>
      </c>
      <c r="U75">
        <f t="shared" si="11"/>
        <v>2</v>
      </c>
      <c r="V75" t="str">
        <f t="shared" si="12"/>
        <v>Q1</v>
      </c>
      <c r="W75" t="str">
        <f t="shared" si="13"/>
        <v>Feb-2024</v>
      </c>
      <c r="X75">
        <f t="shared" si="14"/>
        <v>10207.188</v>
      </c>
      <c r="Y75" s="5">
        <f t="shared" si="15"/>
        <v>91864.69200000001</v>
      </c>
      <c r="Z75" s="21">
        <f>DATE(K75,MATCH(J75,{"January","February","March","April","May","June","July","August","September","October","November","December"},0),1)</f>
        <v>45323</v>
      </c>
    </row>
    <row r="76" spans="1:26" x14ac:dyDescent="0.3">
      <c r="A76" s="4" t="s">
        <v>142</v>
      </c>
      <c r="B76" s="4" t="s">
        <v>47</v>
      </c>
      <c r="C76" s="4" t="s">
        <v>24</v>
      </c>
      <c r="D76" s="5">
        <v>1542.1</v>
      </c>
      <c r="E76" s="6">
        <v>4</v>
      </c>
      <c r="F76" s="5">
        <v>6168.4</v>
      </c>
      <c r="G76" s="1">
        <v>45529</v>
      </c>
      <c r="H76" t="s">
        <v>71</v>
      </c>
      <c r="I76">
        <v>1</v>
      </c>
      <c r="J76" t="s">
        <v>88</v>
      </c>
      <c r="K76">
        <v>2024</v>
      </c>
      <c r="L76">
        <v>1233.68</v>
      </c>
      <c r="M76">
        <v>26</v>
      </c>
      <c r="N76" t="s">
        <v>20</v>
      </c>
      <c r="O76" t="s">
        <v>28</v>
      </c>
      <c r="P76">
        <f>FlipkartSales[[#This Row],[Price (INR)]]*FlipkartSales[[#This Row],[Quantity Sold]]</f>
        <v>6168.4</v>
      </c>
      <c r="Q76">
        <f>FlipkartSales[[#This Row],[Total Sales (INR)]]-FlipkartSales[[#This Row],[Calculated Sales]]</f>
        <v>0</v>
      </c>
      <c r="R76" s="9">
        <f t="shared" si="8"/>
        <v>0.2</v>
      </c>
      <c r="S76">
        <f t="shared" si="9"/>
        <v>1542.1</v>
      </c>
      <c r="T76">
        <f t="shared" si="10"/>
        <v>308.42</v>
      </c>
      <c r="U76">
        <f t="shared" si="11"/>
        <v>8</v>
      </c>
      <c r="V76" t="str">
        <f t="shared" si="12"/>
        <v>Q3</v>
      </c>
      <c r="W76" t="str">
        <f t="shared" si="13"/>
        <v>Aug-2024</v>
      </c>
      <c r="X76">
        <f t="shared" si="14"/>
        <v>1603.7839999999999</v>
      </c>
      <c r="Y76" s="5">
        <f t="shared" si="15"/>
        <v>4564.616</v>
      </c>
      <c r="Z76" s="21">
        <f>DATE(K76,MATCH(J76,{"January","February","March","April","May","June","July","August","September","October","November","December"},0),1)</f>
        <v>45505</v>
      </c>
    </row>
    <row r="77" spans="1:26" x14ac:dyDescent="0.3">
      <c r="A77" s="4" t="s">
        <v>143</v>
      </c>
      <c r="B77" s="4" t="s">
        <v>118</v>
      </c>
      <c r="C77" s="4" t="s">
        <v>17</v>
      </c>
      <c r="D77" s="5">
        <v>42981.08</v>
      </c>
      <c r="E77" s="6">
        <v>3</v>
      </c>
      <c r="F77" s="5">
        <v>128943.24</v>
      </c>
      <c r="G77" s="1">
        <v>45376</v>
      </c>
      <c r="H77" t="s">
        <v>64</v>
      </c>
      <c r="I77">
        <v>3.8</v>
      </c>
      <c r="J77" t="s">
        <v>56</v>
      </c>
      <c r="K77">
        <v>2024</v>
      </c>
      <c r="L77">
        <v>25788.648000000001</v>
      </c>
      <c r="M77">
        <v>14</v>
      </c>
      <c r="N77" t="s">
        <v>27</v>
      </c>
      <c r="O77" t="s">
        <v>28</v>
      </c>
      <c r="P77">
        <f>FlipkartSales[[#This Row],[Price (INR)]]*FlipkartSales[[#This Row],[Quantity Sold]]</f>
        <v>128943.24</v>
      </c>
      <c r="Q77">
        <f>FlipkartSales[[#This Row],[Total Sales (INR)]]-FlipkartSales[[#This Row],[Calculated Sales]]</f>
        <v>0</v>
      </c>
      <c r="R77" s="9">
        <f t="shared" si="8"/>
        <v>0.2</v>
      </c>
      <c r="S77">
        <f t="shared" si="9"/>
        <v>42981.08</v>
      </c>
      <c r="T77">
        <f t="shared" si="10"/>
        <v>8596.2160000000003</v>
      </c>
      <c r="U77">
        <f t="shared" si="11"/>
        <v>3</v>
      </c>
      <c r="V77" t="str">
        <f t="shared" si="12"/>
        <v>Q1</v>
      </c>
      <c r="W77" t="str">
        <f t="shared" si="13"/>
        <v>Mar-2024</v>
      </c>
      <c r="X77">
        <f t="shared" si="14"/>
        <v>18052.053599999999</v>
      </c>
      <c r="Y77" s="5">
        <f t="shared" si="15"/>
        <v>110891.18640000001</v>
      </c>
      <c r="Z77" s="21">
        <f>DATE(K77,MATCH(J77,{"January","February","March","April","May","June","July","August","September","October","November","December"},0),1)</f>
        <v>45352</v>
      </c>
    </row>
    <row r="78" spans="1:26" x14ac:dyDescent="0.3">
      <c r="A78" s="4" t="s">
        <v>144</v>
      </c>
      <c r="B78" s="4" t="s">
        <v>145</v>
      </c>
      <c r="C78" s="4" t="s">
        <v>40</v>
      </c>
      <c r="D78" s="5">
        <v>46338.29</v>
      </c>
      <c r="E78" s="6">
        <v>5</v>
      </c>
      <c r="F78" s="5">
        <v>231691.45</v>
      </c>
      <c r="G78" s="1">
        <v>45373</v>
      </c>
      <c r="H78" t="s">
        <v>64</v>
      </c>
      <c r="I78">
        <v>3.4</v>
      </c>
      <c r="J78" t="s">
        <v>56</v>
      </c>
      <c r="K78">
        <v>2024</v>
      </c>
      <c r="L78">
        <v>46338.290000000008</v>
      </c>
      <c r="M78">
        <v>8</v>
      </c>
      <c r="N78" t="s">
        <v>27</v>
      </c>
      <c r="O78" t="s">
        <v>28</v>
      </c>
      <c r="P78">
        <f>FlipkartSales[[#This Row],[Price (INR)]]*FlipkartSales[[#This Row],[Quantity Sold]]</f>
        <v>231691.45</v>
      </c>
      <c r="Q78">
        <f>FlipkartSales[[#This Row],[Total Sales (INR)]]-FlipkartSales[[#This Row],[Calculated Sales]]</f>
        <v>0</v>
      </c>
      <c r="R78" s="9">
        <f t="shared" si="8"/>
        <v>0.20000000000000004</v>
      </c>
      <c r="S78">
        <f t="shared" si="9"/>
        <v>46338.29</v>
      </c>
      <c r="T78">
        <f t="shared" si="10"/>
        <v>9267.6580000000013</v>
      </c>
      <c r="U78">
        <f t="shared" si="11"/>
        <v>3</v>
      </c>
      <c r="V78" t="str">
        <f t="shared" si="12"/>
        <v>Q1</v>
      </c>
      <c r="W78" t="str">
        <f t="shared" si="13"/>
        <v>Mar-2024</v>
      </c>
      <c r="X78">
        <f t="shared" si="14"/>
        <v>18535.316000000003</v>
      </c>
      <c r="Y78" s="5">
        <f t="shared" si="15"/>
        <v>213156.13400000002</v>
      </c>
      <c r="Z78" s="21">
        <f>DATE(K78,MATCH(J78,{"January","February","March","April","May","June","July","August","September","October","November","December"},0),1)</f>
        <v>45352</v>
      </c>
    </row>
    <row r="79" spans="1:26" x14ac:dyDescent="0.3">
      <c r="A79" s="4" t="s">
        <v>146</v>
      </c>
      <c r="B79" s="4" t="s">
        <v>107</v>
      </c>
      <c r="C79" s="4" t="s">
        <v>36</v>
      </c>
      <c r="D79" s="5">
        <v>34161.440000000002</v>
      </c>
      <c r="E79" s="6">
        <v>1</v>
      </c>
      <c r="F79" s="5">
        <v>34161.440000000002</v>
      </c>
      <c r="G79" s="1">
        <v>45473</v>
      </c>
      <c r="H79" t="s">
        <v>44</v>
      </c>
      <c r="I79">
        <v>2.4</v>
      </c>
      <c r="J79" t="s">
        <v>67</v>
      </c>
      <c r="K79">
        <v>2024</v>
      </c>
      <c r="L79">
        <v>6832.2880000000005</v>
      </c>
      <c r="M79">
        <v>26</v>
      </c>
      <c r="N79" t="s">
        <v>41</v>
      </c>
      <c r="O79" t="s">
        <v>68</v>
      </c>
      <c r="P79">
        <f>FlipkartSales[[#This Row],[Price (INR)]]*FlipkartSales[[#This Row],[Quantity Sold]]</f>
        <v>34161.440000000002</v>
      </c>
      <c r="Q79">
        <f>FlipkartSales[[#This Row],[Total Sales (INR)]]-FlipkartSales[[#This Row],[Calculated Sales]]</f>
        <v>0</v>
      </c>
      <c r="R79" s="9">
        <f t="shared" si="8"/>
        <v>0.2</v>
      </c>
      <c r="S79">
        <f t="shared" si="9"/>
        <v>34161.440000000002</v>
      </c>
      <c r="T79">
        <f t="shared" si="10"/>
        <v>6832.2880000000005</v>
      </c>
      <c r="U79">
        <f t="shared" si="11"/>
        <v>6</v>
      </c>
      <c r="V79" t="str">
        <f t="shared" si="12"/>
        <v>Q2</v>
      </c>
      <c r="W79" t="str">
        <f t="shared" si="13"/>
        <v>Jun-2024</v>
      </c>
      <c r="X79">
        <f t="shared" si="14"/>
        <v>8881.974400000001</v>
      </c>
      <c r="Y79" s="5">
        <f t="shared" si="15"/>
        <v>25279.465600000003</v>
      </c>
      <c r="Z79" s="21">
        <f>DATE(K79,MATCH(J79,{"January","February","March","April","May","June","July","August","September","October","November","December"},0),1)</f>
        <v>45444</v>
      </c>
    </row>
    <row r="80" spans="1:26" x14ac:dyDescent="0.3">
      <c r="A80" s="4" t="s">
        <v>147</v>
      </c>
      <c r="B80" s="4" t="s">
        <v>61</v>
      </c>
      <c r="C80" s="4" t="s">
        <v>31</v>
      </c>
      <c r="D80" s="5">
        <v>21317.31</v>
      </c>
      <c r="E80" s="6">
        <v>5</v>
      </c>
      <c r="F80" s="5">
        <v>106586.55</v>
      </c>
      <c r="G80" s="1">
        <v>45489</v>
      </c>
      <c r="H80" t="s">
        <v>71</v>
      </c>
      <c r="I80">
        <v>4</v>
      </c>
      <c r="J80" t="s">
        <v>48</v>
      </c>
      <c r="K80">
        <v>2024</v>
      </c>
      <c r="L80">
        <v>21317.31</v>
      </c>
      <c r="M80">
        <v>22</v>
      </c>
      <c r="N80" t="s">
        <v>27</v>
      </c>
      <c r="O80" t="s">
        <v>33</v>
      </c>
      <c r="P80">
        <f>FlipkartSales[[#This Row],[Price (INR)]]*FlipkartSales[[#This Row],[Quantity Sold]]</f>
        <v>106586.55</v>
      </c>
      <c r="Q80">
        <f>FlipkartSales[[#This Row],[Total Sales (INR)]]-FlipkartSales[[#This Row],[Calculated Sales]]</f>
        <v>0</v>
      </c>
      <c r="R80" s="9">
        <f t="shared" si="8"/>
        <v>0.2</v>
      </c>
      <c r="S80">
        <f t="shared" si="9"/>
        <v>21317.31</v>
      </c>
      <c r="T80">
        <f t="shared" si="10"/>
        <v>4263.4620000000004</v>
      </c>
      <c r="U80">
        <f t="shared" si="11"/>
        <v>7</v>
      </c>
      <c r="V80" t="str">
        <f t="shared" si="12"/>
        <v>Q3</v>
      </c>
      <c r="W80" t="str">
        <f t="shared" si="13"/>
        <v>Jul-2024</v>
      </c>
      <c r="X80">
        <f t="shared" si="14"/>
        <v>23449.041000000001</v>
      </c>
      <c r="Y80" s="5">
        <f t="shared" si="15"/>
        <v>83137.509000000005</v>
      </c>
      <c r="Z80" s="21">
        <f>DATE(K80,MATCH(J80,{"January","February","March","April","May","June","July","August","September","October","November","December"},0),1)</f>
        <v>45474</v>
      </c>
    </row>
    <row r="81" spans="1:26" x14ac:dyDescent="0.3">
      <c r="A81" s="4" t="s">
        <v>148</v>
      </c>
      <c r="B81" s="4" t="s">
        <v>30</v>
      </c>
      <c r="C81" s="4" t="s">
        <v>31</v>
      </c>
      <c r="D81" s="5">
        <v>46011.839999999997</v>
      </c>
      <c r="E81" s="6">
        <v>4</v>
      </c>
      <c r="F81" s="5">
        <v>184047.35999999999</v>
      </c>
      <c r="G81" s="1">
        <v>45413</v>
      </c>
      <c r="H81" t="s">
        <v>64</v>
      </c>
      <c r="I81">
        <v>3.3</v>
      </c>
      <c r="J81" t="s">
        <v>32</v>
      </c>
      <c r="K81">
        <v>2024</v>
      </c>
      <c r="L81">
        <v>36809.472000000002</v>
      </c>
      <c r="M81">
        <v>30</v>
      </c>
      <c r="N81" t="s">
        <v>27</v>
      </c>
      <c r="O81" t="s">
        <v>68</v>
      </c>
      <c r="P81">
        <f>FlipkartSales[[#This Row],[Price (INR)]]*FlipkartSales[[#This Row],[Quantity Sold]]</f>
        <v>184047.35999999999</v>
      </c>
      <c r="Q81">
        <f>FlipkartSales[[#This Row],[Total Sales (INR)]]-FlipkartSales[[#This Row],[Calculated Sales]]</f>
        <v>0</v>
      </c>
      <c r="R81" s="9">
        <f t="shared" si="8"/>
        <v>0.2</v>
      </c>
      <c r="S81">
        <f t="shared" si="9"/>
        <v>46011.839999999997</v>
      </c>
      <c r="T81">
        <f t="shared" si="10"/>
        <v>9202.3680000000004</v>
      </c>
      <c r="U81">
        <f t="shared" si="11"/>
        <v>5</v>
      </c>
      <c r="V81" t="str">
        <f t="shared" si="12"/>
        <v>Q2</v>
      </c>
      <c r="W81" t="str">
        <f t="shared" si="13"/>
        <v>May-2024</v>
      </c>
      <c r="X81">
        <f t="shared" si="14"/>
        <v>55214.207999999999</v>
      </c>
      <c r="Y81" s="5">
        <f t="shared" si="15"/>
        <v>128833.15199999999</v>
      </c>
      <c r="Z81" s="21">
        <f>DATE(K81,MATCH(J81,{"January","February","March","April","May","June","July","August","September","October","November","December"},0),1)</f>
        <v>45413</v>
      </c>
    </row>
    <row r="82" spans="1:26" x14ac:dyDescent="0.3">
      <c r="A82" s="4" t="s">
        <v>149</v>
      </c>
      <c r="B82" s="4" t="s">
        <v>58</v>
      </c>
      <c r="C82" s="4" t="s">
        <v>31</v>
      </c>
      <c r="D82" s="5">
        <v>2097.9899999999998</v>
      </c>
      <c r="E82" s="6">
        <v>1</v>
      </c>
      <c r="F82" s="5">
        <v>2097.9899999999998</v>
      </c>
      <c r="G82" s="1">
        <v>45697</v>
      </c>
      <c r="H82" t="s">
        <v>18</v>
      </c>
      <c r="I82">
        <v>3.2</v>
      </c>
      <c r="J82" t="s">
        <v>59</v>
      </c>
      <c r="K82">
        <v>2025</v>
      </c>
      <c r="L82">
        <v>419.59799999999996</v>
      </c>
      <c r="M82">
        <v>16</v>
      </c>
      <c r="N82" t="s">
        <v>20</v>
      </c>
      <c r="O82" t="s">
        <v>68</v>
      </c>
      <c r="P82">
        <f>FlipkartSales[[#This Row],[Price (INR)]]*FlipkartSales[[#This Row],[Quantity Sold]]</f>
        <v>2097.9899999999998</v>
      </c>
      <c r="Q82">
        <f>FlipkartSales[[#This Row],[Total Sales (INR)]]-FlipkartSales[[#This Row],[Calculated Sales]]</f>
        <v>0</v>
      </c>
      <c r="R82" s="9">
        <f t="shared" si="8"/>
        <v>0.2</v>
      </c>
      <c r="S82">
        <f t="shared" si="9"/>
        <v>2097.9899999999998</v>
      </c>
      <c r="T82">
        <f t="shared" si="10"/>
        <v>419.59799999999996</v>
      </c>
      <c r="U82">
        <f t="shared" si="11"/>
        <v>2</v>
      </c>
      <c r="V82" t="str">
        <f t="shared" si="12"/>
        <v>Q1</v>
      </c>
      <c r="W82" t="str">
        <f t="shared" si="13"/>
        <v>Feb-2025</v>
      </c>
      <c r="X82">
        <f t="shared" si="14"/>
        <v>335.67839999999995</v>
      </c>
      <c r="Y82" s="5">
        <f t="shared" si="15"/>
        <v>1762.3115999999998</v>
      </c>
      <c r="Z82" s="21">
        <f>DATE(K82,MATCH(J82,{"January","February","March","April","May","June","July","August","September","October","November","December"},0),1)</f>
        <v>45689</v>
      </c>
    </row>
    <row r="83" spans="1:26" x14ac:dyDescent="0.3">
      <c r="A83" s="4" t="s">
        <v>150</v>
      </c>
      <c r="B83" s="4" t="s">
        <v>66</v>
      </c>
      <c r="C83" s="4" t="s">
        <v>36</v>
      </c>
      <c r="D83" s="5">
        <v>17104.91</v>
      </c>
      <c r="E83" s="6">
        <v>3</v>
      </c>
      <c r="F83" s="5">
        <v>51314.73</v>
      </c>
      <c r="G83" s="1">
        <v>45636</v>
      </c>
      <c r="H83" t="s">
        <v>71</v>
      </c>
      <c r="I83">
        <v>2.7</v>
      </c>
      <c r="J83" t="s">
        <v>26</v>
      </c>
      <c r="K83">
        <v>2024</v>
      </c>
      <c r="L83">
        <v>10262.946000000002</v>
      </c>
      <c r="M83">
        <v>6</v>
      </c>
      <c r="N83" t="s">
        <v>27</v>
      </c>
      <c r="O83" t="s">
        <v>33</v>
      </c>
      <c r="P83">
        <f>FlipkartSales[[#This Row],[Price (INR)]]*FlipkartSales[[#This Row],[Quantity Sold]]</f>
        <v>51314.729999999996</v>
      </c>
      <c r="Q83">
        <f>FlipkartSales[[#This Row],[Total Sales (INR)]]-FlipkartSales[[#This Row],[Calculated Sales]]</f>
        <v>0</v>
      </c>
      <c r="R83" s="9">
        <f t="shared" si="8"/>
        <v>0.2</v>
      </c>
      <c r="S83">
        <f t="shared" si="9"/>
        <v>17104.91</v>
      </c>
      <c r="T83">
        <f t="shared" si="10"/>
        <v>3420.9820000000004</v>
      </c>
      <c r="U83">
        <f t="shared" si="11"/>
        <v>12</v>
      </c>
      <c r="V83" t="str">
        <f t="shared" si="12"/>
        <v>Q4</v>
      </c>
      <c r="W83" t="str">
        <f t="shared" si="13"/>
        <v>Dec-2024</v>
      </c>
      <c r="X83">
        <f t="shared" si="14"/>
        <v>3078.8838000000001</v>
      </c>
      <c r="Y83" s="5">
        <f t="shared" si="15"/>
        <v>48235.8462</v>
      </c>
      <c r="Z83" s="21">
        <f>DATE(K83,MATCH(J83,{"January","February","March","April","May","June","July","August","September","October","November","December"},0),1)</f>
        <v>45627</v>
      </c>
    </row>
    <row r="84" spans="1:26" x14ac:dyDescent="0.3">
      <c r="A84" s="4" t="s">
        <v>151</v>
      </c>
      <c r="B84" s="4" t="s">
        <v>145</v>
      </c>
      <c r="C84" s="4" t="s">
        <v>40</v>
      </c>
      <c r="D84" s="5">
        <v>29326.6</v>
      </c>
      <c r="E84" s="6">
        <v>3</v>
      </c>
      <c r="F84" s="5">
        <v>87979.8</v>
      </c>
      <c r="G84" s="1">
        <v>45603</v>
      </c>
      <c r="H84" t="s">
        <v>71</v>
      </c>
      <c r="I84">
        <v>4.9000000000000004</v>
      </c>
      <c r="J84" t="s">
        <v>37</v>
      </c>
      <c r="K84">
        <v>2024</v>
      </c>
      <c r="L84">
        <v>17595.960000000003</v>
      </c>
      <c r="M84">
        <v>14</v>
      </c>
      <c r="N84" t="s">
        <v>41</v>
      </c>
      <c r="O84" t="s">
        <v>21</v>
      </c>
      <c r="P84">
        <f>FlipkartSales[[#This Row],[Price (INR)]]*FlipkartSales[[#This Row],[Quantity Sold]]</f>
        <v>87979.799999999988</v>
      </c>
      <c r="Q84">
        <f>FlipkartSales[[#This Row],[Total Sales (INR)]]-FlipkartSales[[#This Row],[Calculated Sales]]</f>
        <v>0</v>
      </c>
      <c r="R84" s="9">
        <f t="shared" si="8"/>
        <v>0.2</v>
      </c>
      <c r="S84">
        <f t="shared" si="9"/>
        <v>29326.600000000002</v>
      </c>
      <c r="T84">
        <f t="shared" si="10"/>
        <v>5865.3200000000006</v>
      </c>
      <c r="U84">
        <f t="shared" si="11"/>
        <v>11</v>
      </c>
      <c r="V84" t="str">
        <f t="shared" si="12"/>
        <v>Q4</v>
      </c>
      <c r="W84" t="str">
        <f t="shared" si="13"/>
        <v>Nov-2024</v>
      </c>
      <c r="X84">
        <f t="shared" si="14"/>
        <v>12317.171999999999</v>
      </c>
      <c r="Y84" s="5">
        <f t="shared" si="15"/>
        <v>75662.627999999997</v>
      </c>
      <c r="Z84" s="21">
        <f>DATE(K84,MATCH(J84,{"January","February","March","April","May","June","July","August","September","October","November","December"},0),1)</f>
        <v>45597</v>
      </c>
    </row>
    <row r="85" spans="1:26" x14ac:dyDescent="0.3">
      <c r="A85" s="4" t="s">
        <v>152</v>
      </c>
      <c r="B85" s="4" t="s">
        <v>107</v>
      </c>
      <c r="C85" s="4" t="s">
        <v>36</v>
      </c>
      <c r="D85" s="5">
        <v>28892.73</v>
      </c>
      <c r="E85" s="6">
        <v>4</v>
      </c>
      <c r="F85" s="5">
        <v>115570.92</v>
      </c>
      <c r="G85" s="1">
        <v>45607</v>
      </c>
      <c r="H85" t="s">
        <v>64</v>
      </c>
      <c r="I85">
        <v>1.3</v>
      </c>
      <c r="J85" t="s">
        <v>37</v>
      </c>
      <c r="K85">
        <v>2024</v>
      </c>
      <c r="L85">
        <v>23114.184000000001</v>
      </c>
      <c r="M85">
        <v>8</v>
      </c>
      <c r="N85" t="s">
        <v>27</v>
      </c>
      <c r="O85" t="s">
        <v>28</v>
      </c>
      <c r="P85">
        <f>FlipkartSales[[#This Row],[Price (INR)]]*FlipkartSales[[#This Row],[Quantity Sold]]</f>
        <v>115570.92</v>
      </c>
      <c r="Q85">
        <f>FlipkartSales[[#This Row],[Total Sales (INR)]]-FlipkartSales[[#This Row],[Calculated Sales]]</f>
        <v>0</v>
      </c>
      <c r="R85" s="9">
        <f t="shared" si="8"/>
        <v>0.2</v>
      </c>
      <c r="S85">
        <f t="shared" si="9"/>
        <v>28892.73</v>
      </c>
      <c r="T85">
        <f t="shared" si="10"/>
        <v>5778.5460000000003</v>
      </c>
      <c r="U85">
        <f t="shared" si="11"/>
        <v>11</v>
      </c>
      <c r="V85" t="str">
        <f t="shared" si="12"/>
        <v>Q4</v>
      </c>
      <c r="W85" t="str">
        <f t="shared" si="13"/>
        <v>Nov-2024</v>
      </c>
      <c r="X85">
        <f t="shared" si="14"/>
        <v>9245.6736000000001</v>
      </c>
      <c r="Y85" s="5">
        <f t="shared" si="15"/>
        <v>106325.2464</v>
      </c>
      <c r="Z85" s="21">
        <f>DATE(K85,MATCH(J85,{"January","February","March","April","May","June","July","August","September","October","November","December"},0),1)</f>
        <v>45597</v>
      </c>
    </row>
    <row r="86" spans="1:26" x14ac:dyDescent="0.3">
      <c r="A86" s="4" t="s">
        <v>153</v>
      </c>
      <c r="B86" s="4" t="s">
        <v>55</v>
      </c>
      <c r="C86" s="4" t="s">
        <v>36</v>
      </c>
      <c r="D86" s="5">
        <v>35033.120000000003</v>
      </c>
      <c r="E86" s="6">
        <v>4</v>
      </c>
      <c r="F86" s="5">
        <v>140132.48000000001</v>
      </c>
      <c r="G86" s="1">
        <v>45629</v>
      </c>
      <c r="H86" t="s">
        <v>25</v>
      </c>
      <c r="I86">
        <v>4.7</v>
      </c>
      <c r="J86" t="s">
        <v>26</v>
      </c>
      <c r="K86">
        <v>2024</v>
      </c>
      <c r="L86">
        <v>28026.496000000003</v>
      </c>
      <c r="M86">
        <v>18</v>
      </c>
      <c r="N86" t="s">
        <v>20</v>
      </c>
      <c r="O86" t="s">
        <v>21</v>
      </c>
      <c r="P86">
        <f>FlipkartSales[[#This Row],[Price (INR)]]*FlipkartSales[[#This Row],[Quantity Sold]]</f>
        <v>140132.48000000001</v>
      </c>
      <c r="Q86">
        <f>FlipkartSales[[#This Row],[Total Sales (INR)]]-FlipkartSales[[#This Row],[Calculated Sales]]</f>
        <v>0</v>
      </c>
      <c r="R86" s="9">
        <f t="shared" si="8"/>
        <v>0.2</v>
      </c>
      <c r="S86">
        <f t="shared" si="9"/>
        <v>35033.120000000003</v>
      </c>
      <c r="T86">
        <f t="shared" si="10"/>
        <v>7006.6240000000007</v>
      </c>
      <c r="U86">
        <f t="shared" si="11"/>
        <v>12</v>
      </c>
      <c r="V86" t="str">
        <f t="shared" si="12"/>
        <v>Q4</v>
      </c>
      <c r="W86" t="str">
        <f t="shared" si="13"/>
        <v>Dec-2024</v>
      </c>
      <c r="X86">
        <f t="shared" si="14"/>
        <v>25223.846400000002</v>
      </c>
      <c r="Y86" s="5">
        <f t="shared" si="15"/>
        <v>114908.6336</v>
      </c>
      <c r="Z86" s="21">
        <f>DATE(K86,MATCH(J86,{"January","February","March","April","May","June","July","August","September","October","November","December"},0),1)</f>
        <v>45627</v>
      </c>
    </row>
    <row r="87" spans="1:26" x14ac:dyDescent="0.3">
      <c r="A87" s="4" t="s">
        <v>154</v>
      </c>
      <c r="B87" s="4" t="s">
        <v>23</v>
      </c>
      <c r="C87" s="4" t="s">
        <v>24</v>
      </c>
      <c r="D87" s="5">
        <v>40069.300000000003</v>
      </c>
      <c r="E87" s="6">
        <v>3</v>
      </c>
      <c r="F87" s="5">
        <v>120207.9</v>
      </c>
      <c r="G87" s="1">
        <v>45592</v>
      </c>
      <c r="H87" t="s">
        <v>18</v>
      </c>
      <c r="I87">
        <v>2.4</v>
      </c>
      <c r="J87" t="s">
        <v>45</v>
      </c>
      <c r="K87">
        <v>2024</v>
      </c>
      <c r="L87">
        <v>24041.58</v>
      </c>
      <c r="M87">
        <v>20</v>
      </c>
      <c r="N87" t="s">
        <v>20</v>
      </c>
      <c r="O87" t="s">
        <v>28</v>
      </c>
      <c r="P87">
        <f>FlipkartSales[[#This Row],[Price (INR)]]*FlipkartSales[[#This Row],[Quantity Sold]]</f>
        <v>120207.90000000001</v>
      </c>
      <c r="Q87">
        <f>FlipkartSales[[#This Row],[Total Sales (INR)]]-FlipkartSales[[#This Row],[Calculated Sales]]</f>
        <v>0</v>
      </c>
      <c r="R87" s="9">
        <f t="shared" si="8"/>
        <v>0.2</v>
      </c>
      <c r="S87">
        <f t="shared" si="9"/>
        <v>40069.299999999996</v>
      </c>
      <c r="T87">
        <f t="shared" si="10"/>
        <v>8013.8600000000006</v>
      </c>
      <c r="U87">
        <f t="shared" si="11"/>
        <v>10</v>
      </c>
      <c r="V87" t="str">
        <f t="shared" si="12"/>
        <v>Q4</v>
      </c>
      <c r="W87" t="str">
        <f t="shared" si="13"/>
        <v>Oct-2024</v>
      </c>
      <c r="X87">
        <f t="shared" si="14"/>
        <v>24041.58</v>
      </c>
      <c r="Y87" s="5">
        <f t="shared" si="15"/>
        <v>96166.319999999992</v>
      </c>
      <c r="Z87" s="21">
        <f>DATE(K87,MATCH(J87,{"January","February","March","April","May","June","July","August","September","October","November","December"},0),1)</f>
        <v>45566</v>
      </c>
    </row>
    <row r="88" spans="1:26" x14ac:dyDescent="0.3">
      <c r="A88" s="4" t="s">
        <v>155</v>
      </c>
      <c r="B88" s="4" t="s">
        <v>70</v>
      </c>
      <c r="C88" s="4" t="s">
        <v>17</v>
      </c>
      <c r="D88" s="5">
        <v>20613.14</v>
      </c>
      <c r="E88" s="6">
        <v>4</v>
      </c>
      <c r="F88" s="5">
        <v>82452.56</v>
      </c>
      <c r="G88" s="1">
        <v>45442</v>
      </c>
      <c r="H88" t="s">
        <v>25</v>
      </c>
      <c r="I88">
        <v>3.4</v>
      </c>
      <c r="J88" t="s">
        <v>32</v>
      </c>
      <c r="K88">
        <v>2024</v>
      </c>
      <c r="L88">
        <v>16490.511999999999</v>
      </c>
      <c r="M88">
        <v>19</v>
      </c>
      <c r="N88" t="s">
        <v>27</v>
      </c>
      <c r="O88" t="s">
        <v>68</v>
      </c>
      <c r="P88">
        <f>FlipkartSales[[#This Row],[Price (INR)]]*FlipkartSales[[#This Row],[Quantity Sold]]</f>
        <v>82452.56</v>
      </c>
      <c r="Q88">
        <f>FlipkartSales[[#This Row],[Total Sales (INR)]]-FlipkartSales[[#This Row],[Calculated Sales]]</f>
        <v>0</v>
      </c>
      <c r="R88" s="9">
        <f t="shared" si="8"/>
        <v>0.19999999999999998</v>
      </c>
      <c r="S88">
        <f t="shared" si="9"/>
        <v>20613.14</v>
      </c>
      <c r="T88">
        <f t="shared" si="10"/>
        <v>4122.6279999999997</v>
      </c>
      <c r="U88">
        <f t="shared" si="11"/>
        <v>5</v>
      </c>
      <c r="V88" t="str">
        <f t="shared" si="12"/>
        <v>Q2</v>
      </c>
      <c r="W88" t="str">
        <f t="shared" si="13"/>
        <v>May-2024</v>
      </c>
      <c r="X88">
        <f t="shared" si="14"/>
        <v>15665.9864</v>
      </c>
      <c r="Y88" s="5">
        <f t="shared" si="15"/>
        <v>66786.573600000003</v>
      </c>
      <c r="Z88" s="21">
        <f>DATE(K88,MATCH(J88,{"January","February","March","April","May","June","July","August","September","October","November","December"},0),1)</f>
        <v>45413</v>
      </c>
    </row>
    <row r="89" spans="1:26" x14ac:dyDescent="0.3">
      <c r="A89" s="4" t="s">
        <v>156</v>
      </c>
      <c r="B89" s="4" t="s">
        <v>39</v>
      </c>
      <c r="C89" s="4" t="s">
        <v>40</v>
      </c>
      <c r="D89" s="5">
        <v>3432</v>
      </c>
      <c r="E89" s="6">
        <v>5</v>
      </c>
      <c r="F89" s="5">
        <v>17160</v>
      </c>
      <c r="G89" s="1">
        <v>45394</v>
      </c>
      <c r="H89" t="s">
        <v>71</v>
      </c>
      <c r="I89">
        <v>3.4</v>
      </c>
      <c r="J89" t="s">
        <v>62</v>
      </c>
      <c r="K89">
        <v>2024</v>
      </c>
      <c r="L89">
        <v>3432</v>
      </c>
      <c r="M89">
        <v>12</v>
      </c>
      <c r="N89" t="s">
        <v>20</v>
      </c>
      <c r="O89" t="s">
        <v>28</v>
      </c>
      <c r="P89">
        <f>FlipkartSales[[#This Row],[Price (INR)]]*FlipkartSales[[#This Row],[Quantity Sold]]</f>
        <v>17160</v>
      </c>
      <c r="Q89">
        <f>FlipkartSales[[#This Row],[Total Sales (INR)]]-FlipkartSales[[#This Row],[Calculated Sales]]</f>
        <v>0</v>
      </c>
      <c r="R89" s="9">
        <f t="shared" si="8"/>
        <v>0.2</v>
      </c>
      <c r="S89">
        <f t="shared" si="9"/>
        <v>3432</v>
      </c>
      <c r="T89">
        <f t="shared" si="10"/>
        <v>686.4</v>
      </c>
      <c r="U89">
        <f t="shared" si="11"/>
        <v>4</v>
      </c>
      <c r="V89" t="str">
        <f t="shared" si="12"/>
        <v>Q2</v>
      </c>
      <c r="W89" t="str">
        <f t="shared" si="13"/>
        <v>Apr-2024</v>
      </c>
      <c r="X89">
        <f t="shared" si="14"/>
        <v>2059.1999999999998</v>
      </c>
      <c r="Y89" s="5">
        <f t="shared" si="15"/>
        <v>15100.8</v>
      </c>
      <c r="Z89" s="21">
        <f>DATE(K89,MATCH(J89,{"January","February","March","April","May","June","July","August","September","October","November","December"},0),1)</f>
        <v>45383</v>
      </c>
    </row>
    <row r="90" spans="1:26" x14ac:dyDescent="0.3">
      <c r="A90" s="4" t="s">
        <v>157</v>
      </c>
      <c r="B90" s="4" t="s">
        <v>100</v>
      </c>
      <c r="C90" s="4" t="s">
        <v>31</v>
      </c>
      <c r="D90" s="5">
        <v>25752.65</v>
      </c>
      <c r="E90" s="6">
        <v>3</v>
      </c>
      <c r="F90" s="5">
        <v>77257.95</v>
      </c>
      <c r="G90" s="1">
        <v>45471</v>
      </c>
      <c r="H90" t="s">
        <v>80</v>
      </c>
      <c r="I90">
        <v>2.5</v>
      </c>
      <c r="J90" t="s">
        <v>67</v>
      </c>
      <c r="K90">
        <v>2024</v>
      </c>
      <c r="L90">
        <v>15451.59</v>
      </c>
      <c r="M90">
        <v>18</v>
      </c>
      <c r="N90" t="s">
        <v>41</v>
      </c>
      <c r="O90" t="s">
        <v>68</v>
      </c>
      <c r="P90">
        <f>FlipkartSales[[#This Row],[Price (INR)]]*FlipkartSales[[#This Row],[Quantity Sold]]</f>
        <v>77257.950000000012</v>
      </c>
      <c r="Q90">
        <f>FlipkartSales[[#This Row],[Total Sales (INR)]]-FlipkartSales[[#This Row],[Calculated Sales]]</f>
        <v>0</v>
      </c>
      <c r="R90" s="9">
        <f t="shared" si="8"/>
        <v>0.2</v>
      </c>
      <c r="S90">
        <f t="shared" si="9"/>
        <v>25752.649999999998</v>
      </c>
      <c r="T90">
        <f t="shared" si="10"/>
        <v>5150.53</v>
      </c>
      <c r="U90">
        <f t="shared" si="11"/>
        <v>6</v>
      </c>
      <c r="V90" t="str">
        <f t="shared" si="12"/>
        <v>Q2</v>
      </c>
      <c r="W90" t="str">
        <f t="shared" si="13"/>
        <v>Jun-2024</v>
      </c>
      <c r="X90">
        <f t="shared" si="14"/>
        <v>13906.430999999999</v>
      </c>
      <c r="Y90" s="5">
        <f t="shared" si="15"/>
        <v>63351.519</v>
      </c>
      <c r="Z90" s="21">
        <f>DATE(K90,MATCH(J90,{"January","February","March","April","May","June","July","August","September","October","November","December"},0),1)</f>
        <v>45444</v>
      </c>
    </row>
    <row r="91" spans="1:26" x14ac:dyDescent="0.3">
      <c r="A91" s="4" t="s">
        <v>158</v>
      </c>
      <c r="B91" s="4" t="s">
        <v>35</v>
      </c>
      <c r="C91" s="4" t="s">
        <v>36</v>
      </c>
      <c r="D91" s="5">
        <v>30238.47</v>
      </c>
      <c r="E91" s="6">
        <v>2</v>
      </c>
      <c r="F91" s="5">
        <v>60476.94</v>
      </c>
      <c r="G91" s="1">
        <v>45559</v>
      </c>
      <c r="H91" t="s">
        <v>80</v>
      </c>
      <c r="I91">
        <v>4</v>
      </c>
      <c r="J91" t="s">
        <v>19</v>
      </c>
      <c r="K91">
        <v>2024</v>
      </c>
      <c r="L91">
        <v>12095.388000000001</v>
      </c>
      <c r="M91">
        <v>27</v>
      </c>
      <c r="N91" t="s">
        <v>41</v>
      </c>
      <c r="O91" t="s">
        <v>21</v>
      </c>
      <c r="P91">
        <f>FlipkartSales[[#This Row],[Price (INR)]]*FlipkartSales[[#This Row],[Quantity Sold]]</f>
        <v>60476.94</v>
      </c>
      <c r="Q91">
        <f>FlipkartSales[[#This Row],[Total Sales (INR)]]-FlipkartSales[[#This Row],[Calculated Sales]]</f>
        <v>0</v>
      </c>
      <c r="R91" s="9">
        <f t="shared" si="8"/>
        <v>0.2</v>
      </c>
      <c r="S91">
        <f t="shared" si="9"/>
        <v>30238.47</v>
      </c>
      <c r="T91">
        <f t="shared" si="10"/>
        <v>6047.6940000000004</v>
      </c>
      <c r="U91">
        <f t="shared" si="11"/>
        <v>9</v>
      </c>
      <c r="V91" t="str">
        <f t="shared" si="12"/>
        <v>Q3</v>
      </c>
      <c r="W91" t="str">
        <f t="shared" si="13"/>
        <v>Sep-2024</v>
      </c>
      <c r="X91">
        <f t="shared" si="14"/>
        <v>16328.773800000001</v>
      </c>
      <c r="Y91" s="5">
        <f t="shared" si="15"/>
        <v>44148.1662</v>
      </c>
      <c r="Z91" s="21">
        <f>DATE(K91,MATCH(J91,{"January","February","March","April","May","June","July","August","September","October","November","December"},0),1)</f>
        <v>45536</v>
      </c>
    </row>
    <row r="92" spans="1:26" x14ac:dyDescent="0.3">
      <c r="A92" s="4" t="s">
        <v>159</v>
      </c>
      <c r="B92" s="4" t="s">
        <v>84</v>
      </c>
      <c r="C92" s="4" t="s">
        <v>40</v>
      </c>
      <c r="D92" s="5">
        <v>34293.379999999997</v>
      </c>
      <c r="E92" s="6">
        <v>4</v>
      </c>
      <c r="F92" s="5">
        <v>137173.51999999999</v>
      </c>
      <c r="G92" s="1">
        <v>45383</v>
      </c>
      <c r="H92" t="s">
        <v>80</v>
      </c>
      <c r="I92">
        <v>4.4000000000000004</v>
      </c>
      <c r="J92" t="s">
        <v>62</v>
      </c>
      <c r="K92">
        <v>2024</v>
      </c>
      <c r="L92">
        <v>27434.703999999998</v>
      </c>
      <c r="M92">
        <v>29</v>
      </c>
      <c r="N92" t="s">
        <v>27</v>
      </c>
      <c r="O92" t="s">
        <v>68</v>
      </c>
      <c r="P92">
        <f>FlipkartSales[[#This Row],[Price (INR)]]*FlipkartSales[[#This Row],[Quantity Sold]]</f>
        <v>137173.51999999999</v>
      </c>
      <c r="Q92">
        <f>FlipkartSales[[#This Row],[Total Sales (INR)]]-FlipkartSales[[#This Row],[Calculated Sales]]</f>
        <v>0</v>
      </c>
      <c r="R92" s="9">
        <f t="shared" si="8"/>
        <v>0.2</v>
      </c>
      <c r="S92">
        <f t="shared" si="9"/>
        <v>34293.379999999997</v>
      </c>
      <c r="T92">
        <f t="shared" si="10"/>
        <v>6858.6759999999995</v>
      </c>
      <c r="U92">
        <f t="shared" si="11"/>
        <v>4</v>
      </c>
      <c r="V92" t="str">
        <f t="shared" si="12"/>
        <v>Q2</v>
      </c>
      <c r="W92" t="str">
        <f t="shared" si="13"/>
        <v>Apr-2024</v>
      </c>
      <c r="X92">
        <f t="shared" si="14"/>
        <v>39780.320799999994</v>
      </c>
      <c r="Y92" s="5">
        <f t="shared" si="15"/>
        <v>97393.199200000003</v>
      </c>
      <c r="Z92" s="21">
        <f>DATE(K92,MATCH(J92,{"January","February","March","April","May","June","July","August","September","October","November","December"},0),1)</f>
        <v>45383</v>
      </c>
    </row>
    <row r="93" spans="1:26" x14ac:dyDescent="0.3">
      <c r="A93" s="4" t="s">
        <v>160</v>
      </c>
      <c r="B93" s="4" t="s">
        <v>58</v>
      </c>
      <c r="C93" s="4" t="s">
        <v>31</v>
      </c>
      <c r="D93" s="5">
        <v>19498.32</v>
      </c>
      <c r="E93" s="6">
        <v>2</v>
      </c>
      <c r="F93" s="5">
        <v>38996.639999999999</v>
      </c>
      <c r="G93" s="1">
        <v>45619</v>
      </c>
      <c r="H93" t="s">
        <v>71</v>
      </c>
      <c r="I93">
        <v>3.6</v>
      </c>
      <c r="J93" t="s">
        <v>37</v>
      </c>
      <c r="K93">
        <v>2024</v>
      </c>
      <c r="L93">
        <v>7799.3280000000004</v>
      </c>
      <c r="M93">
        <v>12</v>
      </c>
      <c r="N93" t="s">
        <v>27</v>
      </c>
      <c r="O93" t="s">
        <v>21</v>
      </c>
      <c r="P93">
        <f>FlipkartSales[[#This Row],[Price (INR)]]*FlipkartSales[[#This Row],[Quantity Sold]]</f>
        <v>38996.639999999999</v>
      </c>
      <c r="Q93">
        <f>FlipkartSales[[#This Row],[Total Sales (INR)]]-FlipkartSales[[#This Row],[Calculated Sales]]</f>
        <v>0</v>
      </c>
      <c r="R93" s="9">
        <f t="shared" si="8"/>
        <v>0.2</v>
      </c>
      <c r="S93">
        <f t="shared" si="9"/>
        <v>19498.32</v>
      </c>
      <c r="T93">
        <f t="shared" si="10"/>
        <v>3899.6640000000002</v>
      </c>
      <c r="U93">
        <f t="shared" si="11"/>
        <v>11</v>
      </c>
      <c r="V93" t="str">
        <f t="shared" si="12"/>
        <v>Q4</v>
      </c>
      <c r="W93" t="str">
        <f t="shared" si="13"/>
        <v>Nov-2024</v>
      </c>
      <c r="X93">
        <f t="shared" si="14"/>
        <v>4679.5968000000003</v>
      </c>
      <c r="Y93" s="5">
        <f t="shared" si="15"/>
        <v>34317.0432</v>
      </c>
      <c r="Z93" s="21">
        <f>DATE(K93,MATCH(J93,{"January","February","March","April","May","June","July","August","September","October","November","December"},0),1)</f>
        <v>45597</v>
      </c>
    </row>
    <row r="94" spans="1:26" x14ac:dyDescent="0.3">
      <c r="A94" s="4" t="s">
        <v>161</v>
      </c>
      <c r="B94" s="4" t="s">
        <v>78</v>
      </c>
      <c r="C94" s="4" t="s">
        <v>24</v>
      </c>
      <c r="D94" s="5">
        <v>39355.589999999997</v>
      </c>
      <c r="E94" s="6">
        <v>1</v>
      </c>
      <c r="F94" s="5">
        <v>39355.589999999997</v>
      </c>
      <c r="G94" s="1">
        <v>45587</v>
      </c>
      <c r="H94" t="s">
        <v>44</v>
      </c>
      <c r="I94">
        <v>2.9</v>
      </c>
      <c r="J94" t="s">
        <v>45</v>
      </c>
      <c r="K94">
        <v>2024</v>
      </c>
      <c r="L94">
        <v>7871.1179999999995</v>
      </c>
      <c r="M94">
        <v>25</v>
      </c>
      <c r="N94" t="s">
        <v>27</v>
      </c>
      <c r="O94" t="s">
        <v>33</v>
      </c>
      <c r="P94">
        <f>FlipkartSales[[#This Row],[Price (INR)]]*FlipkartSales[[#This Row],[Quantity Sold]]</f>
        <v>39355.589999999997</v>
      </c>
      <c r="Q94">
        <f>FlipkartSales[[#This Row],[Total Sales (INR)]]-FlipkartSales[[#This Row],[Calculated Sales]]</f>
        <v>0</v>
      </c>
      <c r="R94" s="9">
        <f t="shared" si="8"/>
        <v>0.2</v>
      </c>
      <c r="S94">
        <f t="shared" si="9"/>
        <v>39355.589999999997</v>
      </c>
      <c r="T94">
        <f t="shared" si="10"/>
        <v>7871.1179999999995</v>
      </c>
      <c r="U94">
        <f t="shared" si="11"/>
        <v>10</v>
      </c>
      <c r="V94" t="str">
        <f t="shared" si="12"/>
        <v>Q4</v>
      </c>
      <c r="W94" t="str">
        <f t="shared" si="13"/>
        <v>Oct-2024</v>
      </c>
      <c r="X94">
        <f t="shared" si="14"/>
        <v>9838.8974999999991</v>
      </c>
      <c r="Y94" s="5">
        <f t="shared" si="15"/>
        <v>29516.692499999997</v>
      </c>
      <c r="Z94" s="21">
        <f>DATE(K94,MATCH(J94,{"January","February","March","April","May","June","July","August","September","October","November","December"},0),1)</f>
        <v>45566</v>
      </c>
    </row>
    <row r="95" spans="1:26" x14ac:dyDescent="0.3">
      <c r="A95" s="4" t="s">
        <v>162</v>
      </c>
      <c r="B95" s="4" t="s">
        <v>74</v>
      </c>
      <c r="C95" s="4" t="s">
        <v>17</v>
      </c>
      <c r="D95" s="5">
        <v>26575.86</v>
      </c>
      <c r="E95" s="6">
        <v>2</v>
      </c>
      <c r="F95" s="5">
        <v>53151.72</v>
      </c>
      <c r="G95" s="1">
        <v>45435</v>
      </c>
      <c r="H95" t="s">
        <v>44</v>
      </c>
      <c r="I95">
        <v>2</v>
      </c>
      <c r="J95" t="s">
        <v>32</v>
      </c>
      <c r="K95">
        <v>2024</v>
      </c>
      <c r="L95">
        <v>10630.344000000001</v>
      </c>
      <c r="M95">
        <v>20</v>
      </c>
      <c r="N95" t="s">
        <v>20</v>
      </c>
      <c r="O95" t="s">
        <v>33</v>
      </c>
      <c r="P95">
        <f>FlipkartSales[[#This Row],[Price (INR)]]*FlipkartSales[[#This Row],[Quantity Sold]]</f>
        <v>53151.72</v>
      </c>
      <c r="Q95">
        <f>FlipkartSales[[#This Row],[Total Sales (INR)]]-FlipkartSales[[#This Row],[Calculated Sales]]</f>
        <v>0</v>
      </c>
      <c r="R95" s="9">
        <f t="shared" si="8"/>
        <v>0.2</v>
      </c>
      <c r="S95">
        <f t="shared" si="9"/>
        <v>26575.86</v>
      </c>
      <c r="T95">
        <f t="shared" si="10"/>
        <v>5315.1720000000005</v>
      </c>
      <c r="U95">
        <f t="shared" si="11"/>
        <v>5</v>
      </c>
      <c r="V95" t="str">
        <f t="shared" si="12"/>
        <v>Q2</v>
      </c>
      <c r="W95" t="str">
        <f t="shared" si="13"/>
        <v>May-2024</v>
      </c>
      <c r="X95">
        <f t="shared" si="14"/>
        <v>10630.343999999999</v>
      </c>
      <c r="Y95" s="5">
        <f t="shared" si="15"/>
        <v>42521.376000000004</v>
      </c>
      <c r="Z95" s="21">
        <f>DATE(K95,MATCH(J95,{"January","February","March","April","May","June","July","August","September","October","November","December"},0),1)</f>
        <v>45413</v>
      </c>
    </row>
    <row r="96" spans="1:26" x14ac:dyDescent="0.3">
      <c r="A96" s="4" t="s">
        <v>163</v>
      </c>
      <c r="B96" s="4" t="s">
        <v>107</v>
      </c>
      <c r="C96" s="4" t="s">
        <v>36</v>
      </c>
      <c r="D96" s="5">
        <v>12506.31</v>
      </c>
      <c r="E96" s="6">
        <v>3</v>
      </c>
      <c r="F96" s="5">
        <v>37518.93</v>
      </c>
      <c r="G96" s="1">
        <v>45669</v>
      </c>
      <c r="H96" t="s">
        <v>25</v>
      </c>
      <c r="I96">
        <v>1.4</v>
      </c>
      <c r="J96" t="s">
        <v>53</v>
      </c>
      <c r="K96">
        <v>2025</v>
      </c>
      <c r="L96">
        <v>7503.7860000000001</v>
      </c>
      <c r="M96">
        <v>17</v>
      </c>
      <c r="N96" t="s">
        <v>41</v>
      </c>
      <c r="O96" t="s">
        <v>33</v>
      </c>
      <c r="P96">
        <f>FlipkartSales[[#This Row],[Price (INR)]]*FlipkartSales[[#This Row],[Quantity Sold]]</f>
        <v>37518.93</v>
      </c>
      <c r="Q96">
        <f>FlipkartSales[[#This Row],[Total Sales (INR)]]-FlipkartSales[[#This Row],[Calculated Sales]]</f>
        <v>0</v>
      </c>
      <c r="R96" s="9">
        <f t="shared" si="8"/>
        <v>0.2</v>
      </c>
      <c r="S96">
        <f t="shared" si="9"/>
        <v>12506.31</v>
      </c>
      <c r="T96">
        <f t="shared" si="10"/>
        <v>2501.2620000000002</v>
      </c>
      <c r="U96">
        <f t="shared" si="11"/>
        <v>1</v>
      </c>
      <c r="V96" t="str">
        <f t="shared" si="12"/>
        <v>Q1</v>
      </c>
      <c r="W96" t="str">
        <f t="shared" si="13"/>
        <v>Jan-2025</v>
      </c>
      <c r="X96">
        <f t="shared" si="14"/>
        <v>6378.218100000001</v>
      </c>
      <c r="Y96" s="5">
        <f t="shared" si="15"/>
        <v>31140.711899999998</v>
      </c>
      <c r="Z96" s="21">
        <f>DATE(K96,MATCH(J96,{"January","February","March","April","May","June","July","August","September","October","November","December"},0),1)</f>
        <v>45658</v>
      </c>
    </row>
    <row r="97" spans="1:26" x14ac:dyDescent="0.3">
      <c r="A97" s="4" t="s">
        <v>164</v>
      </c>
      <c r="B97" s="4" t="s">
        <v>78</v>
      </c>
      <c r="C97" s="4" t="s">
        <v>24</v>
      </c>
      <c r="D97" s="5">
        <v>19180.77</v>
      </c>
      <c r="E97" s="6">
        <v>3</v>
      </c>
      <c r="F97" s="5">
        <v>57542.31</v>
      </c>
      <c r="G97" s="1">
        <v>45685</v>
      </c>
      <c r="H97" t="s">
        <v>44</v>
      </c>
      <c r="I97">
        <v>3.9</v>
      </c>
      <c r="J97" t="s">
        <v>53</v>
      </c>
      <c r="K97">
        <v>2025</v>
      </c>
      <c r="L97">
        <v>11508.462</v>
      </c>
      <c r="M97">
        <v>22</v>
      </c>
      <c r="N97" t="s">
        <v>41</v>
      </c>
      <c r="O97" t="s">
        <v>68</v>
      </c>
      <c r="P97">
        <f>FlipkartSales[[#This Row],[Price (INR)]]*FlipkartSales[[#This Row],[Quantity Sold]]</f>
        <v>57542.31</v>
      </c>
      <c r="Q97">
        <f>FlipkartSales[[#This Row],[Total Sales (INR)]]-FlipkartSales[[#This Row],[Calculated Sales]]</f>
        <v>0</v>
      </c>
      <c r="R97" s="9">
        <f t="shared" si="8"/>
        <v>0.2</v>
      </c>
      <c r="S97">
        <f t="shared" si="9"/>
        <v>19180.77</v>
      </c>
      <c r="T97">
        <f t="shared" si="10"/>
        <v>3836.154</v>
      </c>
      <c r="U97">
        <f t="shared" si="11"/>
        <v>1</v>
      </c>
      <c r="V97" t="str">
        <f t="shared" si="12"/>
        <v>Q1</v>
      </c>
      <c r="W97" t="str">
        <f t="shared" si="13"/>
        <v>Jan-2025</v>
      </c>
      <c r="X97">
        <f t="shared" si="14"/>
        <v>12659.308199999998</v>
      </c>
      <c r="Y97" s="5">
        <f t="shared" si="15"/>
        <v>44883.001799999998</v>
      </c>
      <c r="Z97" s="21">
        <f>DATE(K97,MATCH(J97,{"January","February","March","April","May","June","July","August","September","October","November","December"},0),1)</f>
        <v>45658</v>
      </c>
    </row>
    <row r="98" spans="1:26" x14ac:dyDescent="0.3">
      <c r="A98" s="4" t="s">
        <v>165</v>
      </c>
      <c r="B98" s="4" t="s">
        <v>84</v>
      </c>
      <c r="C98" s="4" t="s">
        <v>40</v>
      </c>
      <c r="D98" s="5">
        <v>8877.51</v>
      </c>
      <c r="E98" s="6">
        <v>5</v>
      </c>
      <c r="F98" s="5">
        <v>44387.55</v>
      </c>
      <c r="G98" s="1">
        <v>45443</v>
      </c>
      <c r="H98" t="s">
        <v>25</v>
      </c>
      <c r="I98">
        <v>2.5</v>
      </c>
      <c r="J98" t="s">
        <v>32</v>
      </c>
      <c r="K98">
        <v>2024</v>
      </c>
      <c r="L98">
        <v>8877.51</v>
      </c>
      <c r="M98">
        <v>19</v>
      </c>
      <c r="N98" t="s">
        <v>20</v>
      </c>
      <c r="O98" t="s">
        <v>33</v>
      </c>
      <c r="P98">
        <f>FlipkartSales[[#This Row],[Price (INR)]]*FlipkartSales[[#This Row],[Quantity Sold]]</f>
        <v>44387.55</v>
      </c>
      <c r="Q98">
        <f>FlipkartSales[[#This Row],[Total Sales (INR)]]-FlipkartSales[[#This Row],[Calculated Sales]]</f>
        <v>0</v>
      </c>
      <c r="R98" s="9">
        <f t="shared" si="8"/>
        <v>0.19999999999999998</v>
      </c>
      <c r="S98">
        <f t="shared" si="9"/>
        <v>8877.51</v>
      </c>
      <c r="T98">
        <f t="shared" si="10"/>
        <v>1775.502</v>
      </c>
      <c r="U98">
        <f t="shared" si="11"/>
        <v>5</v>
      </c>
      <c r="V98" t="str">
        <f t="shared" si="12"/>
        <v>Q2</v>
      </c>
      <c r="W98" t="str">
        <f t="shared" si="13"/>
        <v>May-2024</v>
      </c>
      <c r="X98">
        <f t="shared" si="14"/>
        <v>8433.6345000000001</v>
      </c>
      <c r="Y98" s="5">
        <f t="shared" si="15"/>
        <v>35953.915500000003</v>
      </c>
      <c r="Z98" s="21">
        <f>DATE(K98,MATCH(J98,{"January","February","March","April","May","June","July","August","September","October","November","December"},0),1)</f>
        <v>45413</v>
      </c>
    </row>
    <row r="99" spans="1:26" x14ac:dyDescent="0.3">
      <c r="A99" s="4" t="s">
        <v>166</v>
      </c>
      <c r="B99" s="4" t="s">
        <v>47</v>
      </c>
      <c r="C99" s="4" t="s">
        <v>24</v>
      </c>
      <c r="D99" s="5">
        <v>32348.92</v>
      </c>
      <c r="E99" s="6">
        <v>2</v>
      </c>
      <c r="F99" s="5">
        <v>64697.84</v>
      </c>
      <c r="G99" s="1">
        <v>45690</v>
      </c>
      <c r="H99" t="s">
        <v>71</v>
      </c>
      <c r="I99">
        <v>3.1</v>
      </c>
      <c r="J99" t="s">
        <v>59</v>
      </c>
      <c r="K99">
        <v>2025</v>
      </c>
      <c r="L99">
        <v>12939.567999999999</v>
      </c>
      <c r="M99">
        <v>25</v>
      </c>
      <c r="N99" t="s">
        <v>41</v>
      </c>
      <c r="O99" t="s">
        <v>28</v>
      </c>
      <c r="P99">
        <f>FlipkartSales[[#This Row],[Price (INR)]]*FlipkartSales[[#This Row],[Quantity Sold]]</f>
        <v>64697.84</v>
      </c>
      <c r="Q99">
        <f>FlipkartSales[[#This Row],[Total Sales (INR)]]-FlipkartSales[[#This Row],[Calculated Sales]]</f>
        <v>0</v>
      </c>
      <c r="R99" s="9">
        <f t="shared" si="8"/>
        <v>0.2</v>
      </c>
      <c r="S99">
        <f t="shared" si="9"/>
        <v>32348.92</v>
      </c>
      <c r="T99">
        <f t="shared" si="10"/>
        <v>6469.7839999999997</v>
      </c>
      <c r="U99">
        <f t="shared" si="11"/>
        <v>2</v>
      </c>
      <c r="V99" t="str">
        <f t="shared" si="12"/>
        <v>Q1</v>
      </c>
      <c r="W99" t="str">
        <f t="shared" si="13"/>
        <v>Feb-2025</v>
      </c>
      <c r="X99">
        <f t="shared" si="14"/>
        <v>16174.46</v>
      </c>
      <c r="Y99" s="5">
        <f t="shared" si="15"/>
        <v>48523.38</v>
      </c>
      <c r="Z99" s="21">
        <f>DATE(K99,MATCH(J99,{"January","February","March","April","May","June","July","August","September","October","November","December"},0),1)</f>
        <v>45689</v>
      </c>
    </row>
    <row r="100" spans="1:26" x14ac:dyDescent="0.3">
      <c r="A100" s="4" t="s">
        <v>167</v>
      </c>
      <c r="B100" s="4" t="s">
        <v>35</v>
      </c>
      <c r="C100" s="4" t="s">
        <v>36</v>
      </c>
      <c r="D100" s="5">
        <v>19375.759999999998</v>
      </c>
      <c r="E100" s="6">
        <v>2</v>
      </c>
      <c r="F100" s="5">
        <v>38751.519999999997</v>
      </c>
      <c r="G100" s="1">
        <v>45632</v>
      </c>
      <c r="H100" t="s">
        <v>71</v>
      </c>
      <c r="I100">
        <v>2.1</v>
      </c>
      <c r="J100" t="s">
        <v>26</v>
      </c>
      <c r="K100">
        <v>2024</v>
      </c>
      <c r="L100">
        <v>7750.3040000000001</v>
      </c>
      <c r="M100">
        <v>28</v>
      </c>
      <c r="N100" t="s">
        <v>27</v>
      </c>
      <c r="O100" t="s">
        <v>21</v>
      </c>
      <c r="P100">
        <f>FlipkartSales[[#This Row],[Price (INR)]]*FlipkartSales[[#This Row],[Quantity Sold]]</f>
        <v>38751.519999999997</v>
      </c>
      <c r="Q100">
        <f>FlipkartSales[[#This Row],[Total Sales (INR)]]-FlipkartSales[[#This Row],[Calculated Sales]]</f>
        <v>0</v>
      </c>
      <c r="R100" s="9">
        <f t="shared" si="8"/>
        <v>0.2</v>
      </c>
      <c r="S100">
        <f t="shared" si="9"/>
        <v>19375.759999999998</v>
      </c>
      <c r="T100">
        <f t="shared" si="10"/>
        <v>3875.152</v>
      </c>
      <c r="U100">
        <f t="shared" si="11"/>
        <v>12</v>
      </c>
      <c r="V100" t="str">
        <f t="shared" si="12"/>
        <v>Q4</v>
      </c>
      <c r="W100" t="str">
        <f t="shared" si="13"/>
        <v>Dec-2024</v>
      </c>
      <c r="X100">
        <f t="shared" si="14"/>
        <v>10850.425599999999</v>
      </c>
      <c r="Y100" s="5">
        <f t="shared" si="15"/>
        <v>27901.094399999998</v>
      </c>
      <c r="Z100" s="21">
        <f>DATE(K100,MATCH(J100,{"January","February","March","April","May","June","July","August","September","October","November","December"},0),1)</f>
        <v>45627</v>
      </c>
    </row>
    <row r="101" spans="1:26" x14ac:dyDescent="0.3">
      <c r="A101" s="4" t="s">
        <v>168</v>
      </c>
      <c r="B101" s="4" t="s">
        <v>16</v>
      </c>
      <c r="C101" s="4" t="s">
        <v>17</v>
      </c>
      <c r="D101" s="5">
        <v>48157.93</v>
      </c>
      <c r="E101" s="6">
        <v>1</v>
      </c>
      <c r="F101" s="5">
        <v>48157.93</v>
      </c>
      <c r="G101" s="1">
        <v>45540</v>
      </c>
      <c r="H101" t="s">
        <v>64</v>
      </c>
      <c r="I101">
        <v>2.4</v>
      </c>
      <c r="J101" t="s">
        <v>19</v>
      </c>
      <c r="K101">
        <v>2024</v>
      </c>
      <c r="L101">
        <v>9631.5860000000011</v>
      </c>
      <c r="M101">
        <v>30</v>
      </c>
      <c r="N101" t="s">
        <v>27</v>
      </c>
      <c r="O101" t="s">
        <v>21</v>
      </c>
      <c r="P101">
        <f>FlipkartSales[[#This Row],[Price (INR)]]*FlipkartSales[[#This Row],[Quantity Sold]]</f>
        <v>48157.93</v>
      </c>
      <c r="Q101">
        <f>FlipkartSales[[#This Row],[Total Sales (INR)]]-FlipkartSales[[#This Row],[Calculated Sales]]</f>
        <v>0</v>
      </c>
      <c r="R101" s="9">
        <f t="shared" si="8"/>
        <v>0.2</v>
      </c>
      <c r="S101">
        <f t="shared" si="9"/>
        <v>48157.93</v>
      </c>
      <c r="T101">
        <f t="shared" si="10"/>
        <v>9631.5860000000011</v>
      </c>
      <c r="U101">
        <f t="shared" si="11"/>
        <v>9</v>
      </c>
      <c r="V101" t="str">
        <f t="shared" si="12"/>
        <v>Q3</v>
      </c>
      <c r="W101" t="str">
        <f t="shared" si="13"/>
        <v>Sep-2024</v>
      </c>
      <c r="X101">
        <f t="shared" si="14"/>
        <v>14447.378999999999</v>
      </c>
      <c r="Y101" s="5">
        <f t="shared" si="15"/>
        <v>33710.550999999999</v>
      </c>
      <c r="Z101" s="21">
        <f>DATE(K101,MATCH(J101,{"January","February","March","April","May","June","July","August","September","October","November","December"},0),1)</f>
        <v>45536</v>
      </c>
    </row>
    <row r="102" spans="1:26" x14ac:dyDescent="0.3">
      <c r="A102" s="4" t="s">
        <v>169</v>
      </c>
      <c r="B102" s="4" t="s">
        <v>96</v>
      </c>
      <c r="C102" s="4" t="s">
        <v>36</v>
      </c>
      <c r="D102" s="5">
        <v>4360.05</v>
      </c>
      <c r="E102" s="6">
        <v>4</v>
      </c>
      <c r="F102" s="5">
        <v>17440.2</v>
      </c>
      <c r="G102" s="1">
        <v>45675</v>
      </c>
      <c r="H102" t="s">
        <v>44</v>
      </c>
      <c r="I102">
        <v>3.3</v>
      </c>
      <c r="J102" t="s">
        <v>53</v>
      </c>
      <c r="K102">
        <v>2025</v>
      </c>
      <c r="L102">
        <v>3488.0400000000004</v>
      </c>
      <c r="M102">
        <v>29</v>
      </c>
      <c r="N102" t="s">
        <v>27</v>
      </c>
      <c r="O102" t="s">
        <v>28</v>
      </c>
      <c r="P102">
        <f>FlipkartSales[[#This Row],[Price (INR)]]*FlipkartSales[[#This Row],[Quantity Sold]]</f>
        <v>17440.2</v>
      </c>
      <c r="Q102">
        <f>FlipkartSales[[#This Row],[Total Sales (INR)]]-FlipkartSales[[#This Row],[Calculated Sales]]</f>
        <v>0</v>
      </c>
      <c r="R102" s="9">
        <f t="shared" si="8"/>
        <v>0.2</v>
      </c>
      <c r="S102">
        <f t="shared" si="9"/>
        <v>4360.05</v>
      </c>
      <c r="T102">
        <f t="shared" si="10"/>
        <v>872.0100000000001</v>
      </c>
      <c r="U102">
        <f t="shared" si="11"/>
        <v>1</v>
      </c>
      <c r="V102" t="str">
        <f t="shared" si="12"/>
        <v>Q1</v>
      </c>
      <c r="W102" t="str">
        <f t="shared" si="13"/>
        <v>Jan-2025</v>
      </c>
      <c r="X102">
        <f t="shared" si="14"/>
        <v>5057.6580000000004</v>
      </c>
      <c r="Y102" s="5">
        <f t="shared" si="15"/>
        <v>12382.542000000001</v>
      </c>
      <c r="Z102" s="21">
        <f>DATE(K102,MATCH(J102,{"January","February","March","April","May","June","July","August","September","October","November","December"},0),1)</f>
        <v>45658</v>
      </c>
    </row>
    <row r="103" spans="1:26" x14ac:dyDescent="0.3">
      <c r="A103" s="4" t="s">
        <v>170</v>
      </c>
      <c r="B103" s="4" t="s">
        <v>52</v>
      </c>
      <c r="C103" s="4" t="s">
        <v>24</v>
      </c>
      <c r="D103" s="5">
        <v>38093.14</v>
      </c>
      <c r="E103" s="6">
        <v>1</v>
      </c>
      <c r="F103" s="5">
        <v>38093.14</v>
      </c>
      <c r="G103" s="1">
        <v>45587</v>
      </c>
      <c r="H103" t="s">
        <v>71</v>
      </c>
      <c r="I103">
        <v>3</v>
      </c>
      <c r="J103" t="s">
        <v>45</v>
      </c>
      <c r="K103">
        <v>2024</v>
      </c>
      <c r="L103">
        <v>7618.6280000000006</v>
      </c>
      <c r="M103">
        <v>17</v>
      </c>
      <c r="N103" t="s">
        <v>41</v>
      </c>
      <c r="O103" t="s">
        <v>68</v>
      </c>
      <c r="P103">
        <f>FlipkartSales[[#This Row],[Price (INR)]]*FlipkartSales[[#This Row],[Quantity Sold]]</f>
        <v>38093.14</v>
      </c>
      <c r="Q103">
        <f>FlipkartSales[[#This Row],[Total Sales (INR)]]-FlipkartSales[[#This Row],[Calculated Sales]]</f>
        <v>0</v>
      </c>
      <c r="R103" s="9">
        <f t="shared" si="8"/>
        <v>0.2</v>
      </c>
      <c r="S103">
        <f t="shared" si="9"/>
        <v>38093.14</v>
      </c>
      <c r="T103">
        <f t="shared" si="10"/>
        <v>7618.6280000000006</v>
      </c>
      <c r="U103">
        <f t="shared" si="11"/>
        <v>10</v>
      </c>
      <c r="V103" t="str">
        <f t="shared" si="12"/>
        <v>Q4</v>
      </c>
      <c r="W103" t="str">
        <f t="shared" si="13"/>
        <v>Oct-2024</v>
      </c>
      <c r="X103">
        <f t="shared" si="14"/>
        <v>6475.8338000000003</v>
      </c>
      <c r="Y103" s="5">
        <f t="shared" si="15"/>
        <v>31617.306199999999</v>
      </c>
      <c r="Z103" s="21">
        <f>DATE(K103,MATCH(J103,{"January","February","March","April","May","June","July","August","September","October","November","December"},0),1)</f>
        <v>45566</v>
      </c>
    </row>
    <row r="104" spans="1:26" x14ac:dyDescent="0.3">
      <c r="A104" s="4" t="s">
        <v>171</v>
      </c>
      <c r="B104" s="4" t="s">
        <v>16</v>
      </c>
      <c r="C104" s="4" t="s">
        <v>17</v>
      </c>
      <c r="D104" s="5">
        <v>32788.199999999997</v>
      </c>
      <c r="E104" s="6">
        <v>5</v>
      </c>
      <c r="F104" s="5">
        <v>163941</v>
      </c>
      <c r="G104" s="1">
        <v>45480</v>
      </c>
      <c r="H104" t="s">
        <v>71</v>
      </c>
      <c r="I104">
        <v>4</v>
      </c>
      <c r="J104" t="s">
        <v>48</v>
      </c>
      <c r="K104">
        <v>2024</v>
      </c>
      <c r="L104">
        <v>32788.200000000004</v>
      </c>
      <c r="M104">
        <v>13</v>
      </c>
      <c r="N104" t="s">
        <v>27</v>
      </c>
      <c r="O104" t="s">
        <v>68</v>
      </c>
      <c r="P104">
        <f>FlipkartSales[[#This Row],[Price (INR)]]*FlipkartSales[[#This Row],[Quantity Sold]]</f>
        <v>163941</v>
      </c>
      <c r="Q104">
        <f>FlipkartSales[[#This Row],[Total Sales (INR)]]-FlipkartSales[[#This Row],[Calculated Sales]]</f>
        <v>0</v>
      </c>
      <c r="R104" s="9">
        <f t="shared" si="8"/>
        <v>0.20000000000000004</v>
      </c>
      <c r="S104">
        <f t="shared" si="9"/>
        <v>32788.199999999997</v>
      </c>
      <c r="T104">
        <f t="shared" si="10"/>
        <v>6557.6400000000012</v>
      </c>
      <c r="U104">
        <f t="shared" si="11"/>
        <v>7</v>
      </c>
      <c r="V104" t="str">
        <f t="shared" si="12"/>
        <v>Q3</v>
      </c>
      <c r="W104" t="str">
        <f t="shared" si="13"/>
        <v>Jul-2024</v>
      </c>
      <c r="X104">
        <f t="shared" si="14"/>
        <v>21312.33</v>
      </c>
      <c r="Y104" s="5">
        <f t="shared" si="15"/>
        <v>142628.66999999998</v>
      </c>
      <c r="Z104" s="21">
        <f>DATE(K104,MATCH(J104,{"January","February","March","April","May","June","July","August","September","October","November","December"},0),1)</f>
        <v>45474</v>
      </c>
    </row>
    <row r="105" spans="1:26" x14ac:dyDescent="0.3">
      <c r="A105" s="4" t="s">
        <v>172</v>
      </c>
      <c r="B105" s="4" t="s">
        <v>70</v>
      </c>
      <c r="C105" s="4" t="s">
        <v>17</v>
      </c>
      <c r="D105" s="5">
        <v>42715.55</v>
      </c>
      <c r="E105" s="6">
        <v>1</v>
      </c>
      <c r="F105" s="5">
        <v>42715.55</v>
      </c>
      <c r="G105" s="1">
        <v>45487</v>
      </c>
      <c r="H105" t="s">
        <v>71</v>
      </c>
      <c r="I105">
        <v>4.4000000000000004</v>
      </c>
      <c r="J105" t="s">
        <v>48</v>
      </c>
      <c r="K105">
        <v>2024</v>
      </c>
      <c r="L105">
        <v>8543.11</v>
      </c>
      <c r="M105">
        <v>19</v>
      </c>
      <c r="N105" t="s">
        <v>20</v>
      </c>
      <c r="O105" t="s">
        <v>21</v>
      </c>
      <c r="P105">
        <f>FlipkartSales[[#This Row],[Price (INR)]]*FlipkartSales[[#This Row],[Quantity Sold]]</f>
        <v>42715.55</v>
      </c>
      <c r="Q105">
        <f>FlipkartSales[[#This Row],[Total Sales (INR)]]-FlipkartSales[[#This Row],[Calculated Sales]]</f>
        <v>0</v>
      </c>
      <c r="R105" s="9">
        <f t="shared" si="8"/>
        <v>0.2</v>
      </c>
      <c r="S105">
        <f t="shared" si="9"/>
        <v>42715.55</v>
      </c>
      <c r="T105">
        <f t="shared" si="10"/>
        <v>8543.11</v>
      </c>
      <c r="U105">
        <f t="shared" si="11"/>
        <v>7</v>
      </c>
      <c r="V105" t="str">
        <f t="shared" si="12"/>
        <v>Q3</v>
      </c>
      <c r="W105" t="str">
        <f t="shared" si="13"/>
        <v>Jul-2024</v>
      </c>
      <c r="X105">
        <f t="shared" si="14"/>
        <v>8115.9545000000007</v>
      </c>
      <c r="Y105" s="5">
        <f t="shared" si="15"/>
        <v>34599.595500000003</v>
      </c>
      <c r="Z105" s="21">
        <f>DATE(K105,MATCH(J105,{"January","February","March","April","May","June","July","August","September","October","November","December"},0),1)</f>
        <v>45474</v>
      </c>
    </row>
    <row r="106" spans="1:26" x14ac:dyDescent="0.3">
      <c r="A106" s="4" t="s">
        <v>173</v>
      </c>
      <c r="B106" s="4" t="s">
        <v>58</v>
      </c>
      <c r="C106" s="4" t="s">
        <v>31</v>
      </c>
      <c r="D106" s="5">
        <v>28758.42</v>
      </c>
      <c r="E106" s="6">
        <v>5</v>
      </c>
      <c r="F106" s="5">
        <v>143792.1</v>
      </c>
      <c r="G106" s="1">
        <v>45557</v>
      </c>
      <c r="H106" t="s">
        <v>80</v>
      </c>
      <c r="I106">
        <v>3.7</v>
      </c>
      <c r="J106" t="s">
        <v>19</v>
      </c>
      <c r="K106">
        <v>2024</v>
      </c>
      <c r="L106">
        <v>28758.420000000002</v>
      </c>
      <c r="M106">
        <v>17</v>
      </c>
      <c r="N106" t="s">
        <v>20</v>
      </c>
      <c r="O106" t="s">
        <v>33</v>
      </c>
      <c r="P106">
        <f>FlipkartSales[[#This Row],[Price (INR)]]*FlipkartSales[[#This Row],[Quantity Sold]]</f>
        <v>143792.09999999998</v>
      </c>
      <c r="Q106">
        <f>FlipkartSales[[#This Row],[Total Sales (INR)]]-FlipkartSales[[#This Row],[Calculated Sales]]</f>
        <v>0</v>
      </c>
      <c r="R106" s="9">
        <f t="shared" si="8"/>
        <v>0.2</v>
      </c>
      <c r="S106">
        <f t="shared" si="9"/>
        <v>28758.420000000002</v>
      </c>
      <c r="T106">
        <f t="shared" si="10"/>
        <v>5751.6840000000002</v>
      </c>
      <c r="U106">
        <f t="shared" si="11"/>
        <v>9</v>
      </c>
      <c r="V106" t="str">
        <f t="shared" si="12"/>
        <v>Q3</v>
      </c>
      <c r="W106" t="str">
        <f t="shared" si="13"/>
        <v>Sep-2024</v>
      </c>
      <c r="X106">
        <f t="shared" si="14"/>
        <v>24444.657000000003</v>
      </c>
      <c r="Y106" s="5">
        <f t="shared" si="15"/>
        <v>119347.443</v>
      </c>
      <c r="Z106" s="21">
        <f>DATE(K106,MATCH(J106,{"January","February","March","April","May","June","July","August","September","October","November","December"},0),1)</f>
        <v>45536</v>
      </c>
    </row>
    <row r="107" spans="1:26" x14ac:dyDescent="0.3">
      <c r="A107" s="4" t="s">
        <v>174</v>
      </c>
      <c r="B107" s="4" t="s">
        <v>16</v>
      </c>
      <c r="C107" s="4" t="s">
        <v>17</v>
      </c>
      <c r="D107" s="5">
        <v>22555.21</v>
      </c>
      <c r="E107" s="6">
        <v>2</v>
      </c>
      <c r="F107" s="5">
        <v>45110.42</v>
      </c>
      <c r="G107" s="1">
        <v>45422</v>
      </c>
      <c r="H107" t="s">
        <v>25</v>
      </c>
      <c r="I107">
        <v>4.3</v>
      </c>
      <c r="J107" t="s">
        <v>32</v>
      </c>
      <c r="K107">
        <v>2024</v>
      </c>
      <c r="L107">
        <v>9022.0840000000007</v>
      </c>
      <c r="M107">
        <v>5</v>
      </c>
      <c r="N107" t="s">
        <v>41</v>
      </c>
      <c r="O107" t="s">
        <v>68</v>
      </c>
      <c r="P107">
        <f>FlipkartSales[[#This Row],[Price (INR)]]*FlipkartSales[[#This Row],[Quantity Sold]]</f>
        <v>45110.42</v>
      </c>
      <c r="Q107">
        <f>FlipkartSales[[#This Row],[Total Sales (INR)]]-FlipkartSales[[#This Row],[Calculated Sales]]</f>
        <v>0</v>
      </c>
      <c r="R107" s="9">
        <f t="shared" si="8"/>
        <v>0.2</v>
      </c>
      <c r="S107">
        <f t="shared" si="9"/>
        <v>22555.21</v>
      </c>
      <c r="T107">
        <f t="shared" si="10"/>
        <v>4511.0420000000004</v>
      </c>
      <c r="U107">
        <f t="shared" si="11"/>
        <v>5</v>
      </c>
      <c r="V107" t="str">
        <f t="shared" si="12"/>
        <v>Q2</v>
      </c>
      <c r="W107" t="str">
        <f t="shared" si="13"/>
        <v>May-2024</v>
      </c>
      <c r="X107">
        <f t="shared" si="14"/>
        <v>2255.5209999999997</v>
      </c>
      <c r="Y107" s="5">
        <f t="shared" si="15"/>
        <v>42854.898999999998</v>
      </c>
      <c r="Z107" s="21">
        <f>DATE(K107,MATCH(J107,{"January","February","March","April","May","June","July","August","September","October","November","December"},0),1)</f>
        <v>45413</v>
      </c>
    </row>
    <row r="108" spans="1:26" x14ac:dyDescent="0.3">
      <c r="A108" s="4" t="s">
        <v>175</v>
      </c>
      <c r="B108" s="4" t="s">
        <v>176</v>
      </c>
      <c r="C108" s="4" t="s">
        <v>24</v>
      </c>
      <c r="D108" s="5">
        <v>33613.18</v>
      </c>
      <c r="E108" s="6">
        <v>1</v>
      </c>
      <c r="F108" s="5">
        <v>33613.18</v>
      </c>
      <c r="G108" s="1">
        <v>45528</v>
      </c>
      <c r="H108" t="s">
        <v>44</v>
      </c>
      <c r="I108">
        <v>3.5</v>
      </c>
      <c r="J108" t="s">
        <v>88</v>
      </c>
      <c r="K108">
        <v>2024</v>
      </c>
      <c r="L108">
        <v>6722.6360000000004</v>
      </c>
      <c r="M108">
        <v>29</v>
      </c>
      <c r="N108" t="s">
        <v>20</v>
      </c>
      <c r="O108" t="s">
        <v>68</v>
      </c>
      <c r="P108">
        <f>FlipkartSales[[#This Row],[Price (INR)]]*FlipkartSales[[#This Row],[Quantity Sold]]</f>
        <v>33613.18</v>
      </c>
      <c r="Q108">
        <f>FlipkartSales[[#This Row],[Total Sales (INR)]]-FlipkartSales[[#This Row],[Calculated Sales]]</f>
        <v>0</v>
      </c>
      <c r="R108" s="9">
        <f t="shared" si="8"/>
        <v>0.2</v>
      </c>
      <c r="S108">
        <f t="shared" si="9"/>
        <v>33613.18</v>
      </c>
      <c r="T108">
        <f t="shared" si="10"/>
        <v>6722.6360000000004</v>
      </c>
      <c r="U108">
        <f t="shared" si="11"/>
        <v>8</v>
      </c>
      <c r="V108" t="str">
        <f t="shared" si="12"/>
        <v>Q3</v>
      </c>
      <c r="W108" t="str">
        <f t="shared" si="13"/>
        <v>Aug-2024</v>
      </c>
      <c r="X108">
        <f t="shared" si="14"/>
        <v>9747.8222000000005</v>
      </c>
      <c r="Y108" s="5">
        <f t="shared" si="15"/>
        <v>23865.357799999998</v>
      </c>
      <c r="Z108" s="21">
        <f>DATE(K108,MATCH(J108,{"January","February","March","April","May","June","July","August","September","October","November","December"},0),1)</f>
        <v>45505</v>
      </c>
    </row>
    <row r="109" spans="1:26" x14ac:dyDescent="0.3">
      <c r="A109" s="4" t="s">
        <v>177</v>
      </c>
      <c r="B109" s="4" t="s">
        <v>78</v>
      </c>
      <c r="C109" s="4" t="s">
        <v>24</v>
      </c>
      <c r="D109" s="5">
        <v>44639</v>
      </c>
      <c r="E109" s="6">
        <v>5</v>
      </c>
      <c r="F109" s="5">
        <v>223195</v>
      </c>
      <c r="G109" s="1">
        <v>45416</v>
      </c>
      <c r="H109" t="s">
        <v>71</v>
      </c>
      <c r="I109">
        <v>1.1000000000000001</v>
      </c>
      <c r="J109" t="s">
        <v>32</v>
      </c>
      <c r="K109">
        <v>2024</v>
      </c>
      <c r="L109">
        <v>44639</v>
      </c>
      <c r="M109">
        <v>11</v>
      </c>
      <c r="N109" t="s">
        <v>20</v>
      </c>
      <c r="O109" t="s">
        <v>28</v>
      </c>
      <c r="P109">
        <f>FlipkartSales[[#This Row],[Price (INR)]]*FlipkartSales[[#This Row],[Quantity Sold]]</f>
        <v>223195</v>
      </c>
      <c r="Q109">
        <f>FlipkartSales[[#This Row],[Total Sales (INR)]]-FlipkartSales[[#This Row],[Calculated Sales]]</f>
        <v>0</v>
      </c>
      <c r="R109" s="9">
        <f t="shared" si="8"/>
        <v>0.2</v>
      </c>
      <c r="S109">
        <f t="shared" si="9"/>
        <v>44639</v>
      </c>
      <c r="T109">
        <f t="shared" si="10"/>
        <v>8927.7999999999993</v>
      </c>
      <c r="U109">
        <f t="shared" si="11"/>
        <v>5</v>
      </c>
      <c r="V109" t="str">
        <f t="shared" si="12"/>
        <v>Q2</v>
      </c>
      <c r="W109" t="str">
        <f t="shared" si="13"/>
        <v>May-2024</v>
      </c>
      <c r="X109">
        <f t="shared" si="14"/>
        <v>24551.45</v>
      </c>
      <c r="Y109" s="5">
        <f t="shared" si="15"/>
        <v>198643.55</v>
      </c>
      <c r="Z109" s="21">
        <f>DATE(K109,MATCH(J109,{"January","February","March","April","May","June","July","August","September","October","November","December"},0),1)</f>
        <v>45413</v>
      </c>
    </row>
    <row r="110" spans="1:26" x14ac:dyDescent="0.3">
      <c r="A110" s="4" t="s">
        <v>178</v>
      </c>
      <c r="B110" s="4" t="s">
        <v>23</v>
      </c>
      <c r="C110" s="4" t="s">
        <v>24</v>
      </c>
      <c r="D110" s="5">
        <v>11785.4</v>
      </c>
      <c r="E110" s="6">
        <v>5</v>
      </c>
      <c r="F110" s="5">
        <v>58927</v>
      </c>
      <c r="G110" s="1">
        <v>45468</v>
      </c>
      <c r="H110" t="s">
        <v>44</v>
      </c>
      <c r="I110">
        <v>1.6</v>
      </c>
      <c r="J110" t="s">
        <v>67</v>
      </c>
      <c r="K110">
        <v>2024</v>
      </c>
      <c r="L110">
        <v>11785.400000000001</v>
      </c>
      <c r="M110">
        <v>13</v>
      </c>
      <c r="N110" t="s">
        <v>41</v>
      </c>
      <c r="O110" t="s">
        <v>28</v>
      </c>
      <c r="P110">
        <f>FlipkartSales[[#This Row],[Price (INR)]]*FlipkartSales[[#This Row],[Quantity Sold]]</f>
        <v>58927</v>
      </c>
      <c r="Q110">
        <f>FlipkartSales[[#This Row],[Total Sales (INR)]]-FlipkartSales[[#This Row],[Calculated Sales]]</f>
        <v>0</v>
      </c>
      <c r="R110" s="9">
        <f t="shared" si="8"/>
        <v>0.2</v>
      </c>
      <c r="S110">
        <f t="shared" si="9"/>
        <v>11785.4</v>
      </c>
      <c r="T110">
        <f t="shared" si="10"/>
        <v>2357.0800000000004</v>
      </c>
      <c r="U110">
        <f t="shared" si="11"/>
        <v>6</v>
      </c>
      <c r="V110" t="str">
        <f t="shared" si="12"/>
        <v>Q2</v>
      </c>
      <c r="W110" t="str">
        <f t="shared" si="13"/>
        <v>Jun-2024</v>
      </c>
      <c r="X110">
        <f t="shared" si="14"/>
        <v>7660.51</v>
      </c>
      <c r="Y110" s="5">
        <f t="shared" si="15"/>
        <v>51266.49</v>
      </c>
      <c r="Z110" s="21">
        <f>DATE(K110,MATCH(J110,{"January","February","March","April","May","June","July","August","September","October","November","December"},0),1)</f>
        <v>45444</v>
      </c>
    </row>
    <row r="111" spans="1:26" x14ac:dyDescent="0.3">
      <c r="A111" s="4" t="s">
        <v>179</v>
      </c>
      <c r="B111" s="4" t="s">
        <v>125</v>
      </c>
      <c r="C111" s="4" t="s">
        <v>17</v>
      </c>
      <c r="D111" s="5">
        <v>30826.720000000001</v>
      </c>
      <c r="E111" s="6">
        <v>1</v>
      </c>
      <c r="F111" s="5">
        <v>30826.720000000001</v>
      </c>
      <c r="G111" s="1">
        <v>45508</v>
      </c>
      <c r="H111" t="s">
        <v>25</v>
      </c>
      <c r="I111">
        <v>3.9</v>
      </c>
      <c r="J111" t="s">
        <v>88</v>
      </c>
      <c r="K111">
        <v>2024</v>
      </c>
      <c r="L111">
        <v>6165.344000000001</v>
      </c>
      <c r="M111">
        <v>28</v>
      </c>
      <c r="N111" t="s">
        <v>27</v>
      </c>
      <c r="O111" t="s">
        <v>33</v>
      </c>
      <c r="P111">
        <f>FlipkartSales[[#This Row],[Price (INR)]]*FlipkartSales[[#This Row],[Quantity Sold]]</f>
        <v>30826.720000000001</v>
      </c>
      <c r="Q111">
        <f>FlipkartSales[[#This Row],[Total Sales (INR)]]-FlipkartSales[[#This Row],[Calculated Sales]]</f>
        <v>0</v>
      </c>
      <c r="R111" s="9">
        <f t="shared" si="8"/>
        <v>0.2</v>
      </c>
      <c r="S111">
        <f t="shared" si="9"/>
        <v>30826.720000000001</v>
      </c>
      <c r="T111">
        <f t="shared" si="10"/>
        <v>6165.344000000001</v>
      </c>
      <c r="U111">
        <f t="shared" si="11"/>
        <v>8</v>
      </c>
      <c r="V111" t="str">
        <f t="shared" si="12"/>
        <v>Q3</v>
      </c>
      <c r="W111" t="str">
        <f t="shared" si="13"/>
        <v>Aug-2024</v>
      </c>
      <c r="X111">
        <f t="shared" si="14"/>
        <v>8631.481600000001</v>
      </c>
      <c r="Y111" s="5">
        <f t="shared" si="15"/>
        <v>22195.238400000002</v>
      </c>
      <c r="Z111" s="21">
        <f>DATE(K111,MATCH(J111,{"January","February","March","April","May","June","July","August","September","October","November","December"},0),1)</f>
        <v>45505</v>
      </c>
    </row>
    <row r="112" spans="1:26" x14ac:dyDescent="0.3">
      <c r="A112" s="4" t="s">
        <v>180</v>
      </c>
      <c r="B112" s="4" t="s">
        <v>52</v>
      </c>
      <c r="C112" s="4" t="s">
        <v>24</v>
      </c>
      <c r="D112" s="5">
        <v>35811.1</v>
      </c>
      <c r="E112" s="6">
        <v>4</v>
      </c>
      <c r="F112" s="5">
        <v>143244.4</v>
      </c>
      <c r="G112" s="1">
        <v>45546</v>
      </c>
      <c r="H112" t="s">
        <v>80</v>
      </c>
      <c r="I112">
        <v>1.9</v>
      </c>
      <c r="J112" t="s">
        <v>19</v>
      </c>
      <c r="K112">
        <v>2024</v>
      </c>
      <c r="L112">
        <v>28648.880000000001</v>
      </c>
      <c r="M112">
        <v>5</v>
      </c>
      <c r="N112" t="s">
        <v>27</v>
      </c>
      <c r="O112" t="s">
        <v>68</v>
      </c>
      <c r="P112">
        <f>FlipkartSales[[#This Row],[Price (INR)]]*FlipkartSales[[#This Row],[Quantity Sold]]</f>
        <v>143244.4</v>
      </c>
      <c r="Q112">
        <f>FlipkartSales[[#This Row],[Total Sales (INR)]]-FlipkartSales[[#This Row],[Calculated Sales]]</f>
        <v>0</v>
      </c>
      <c r="R112" s="9">
        <f t="shared" si="8"/>
        <v>0.2</v>
      </c>
      <c r="S112">
        <f t="shared" si="9"/>
        <v>35811.1</v>
      </c>
      <c r="T112">
        <f t="shared" si="10"/>
        <v>7162.22</v>
      </c>
      <c r="U112">
        <f t="shared" si="11"/>
        <v>9</v>
      </c>
      <c r="V112" t="str">
        <f t="shared" si="12"/>
        <v>Q3</v>
      </c>
      <c r="W112" t="str">
        <f t="shared" si="13"/>
        <v>Sep-2024</v>
      </c>
      <c r="X112">
        <f t="shared" si="14"/>
        <v>7162.22</v>
      </c>
      <c r="Y112" s="5">
        <f t="shared" si="15"/>
        <v>136082.18</v>
      </c>
      <c r="Z112" s="21">
        <f>DATE(K112,MATCH(J112,{"January","February","March","April","May","June","July","August","September","October","November","December"},0),1)</f>
        <v>45536</v>
      </c>
    </row>
    <row r="113" spans="1:26" x14ac:dyDescent="0.3">
      <c r="A113" s="4" t="s">
        <v>181</v>
      </c>
      <c r="B113" s="4" t="s">
        <v>100</v>
      </c>
      <c r="C113" s="4" t="s">
        <v>31</v>
      </c>
      <c r="D113" s="5">
        <v>45387.99</v>
      </c>
      <c r="E113" s="6">
        <v>3</v>
      </c>
      <c r="F113" s="5">
        <v>136163.97</v>
      </c>
      <c r="G113" s="1">
        <v>45649</v>
      </c>
      <c r="H113" t="s">
        <v>64</v>
      </c>
      <c r="I113">
        <v>4.8</v>
      </c>
      <c r="J113" t="s">
        <v>26</v>
      </c>
      <c r="K113">
        <v>2024</v>
      </c>
      <c r="L113">
        <v>27232.794000000002</v>
      </c>
      <c r="M113">
        <v>16</v>
      </c>
      <c r="N113" t="s">
        <v>27</v>
      </c>
      <c r="O113" t="s">
        <v>68</v>
      </c>
      <c r="P113">
        <f>FlipkartSales[[#This Row],[Price (INR)]]*FlipkartSales[[#This Row],[Quantity Sold]]</f>
        <v>136163.97</v>
      </c>
      <c r="Q113">
        <f>FlipkartSales[[#This Row],[Total Sales (INR)]]-FlipkartSales[[#This Row],[Calculated Sales]]</f>
        <v>0</v>
      </c>
      <c r="R113" s="9">
        <f t="shared" si="8"/>
        <v>0.2</v>
      </c>
      <c r="S113">
        <f t="shared" si="9"/>
        <v>45387.99</v>
      </c>
      <c r="T113">
        <f t="shared" si="10"/>
        <v>9077.598</v>
      </c>
      <c r="U113">
        <f t="shared" si="11"/>
        <v>12</v>
      </c>
      <c r="V113" t="str">
        <f t="shared" si="12"/>
        <v>Q4</v>
      </c>
      <c r="W113" t="str">
        <f t="shared" si="13"/>
        <v>Dec-2024</v>
      </c>
      <c r="X113">
        <f t="shared" si="14"/>
        <v>21786.235199999999</v>
      </c>
      <c r="Y113" s="5">
        <f t="shared" si="15"/>
        <v>114377.73480000001</v>
      </c>
      <c r="Z113" s="21">
        <f>DATE(K113,MATCH(J113,{"January","February","March","April","May","June","July","August","September","October","November","December"},0),1)</f>
        <v>45627</v>
      </c>
    </row>
    <row r="114" spans="1:26" x14ac:dyDescent="0.3">
      <c r="A114" s="4" t="s">
        <v>182</v>
      </c>
      <c r="B114" s="4" t="s">
        <v>145</v>
      </c>
      <c r="C114" s="4" t="s">
        <v>40</v>
      </c>
      <c r="D114" s="5">
        <v>39263.94</v>
      </c>
      <c r="E114" s="6">
        <v>5</v>
      </c>
      <c r="F114" s="5">
        <v>196319.7</v>
      </c>
      <c r="G114" s="1">
        <v>45509</v>
      </c>
      <c r="H114" t="s">
        <v>44</v>
      </c>
      <c r="I114">
        <v>3.8</v>
      </c>
      <c r="J114" t="s">
        <v>88</v>
      </c>
      <c r="K114">
        <v>2024</v>
      </c>
      <c r="L114">
        <v>39263.94</v>
      </c>
      <c r="M114">
        <v>12</v>
      </c>
      <c r="N114" t="s">
        <v>41</v>
      </c>
      <c r="O114" t="s">
        <v>28</v>
      </c>
      <c r="P114">
        <f>FlipkartSales[[#This Row],[Price (INR)]]*FlipkartSales[[#This Row],[Quantity Sold]]</f>
        <v>196319.7</v>
      </c>
      <c r="Q114">
        <f>FlipkartSales[[#This Row],[Total Sales (INR)]]-FlipkartSales[[#This Row],[Calculated Sales]]</f>
        <v>0</v>
      </c>
      <c r="R114" s="9">
        <f t="shared" si="8"/>
        <v>0.2</v>
      </c>
      <c r="S114">
        <f t="shared" si="9"/>
        <v>39263.94</v>
      </c>
      <c r="T114">
        <f t="shared" si="10"/>
        <v>7852.7880000000005</v>
      </c>
      <c r="U114">
        <f t="shared" si="11"/>
        <v>8</v>
      </c>
      <c r="V114" t="str">
        <f t="shared" si="12"/>
        <v>Q3</v>
      </c>
      <c r="W114" t="str">
        <f t="shared" si="13"/>
        <v>Aug-2024</v>
      </c>
      <c r="X114">
        <f t="shared" si="14"/>
        <v>23558.364000000005</v>
      </c>
      <c r="Y114" s="5">
        <f t="shared" si="15"/>
        <v>172761.33600000001</v>
      </c>
      <c r="Z114" s="21">
        <f>DATE(K114,MATCH(J114,{"January","February","March","April","May","June","July","August","September","October","November","December"},0),1)</f>
        <v>45505</v>
      </c>
    </row>
    <row r="115" spans="1:26" x14ac:dyDescent="0.3">
      <c r="A115" s="4" t="s">
        <v>183</v>
      </c>
      <c r="B115" s="4" t="s">
        <v>16</v>
      </c>
      <c r="C115" s="4" t="s">
        <v>17</v>
      </c>
      <c r="D115" s="5">
        <v>19787.61</v>
      </c>
      <c r="E115" s="6">
        <v>1</v>
      </c>
      <c r="F115" s="5">
        <v>19787.61</v>
      </c>
      <c r="G115" s="1">
        <v>45572</v>
      </c>
      <c r="H115" t="s">
        <v>18</v>
      </c>
      <c r="I115">
        <v>3.9</v>
      </c>
      <c r="J115" t="s">
        <v>45</v>
      </c>
      <c r="K115">
        <v>2024</v>
      </c>
      <c r="L115">
        <v>3957.5220000000004</v>
      </c>
      <c r="M115">
        <v>28</v>
      </c>
      <c r="N115" t="s">
        <v>20</v>
      </c>
      <c r="O115" t="s">
        <v>68</v>
      </c>
      <c r="P115">
        <f>FlipkartSales[[#This Row],[Price (INR)]]*FlipkartSales[[#This Row],[Quantity Sold]]</f>
        <v>19787.61</v>
      </c>
      <c r="Q115">
        <f>FlipkartSales[[#This Row],[Total Sales (INR)]]-FlipkartSales[[#This Row],[Calculated Sales]]</f>
        <v>0</v>
      </c>
      <c r="R115" s="9">
        <f t="shared" si="8"/>
        <v>0.2</v>
      </c>
      <c r="S115">
        <f t="shared" si="9"/>
        <v>19787.61</v>
      </c>
      <c r="T115">
        <f t="shared" si="10"/>
        <v>3957.5220000000004</v>
      </c>
      <c r="U115">
        <f t="shared" si="11"/>
        <v>10</v>
      </c>
      <c r="V115" t="str">
        <f t="shared" si="12"/>
        <v>Q4</v>
      </c>
      <c r="W115" t="str">
        <f t="shared" si="13"/>
        <v>Oct-2024</v>
      </c>
      <c r="X115">
        <f t="shared" si="14"/>
        <v>5540.5308000000005</v>
      </c>
      <c r="Y115" s="5">
        <f t="shared" si="15"/>
        <v>14247.0792</v>
      </c>
      <c r="Z115" s="21">
        <f>DATE(K115,MATCH(J115,{"January","February","March","April","May","June","July","August","September","October","November","December"},0),1)</f>
        <v>45566</v>
      </c>
    </row>
    <row r="116" spans="1:26" x14ac:dyDescent="0.3">
      <c r="A116" s="4" t="s">
        <v>184</v>
      </c>
      <c r="B116" s="4" t="s">
        <v>52</v>
      </c>
      <c r="C116" s="4" t="s">
        <v>24</v>
      </c>
      <c r="D116" s="5">
        <v>26219.99</v>
      </c>
      <c r="E116" s="6">
        <v>4</v>
      </c>
      <c r="F116" s="5">
        <v>104879.96</v>
      </c>
      <c r="G116" s="1">
        <v>45365</v>
      </c>
      <c r="H116" t="s">
        <v>18</v>
      </c>
      <c r="I116">
        <v>2.1</v>
      </c>
      <c r="J116" t="s">
        <v>56</v>
      </c>
      <c r="K116">
        <v>2024</v>
      </c>
      <c r="L116">
        <v>20975.992000000002</v>
      </c>
      <c r="M116">
        <v>15</v>
      </c>
      <c r="N116" t="s">
        <v>27</v>
      </c>
      <c r="O116" t="s">
        <v>21</v>
      </c>
      <c r="P116">
        <f>FlipkartSales[[#This Row],[Price (INR)]]*FlipkartSales[[#This Row],[Quantity Sold]]</f>
        <v>104879.96</v>
      </c>
      <c r="Q116">
        <f>FlipkartSales[[#This Row],[Total Sales (INR)]]-FlipkartSales[[#This Row],[Calculated Sales]]</f>
        <v>0</v>
      </c>
      <c r="R116" s="9">
        <f t="shared" si="8"/>
        <v>0.2</v>
      </c>
      <c r="S116">
        <f t="shared" si="9"/>
        <v>26219.99</v>
      </c>
      <c r="T116">
        <f t="shared" si="10"/>
        <v>5243.9980000000005</v>
      </c>
      <c r="U116">
        <f t="shared" si="11"/>
        <v>3</v>
      </c>
      <c r="V116" t="str">
        <f t="shared" si="12"/>
        <v>Q1</v>
      </c>
      <c r="W116" t="str">
        <f t="shared" si="13"/>
        <v>Mar-2024</v>
      </c>
      <c r="X116">
        <f t="shared" si="14"/>
        <v>15731.994000000001</v>
      </c>
      <c r="Y116" s="5">
        <f t="shared" si="15"/>
        <v>89147.966</v>
      </c>
      <c r="Z116" s="21">
        <f>DATE(K116,MATCH(J116,{"January","February","March","April","May","June","July","August","September","October","November","December"},0),1)</f>
        <v>45352</v>
      </c>
    </row>
    <row r="117" spans="1:26" x14ac:dyDescent="0.3">
      <c r="A117" s="4" t="s">
        <v>185</v>
      </c>
      <c r="B117" s="4" t="s">
        <v>61</v>
      </c>
      <c r="C117" s="4" t="s">
        <v>31</v>
      </c>
      <c r="D117" s="5">
        <v>14286.02</v>
      </c>
      <c r="E117" s="6">
        <v>4</v>
      </c>
      <c r="F117" s="5">
        <v>57144.08</v>
      </c>
      <c r="G117" s="1">
        <v>45437</v>
      </c>
      <c r="H117" t="s">
        <v>25</v>
      </c>
      <c r="I117">
        <v>3.7</v>
      </c>
      <c r="J117" t="s">
        <v>32</v>
      </c>
      <c r="K117">
        <v>2024</v>
      </c>
      <c r="L117">
        <v>11428.816000000001</v>
      </c>
      <c r="M117">
        <v>23</v>
      </c>
      <c r="N117" t="s">
        <v>27</v>
      </c>
      <c r="O117" t="s">
        <v>28</v>
      </c>
      <c r="P117">
        <f>FlipkartSales[[#This Row],[Price (INR)]]*FlipkartSales[[#This Row],[Quantity Sold]]</f>
        <v>57144.08</v>
      </c>
      <c r="Q117">
        <f>FlipkartSales[[#This Row],[Total Sales (INR)]]-FlipkartSales[[#This Row],[Calculated Sales]]</f>
        <v>0</v>
      </c>
      <c r="R117" s="9">
        <f t="shared" si="8"/>
        <v>0.2</v>
      </c>
      <c r="S117">
        <f t="shared" si="9"/>
        <v>14286.02</v>
      </c>
      <c r="T117">
        <f t="shared" si="10"/>
        <v>2857.2040000000002</v>
      </c>
      <c r="U117">
        <f t="shared" si="11"/>
        <v>5</v>
      </c>
      <c r="V117" t="str">
        <f t="shared" si="12"/>
        <v>Q2</v>
      </c>
      <c r="W117" t="str">
        <f t="shared" si="13"/>
        <v>May-2024</v>
      </c>
      <c r="X117">
        <f t="shared" si="14"/>
        <v>13143.138400000002</v>
      </c>
      <c r="Y117" s="5">
        <f t="shared" si="15"/>
        <v>44000.941599999998</v>
      </c>
      <c r="Z117" s="21">
        <f>DATE(K117,MATCH(J117,{"January","February","March","April","May","June","July","August","September","October","November","December"},0),1)</f>
        <v>45413</v>
      </c>
    </row>
    <row r="118" spans="1:26" x14ac:dyDescent="0.3">
      <c r="A118" s="4" t="s">
        <v>186</v>
      </c>
      <c r="B118" s="4" t="s">
        <v>78</v>
      </c>
      <c r="C118" s="4" t="s">
        <v>24</v>
      </c>
      <c r="D118" s="5">
        <v>13019.07</v>
      </c>
      <c r="E118" s="6">
        <v>3</v>
      </c>
      <c r="F118" s="5">
        <v>39057.21</v>
      </c>
      <c r="G118" s="1">
        <v>45690</v>
      </c>
      <c r="H118" t="s">
        <v>71</v>
      </c>
      <c r="I118">
        <v>2.8</v>
      </c>
      <c r="J118" t="s">
        <v>59</v>
      </c>
      <c r="K118">
        <v>2025</v>
      </c>
      <c r="L118">
        <v>7811.442</v>
      </c>
      <c r="M118">
        <v>21</v>
      </c>
      <c r="N118" t="s">
        <v>41</v>
      </c>
      <c r="O118" t="s">
        <v>33</v>
      </c>
      <c r="P118">
        <f>FlipkartSales[[#This Row],[Price (INR)]]*FlipkartSales[[#This Row],[Quantity Sold]]</f>
        <v>39057.21</v>
      </c>
      <c r="Q118">
        <f>FlipkartSales[[#This Row],[Total Sales (INR)]]-FlipkartSales[[#This Row],[Calculated Sales]]</f>
        <v>0</v>
      </c>
      <c r="R118" s="9">
        <f t="shared" si="8"/>
        <v>0.2</v>
      </c>
      <c r="S118">
        <f t="shared" si="9"/>
        <v>13019.07</v>
      </c>
      <c r="T118">
        <f t="shared" si="10"/>
        <v>2603.8139999999999</v>
      </c>
      <c r="U118">
        <f t="shared" si="11"/>
        <v>2</v>
      </c>
      <c r="V118" t="str">
        <f t="shared" si="12"/>
        <v>Q1</v>
      </c>
      <c r="W118" t="str">
        <f t="shared" si="13"/>
        <v>Feb-2025</v>
      </c>
      <c r="X118">
        <f t="shared" si="14"/>
        <v>8202.0141000000003</v>
      </c>
      <c r="Y118" s="5">
        <f t="shared" si="15"/>
        <v>30855.195899999999</v>
      </c>
      <c r="Z118" s="21">
        <f>DATE(K118,MATCH(J118,{"January","February","March","April","May","June","July","August","September","October","November","December"},0),1)</f>
        <v>45689</v>
      </c>
    </row>
    <row r="119" spans="1:26" x14ac:dyDescent="0.3">
      <c r="A119" s="4" t="s">
        <v>187</v>
      </c>
      <c r="B119" s="4" t="s">
        <v>30</v>
      </c>
      <c r="C119" s="4" t="s">
        <v>31</v>
      </c>
      <c r="D119" s="5">
        <v>43488.42</v>
      </c>
      <c r="E119" s="6">
        <v>3</v>
      </c>
      <c r="F119" s="5">
        <v>130465.26</v>
      </c>
      <c r="G119" s="1">
        <v>45491</v>
      </c>
      <c r="H119" t="s">
        <v>80</v>
      </c>
      <c r="I119">
        <v>3</v>
      </c>
      <c r="J119" t="s">
        <v>48</v>
      </c>
      <c r="K119">
        <v>2024</v>
      </c>
      <c r="L119">
        <v>26093.052</v>
      </c>
      <c r="M119">
        <v>12</v>
      </c>
      <c r="N119" t="s">
        <v>27</v>
      </c>
      <c r="O119" t="s">
        <v>28</v>
      </c>
      <c r="P119">
        <f>FlipkartSales[[#This Row],[Price (INR)]]*FlipkartSales[[#This Row],[Quantity Sold]]</f>
        <v>130465.26</v>
      </c>
      <c r="Q119">
        <f>FlipkartSales[[#This Row],[Total Sales (INR)]]-FlipkartSales[[#This Row],[Calculated Sales]]</f>
        <v>0</v>
      </c>
      <c r="R119" s="9">
        <f t="shared" si="8"/>
        <v>0.2</v>
      </c>
      <c r="S119">
        <f t="shared" si="9"/>
        <v>43488.42</v>
      </c>
      <c r="T119">
        <f t="shared" si="10"/>
        <v>8697.6839999999993</v>
      </c>
      <c r="U119">
        <f t="shared" si="11"/>
        <v>7</v>
      </c>
      <c r="V119" t="str">
        <f t="shared" si="12"/>
        <v>Q3</v>
      </c>
      <c r="W119" t="str">
        <f t="shared" si="13"/>
        <v>Jul-2024</v>
      </c>
      <c r="X119">
        <f t="shared" si="14"/>
        <v>15655.831199999999</v>
      </c>
      <c r="Y119" s="5">
        <f t="shared" si="15"/>
        <v>114809.42879999999</v>
      </c>
      <c r="Z119" s="21">
        <f>DATE(K119,MATCH(J119,{"January","February","March","April","May","June","July","August","September","October","November","December"},0),1)</f>
        <v>45474</v>
      </c>
    </row>
    <row r="120" spans="1:26" x14ac:dyDescent="0.3">
      <c r="A120" s="4" t="s">
        <v>188</v>
      </c>
      <c r="B120" s="4" t="s">
        <v>74</v>
      </c>
      <c r="C120" s="4" t="s">
        <v>17</v>
      </c>
      <c r="D120" s="5">
        <v>30903.49</v>
      </c>
      <c r="E120" s="6">
        <v>4</v>
      </c>
      <c r="F120" s="5">
        <v>123613.96</v>
      </c>
      <c r="G120" s="1">
        <v>45545</v>
      </c>
      <c r="H120" t="s">
        <v>80</v>
      </c>
      <c r="I120">
        <v>1.7</v>
      </c>
      <c r="J120" t="s">
        <v>19</v>
      </c>
      <c r="K120">
        <v>2024</v>
      </c>
      <c r="L120">
        <v>24722.792000000001</v>
      </c>
      <c r="M120">
        <v>7</v>
      </c>
      <c r="N120" t="s">
        <v>41</v>
      </c>
      <c r="O120" t="s">
        <v>68</v>
      </c>
      <c r="P120">
        <f>FlipkartSales[[#This Row],[Price (INR)]]*FlipkartSales[[#This Row],[Quantity Sold]]</f>
        <v>123613.96</v>
      </c>
      <c r="Q120">
        <f>FlipkartSales[[#This Row],[Total Sales (INR)]]-FlipkartSales[[#This Row],[Calculated Sales]]</f>
        <v>0</v>
      </c>
      <c r="R120" s="9">
        <f t="shared" si="8"/>
        <v>0.2</v>
      </c>
      <c r="S120">
        <f t="shared" si="9"/>
        <v>30903.49</v>
      </c>
      <c r="T120">
        <f t="shared" si="10"/>
        <v>6180.6980000000003</v>
      </c>
      <c r="U120">
        <f t="shared" si="11"/>
        <v>9</v>
      </c>
      <c r="V120" t="str">
        <f t="shared" si="12"/>
        <v>Q3</v>
      </c>
      <c r="W120" t="str">
        <f t="shared" si="13"/>
        <v>Sep-2024</v>
      </c>
      <c r="X120">
        <f t="shared" si="14"/>
        <v>8652.9772000000012</v>
      </c>
      <c r="Y120" s="5">
        <f t="shared" si="15"/>
        <v>114960.9828</v>
      </c>
      <c r="Z120" s="21">
        <f>DATE(K120,MATCH(J120,{"January","February","March","April","May","June","July","August","September","October","November","December"},0),1)</f>
        <v>45536</v>
      </c>
    </row>
    <row r="121" spans="1:26" x14ac:dyDescent="0.3">
      <c r="A121" s="4" t="s">
        <v>189</v>
      </c>
      <c r="B121" s="4" t="s">
        <v>50</v>
      </c>
      <c r="C121" s="4" t="s">
        <v>40</v>
      </c>
      <c r="D121" s="5">
        <v>37405.46</v>
      </c>
      <c r="E121" s="6">
        <v>4</v>
      </c>
      <c r="F121" s="5">
        <v>149621.84</v>
      </c>
      <c r="G121" s="1">
        <v>45672</v>
      </c>
      <c r="H121" t="s">
        <v>44</v>
      </c>
      <c r="I121">
        <v>1.3</v>
      </c>
      <c r="J121" t="s">
        <v>53</v>
      </c>
      <c r="K121">
        <v>2025</v>
      </c>
      <c r="L121">
        <v>29924.368000000002</v>
      </c>
      <c r="M121">
        <v>7</v>
      </c>
      <c r="N121" t="s">
        <v>20</v>
      </c>
      <c r="O121" t="s">
        <v>33</v>
      </c>
      <c r="P121">
        <f>FlipkartSales[[#This Row],[Price (INR)]]*FlipkartSales[[#This Row],[Quantity Sold]]</f>
        <v>149621.84</v>
      </c>
      <c r="Q121">
        <f>FlipkartSales[[#This Row],[Total Sales (INR)]]-FlipkartSales[[#This Row],[Calculated Sales]]</f>
        <v>0</v>
      </c>
      <c r="R121" s="9">
        <f t="shared" si="8"/>
        <v>0.2</v>
      </c>
      <c r="S121">
        <f t="shared" si="9"/>
        <v>37405.46</v>
      </c>
      <c r="T121">
        <f t="shared" si="10"/>
        <v>7481.0920000000006</v>
      </c>
      <c r="U121">
        <f t="shared" si="11"/>
        <v>1</v>
      </c>
      <c r="V121" t="str">
        <f t="shared" si="12"/>
        <v>Q1</v>
      </c>
      <c r="W121" t="str">
        <f t="shared" si="13"/>
        <v>Jan-2025</v>
      </c>
      <c r="X121">
        <f t="shared" si="14"/>
        <v>10473.5288</v>
      </c>
      <c r="Y121" s="5">
        <f t="shared" si="15"/>
        <v>139148.3112</v>
      </c>
      <c r="Z121" s="21">
        <f>DATE(K121,MATCH(J121,{"January","February","March","April","May","June","July","August","September","October","November","December"},0),1)</f>
        <v>45658</v>
      </c>
    </row>
    <row r="122" spans="1:26" x14ac:dyDescent="0.3">
      <c r="A122" s="4" t="s">
        <v>190</v>
      </c>
      <c r="B122" s="4" t="s">
        <v>55</v>
      </c>
      <c r="C122" s="4" t="s">
        <v>36</v>
      </c>
      <c r="D122" s="5">
        <v>30593.67</v>
      </c>
      <c r="E122" s="6">
        <v>4</v>
      </c>
      <c r="F122" s="5">
        <v>122374.68</v>
      </c>
      <c r="G122" s="1">
        <v>45430</v>
      </c>
      <c r="H122" t="s">
        <v>64</v>
      </c>
      <c r="I122">
        <v>1.5</v>
      </c>
      <c r="J122" t="s">
        <v>32</v>
      </c>
      <c r="K122">
        <v>2024</v>
      </c>
      <c r="L122">
        <v>24474.936000000002</v>
      </c>
      <c r="M122">
        <v>5</v>
      </c>
      <c r="N122" t="s">
        <v>41</v>
      </c>
      <c r="O122" t="s">
        <v>28</v>
      </c>
      <c r="P122">
        <f>FlipkartSales[[#This Row],[Price (INR)]]*FlipkartSales[[#This Row],[Quantity Sold]]</f>
        <v>122374.68</v>
      </c>
      <c r="Q122">
        <f>FlipkartSales[[#This Row],[Total Sales (INR)]]-FlipkartSales[[#This Row],[Calculated Sales]]</f>
        <v>0</v>
      </c>
      <c r="R122" s="9">
        <f t="shared" si="8"/>
        <v>0.2</v>
      </c>
      <c r="S122">
        <f t="shared" si="9"/>
        <v>30593.67</v>
      </c>
      <c r="T122">
        <f t="shared" si="10"/>
        <v>6118.7340000000004</v>
      </c>
      <c r="U122">
        <f t="shared" si="11"/>
        <v>5</v>
      </c>
      <c r="V122" t="str">
        <f t="shared" si="12"/>
        <v>Q2</v>
      </c>
      <c r="W122" t="str">
        <f t="shared" si="13"/>
        <v>May-2024</v>
      </c>
      <c r="X122">
        <f t="shared" si="14"/>
        <v>6118.7339999999995</v>
      </c>
      <c r="Y122" s="5">
        <f t="shared" si="15"/>
        <v>116255.946</v>
      </c>
      <c r="Z122" s="21">
        <f>DATE(K122,MATCH(J122,{"January","February","March","April","May","June","July","August","September","October","November","December"},0),1)</f>
        <v>45413</v>
      </c>
    </row>
    <row r="123" spans="1:26" x14ac:dyDescent="0.3">
      <c r="A123" s="4" t="s">
        <v>191</v>
      </c>
      <c r="B123" s="4" t="s">
        <v>107</v>
      </c>
      <c r="C123" s="4" t="s">
        <v>36</v>
      </c>
      <c r="D123" s="5">
        <v>28688.25</v>
      </c>
      <c r="E123" s="6">
        <v>3</v>
      </c>
      <c r="F123" s="5">
        <v>86064.75</v>
      </c>
      <c r="G123" s="1">
        <v>45439</v>
      </c>
      <c r="H123" t="s">
        <v>25</v>
      </c>
      <c r="I123">
        <v>2.4</v>
      </c>
      <c r="J123" t="s">
        <v>32</v>
      </c>
      <c r="K123">
        <v>2024</v>
      </c>
      <c r="L123">
        <v>17212.95</v>
      </c>
      <c r="M123">
        <v>9</v>
      </c>
      <c r="N123" t="s">
        <v>41</v>
      </c>
      <c r="O123" t="s">
        <v>21</v>
      </c>
      <c r="P123">
        <f>FlipkartSales[[#This Row],[Price (INR)]]*FlipkartSales[[#This Row],[Quantity Sold]]</f>
        <v>86064.75</v>
      </c>
      <c r="Q123">
        <f>FlipkartSales[[#This Row],[Total Sales (INR)]]-FlipkartSales[[#This Row],[Calculated Sales]]</f>
        <v>0</v>
      </c>
      <c r="R123" s="9">
        <f t="shared" si="8"/>
        <v>0.2</v>
      </c>
      <c r="S123">
        <f t="shared" si="9"/>
        <v>28688.25</v>
      </c>
      <c r="T123">
        <f t="shared" si="10"/>
        <v>5737.6500000000005</v>
      </c>
      <c r="U123">
        <f t="shared" si="11"/>
        <v>5</v>
      </c>
      <c r="V123" t="str">
        <f t="shared" si="12"/>
        <v>Q2</v>
      </c>
      <c r="W123" t="str">
        <f t="shared" si="13"/>
        <v>May-2024</v>
      </c>
      <c r="X123">
        <f t="shared" si="14"/>
        <v>7745.8275000000003</v>
      </c>
      <c r="Y123" s="5">
        <f t="shared" si="15"/>
        <v>78318.922500000001</v>
      </c>
      <c r="Z123" s="21">
        <f>DATE(K123,MATCH(J123,{"January","February","March","April","May","June","July","August","September","October","November","December"},0),1)</f>
        <v>45413</v>
      </c>
    </row>
    <row r="124" spans="1:26" x14ac:dyDescent="0.3">
      <c r="A124" s="4" t="s">
        <v>192</v>
      </c>
      <c r="B124" s="4" t="s">
        <v>94</v>
      </c>
      <c r="C124" s="4" t="s">
        <v>31</v>
      </c>
      <c r="D124" s="5">
        <v>12158.96</v>
      </c>
      <c r="E124" s="6">
        <v>3</v>
      </c>
      <c r="F124" s="5">
        <v>36476.879999999997</v>
      </c>
      <c r="G124" s="1">
        <v>45372</v>
      </c>
      <c r="H124" t="s">
        <v>80</v>
      </c>
      <c r="I124">
        <v>1.1000000000000001</v>
      </c>
      <c r="J124" t="s">
        <v>56</v>
      </c>
      <c r="K124">
        <v>2024</v>
      </c>
      <c r="L124">
        <v>7295.3760000000002</v>
      </c>
      <c r="M124">
        <v>14</v>
      </c>
      <c r="N124" t="s">
        <v>41</v>
      </c>
      <c r="O124" t="s">
        <v>21</v>
      </c>
      <c r="P124">
        <f>FlipkartSales[[#This Row],[Price (INR)]]*FlipkartSales[[#This Row],[Quantity Sold]]</f>
        <v>36476.879999999997</v>
      </c>
      <c r="Q124">
        <f>FlipkartSales[[#This Row],[Total Sales (INR)]]-FlipkartSales[[#This Row],[Calculated Sales]]</f>
        <v>0</v>
      </c>
      <c r="R124" s="9">
        <f t="shared" si="8"/>
        <v>0.2</v>
      </c>
      <c r="S124">
        <f t="shared" si="9"/>
        <v>12158.96</v>
      </c>
      <c r="T124">
        <f t="shared" si="10"/>
        <v>2431.7919999999999</v>
      </c>
      <c r="U124">
        <f t="shared" si="11"/>
        <v>3</v>
      </c>
      <c r="V124" t="str">
        <f t="shared" si="12"/>
        <v>Q1</v>
      </c>
      <c r="W124" t="str">
        <f t="shared" si="13"/>
        <v>Mar-2024</v>
      </c>
      <c r="X124">
        <f t="shared" si="14"/>
        <v>5106.7631999999994</v>
      </c>
      <c r="Y124" s="5">
        <f t="shared" si="15"/>
        <v>31370.116799999996</v>
      </c>
      <c r="Z124" s="21">
        <f>DATE(K124,MATCH(J124,{"January","February","March","April","May","June","July","August","September","October","November","December"},0),1)</f>
        <v>45352</v>
      </c>
    </row>
    <row r="125" spans="1:26" x14ac:dyDescent="0.3">
      <c r="A125" s="4" t="s">
        <v>193</v>
      </c>
      <c r="B125" s="4" t="s">
        <v>107</v>
      </c>
      <c r="C125" s="4" t="s">
        <v>36</v>
      </c>
      <c r="D125" s="5">
        <v>24500.05</v>
      </c>
      <c r="E125" s="6">
        <v>3</v>
      </c>
      <c r="F125" s="5">
        <v>73500.149999999994</v>
      </c>
      <c r="G125" s="1">
        <v>45403</v>
      </c>
      <c r="H125" t="s">
        <v>71</v>
      </c>
      <c r="I125">
        <v>4.4000000000000004</v>
      </c>
      <c r="J125" t="s">
        <v>62</v>
      </c>
      <c r="K125">
        <v>2024</v>
      </c>
      <c r="L125">
        <v>14700.029999999999</v>
      </c>
      <c r="M125">
        <v>11</v>
      </c>
      <c r="N125" t="s">
        <v>41</v>
      </c>
      <c r="O125" t="s">
        <v>28</v>
      </c>
      <c r="P125">
        <f>FlipkartSales[[#This Row],[Price (INR)]]*FlipkartSales[[#This Row],[Quantity Sold]]</f>
        <v>73500.149999999994</v>
      </c>
      <c r="Q125">
        <f>FlipkartSales[[#This Row],[Total Sales (INR)]]-FlipkartSales[[#This Row],[Calculated Sales]]</f>
        <v>0</v>
      </c>
      <c r="R125" s="9">
        <f t="shared" si="8"/>
        <v>0.2</v>
      </c>
      <c r="S125">
        <f t="shared" si="9"/>
        <v>24500.05</v>
      </c>
      <c r="T125">
        <f t="shared" si="10"/>
        <v>4900.0099999999993</v>
      </c>
      <c r="U125">
        <f t="shared" si="11"/>
        <v>4</v>
      </c>
      <c r="V125" t="str">
        <f t="shared" si="12"/>
        <v>Q2</v>
      </c>
      <c r="W125" t="str">
        <f t="shared" si="13"/>
        <v>Apr-2024</v>
      </c>
      <c r="X125">
        <f t="shared" si="14"/>
        <v>8085.0164999999988</v>
      </c>
      <c r="Y125" s="5">
        <f t="shared" si="15"/>
        <v>65415.133499999996</v>
      </c>
      <c r="Z125" s="21">
        <f>DATE(K125,MATCH(J125,{"January","February","March","April","May","June","July","August","September","October","November","December"},0),1)</f>
        <v>45383</v>
      </c>
    </row>
    <row r="126" spans="1:26" x14ac:dyDescent="0.3">
      <c r="A126" s="4" t="s">
        <v>194</v>
      </c>
      <c r="B126" s="4" t="s">
        <v>50</v>
      </c>
      <c r="C126" s="4" t="s">
        <v>40</v>
      </c>
      <c r="D126" s="5">
        <v>44412.88</v>
      </c>
      <c r="E126" s="6">
        <v>3</v>
      </c>
      <c r="F126" s="5">
        <v>133238.64000000001</v>
      </c>
      <c r="G126" s="1">
        <v>45548</v>
      </c>
      <c r="H126" t="s">
        <v>64</v>
      </c>
      <c r="I126">
        <v>1.4</v>
      </c>
      <c r="J126" t="s">
        <v>19</v>
      </c>
      <c r="K126">
        <v>2024</v>
      </c>
      <c r="L126">
        <v>26647.728000000003</v>
      </c>
      <c r="M126">
        <v>30</v>
      </c>
      <c r="N126" t="s">
        <v>20</v>
      </c>
      <c r="O126" t="s">
        <v>21</v>
      </c>
      <c r="P126">
        <f>FlipkartSales[[#This Row],[Price (INR)]]*FlipkartSales[[#This Row],[Quantity Sold]]</f>
        <v>133238.63999999998</v>
      </c>
      <c r="Q126">
        <f>FlipkartSales[[#This Row],[Total Sales (INR)]]-FlipkartSales[[#This Row],[Calculated Sales]]</f>
        <v>0</v>
      </c>
      <c r="R126" s="9">
        <f t="shared" si="8"/>
        <v>0.2</v>
      </c>
      <c r="S126">
        <f t="shared" si="9"/>
        <v>44412.880000000005</v>
      </c>
      <c r="T126">
        <f t="shared" si="10"/>
        <v>8882.5760000000009</v>
      </c>
      <c r="U126">
        <f t="shared" si="11"/>
        <v>9</v>
      </c>
      <c r="V126" t="str">
        <f t="shared" si="12"/>
        <v>Q3</v>
      </c>
      <c r="W126" t="str">
        <f t="shared" si="13"/>
        <v>Sep-2024</v>
      </c>
      <c r="X126">
        <f t="shared" si="14"/>
        <v>39971.592000000004</v>
      </c>
      <c r="Y126" s="5">
        <f t="shared" si="15"/>
        <v>93267.04800000001</v>
      </c>
      <c r="Z126" s="21">
        <f>DATE(K126,MATCH(J126,{"January","February","March","April","May","June","July","August","September","October","November","December"},0),1)</f>
        <v>45536</v>
      </c>
    </row>
    <row r="127" spans="1:26" x14ac:dyDescent="0.3">
      <c r="A127" s="4" t="s">
        <v>195</v>
      </c>
      <c r="B127" s="4" t="s">
        <v>66</v>
      </c>
      <c r="C127" s="4" t="s">
        <v>36</v>
      </c>
      <c r="D127" s="5">
        <v>26615.97</v>
      </c>
      <c r="E127" s="6">
        <v>3</v>
      </c>
      <c r="F127" s="5">
        <v>79847.91</v>
      </c>
      <c r="G127" s="1">
        <v>45530</v>
      </c>
      <c r="H127" t="s">
        <v>80</v>
      </c>
      <c r="I127">
        <v>3.6</v>
      </c>
      <c r="J127" t="s">
        <v>88</v>
      </c>
      <c r="K127">
        <v>2024</v>
      </c>
      <c r="L127">
        <v>15969.582000000002</v>
      </c>
      <c r="M127">
        <v>13</v>
      </c>
      <c r="N127" t="s">
        <v>20</v>
      </c>
      <c r="O127" t="s">
        <v>21</v>
      </c>
      <c r="P127">
        <f>FlipkartSales[[#This Row],[Price (INR)]]*FlipkartSales[[#This Row],[Quantity Sold]]</f>
        <v>79847.91</v>
      </c>
      <c r="Q127">
        <f>FlipkartSales[[#This Row],[Total Sales (INR)]]-FlipkartSales[[#This Row],[Calculated Sales]]</f>
        <v>0</v>
      </c>
      <c r="R127" s="9">
        <f t="shared" si="8"/>
        <v>0.2</v>
      </c>
      <c r="S127">
        <f t="shared" si="9"/>
        <v>26615.97</v>
      </c>
      <c r="T127">
        <f t="shared" si="10"/>
        <v>5323.1940000000004</v>
      </c>
      <c r="U127">
        <f t="shared" si="11"/>
        <v>8</v>
      </c>
      <c r="V127" t="str">
        <f t="shared" si="12"/>
        <v>Q3</v>
      </c>
      <c r="W127" t="str">
        <f t="shared" si="13"/>
        <v>Aug-2024</v>
      </c>
      <c r="X127">
        <f t="shared" si="14"/>
        <v>10380.228300000001</v>
      </c>
      <c r="Y127" s="5">
        <f t="shared" si="15"/>
        <v>69467.681700000001</v>
      </c>
      <c r="Z127" s="21">
        <f>DATE(K127,MATCH(J127,{"January","February","March","April","May","June","July","August","September","October","November","December"},0),1)</f>
        <v>45505</v>
      </c>
    </row>
    <row r="128" spans="1:26" x14ac:dyDescent="0.3">
      <c r="A128" s="4" t="s">
        <v>196</v>
      </c>
      <c r="B128" s="4" t="s">
        <v>52</v>
      </c>
      <c r="C128" s="4" t="s">
        <v>24</v>
      </c>
      <c r="D128" s="5">
        <v>3979.4</v>
      </c>
      <c r="E128" s="6">
        <v>1</v>
      </c>
      <c r="F128" s="5">
        <v>3979.4</v>
      </c>
      <c r="G128" s="1">
        <v>45567</v>
      </c>
      <c r="H128" t="s">
        <v>18</v>
      </c>
      <c r="I128">
        <v>4.5999999999999996</v>
      </c>
      <c r="J128" t="s">
        <v>45</v>
      </c>
      <c r="K128">
        <v>2024</v>
      </c>
      <c r="L128">
        <v>795.88000000000011</v>
      </c>
      <c r="M128">
        <v>11</v>
      </c>
      <c r="N128" t="s">
        <v>27</v>
      </c>
      <c r="O128" t="s">
        <v>21</v>
      </c>
      <c r="P128">
        <f>FlipkartSales[[#This Row],[Price (INR)]]*FlipkartSales[[#This Row],[Quantity Sold]]</f>
        <v>3979.4</v>
      </c>
      <c r="Q128">
        <f>FlipkartSales[[#This Row],[Total Sales (INR)]]-FlipkartSales[[#This Row],[Calculated Sales]]</f>
        <v>0</v>
      </c>
      <c r="R128" s="9">
        <f t="shared" si="8"/>
        <v>0.2</v>
      </c>
      <c r="S128">
        <f t="shared" si="9"/>
        <v>3979.4</v>
      </c>
      <c r="T128">
        <f t="shared" si="10"/>
        <v>795.88000000000011</v>
      </c>
      <c r="U128">
        <f t="shared" si="11"/>
        <v>10</v>
      </c>
      <c r="V128" t="str">
        <f t="shared" si="12"/>
        <v>Q4</v>
      </c>
      <c r="W128" t="str">
        <f t="shared" si="13"/>
        <v>Oct-2024</v>
      </c>
      <c r="X128">
        <f t="shared" si="14"/>
        <v>437.73400000000004</v>
      </c>
      <c r="Y128" s="5">
        <f t="shared" si="15"/>
        <v>3541.6660000000002</v>
      </c>
      <c r="Z128" s="21">
        <f>DATE(K128,MATCH(J128,{"January","February","March","April","May","June","July","August","September","October","November","December"},0),1)</f>
        <v>45566</v>
      </c>
    </row>
    <row r="129" spans="1:26" x14ac:dyDescent="0.3">
      <c r="A129" s="4" t="s">
        <v>197</v>
      </c>
      <c r="B129" s="4" t="s">
        <v>58</v>
      </c>
      <c r="C129" s="4" t="s">
        <v>31</v>
      </c>
      <c r="D129" s="5">
        <v>49687.49</v>
      </c>
      <c r="E129" s="6">
        <v>2</v>
      </c>
      <c r="F129" s="5">
        <v>99374.98</v>
      </c>
      <c r="G129" s="1">
        <v>45414</v>
      </c>
      <c r="H129" t="s">
        <v>25</v>
      </c>
      <c r="I129">
        <v>2.5</v>
      </c>
      <c r="J129" t="s">
        <v>32</v>
      </c>
      <c r="K129">
        <v>2024</v>
      </c>
      <c r="L129">
        <v>19874.995999999999</v>
      </c>
      <c r="M129">
        <v>13</v>
      </c>
      <c r="N129" t="s">
        <v>20</v>
      </c>
      <c r="O129" t="s">
        <v>33</v>
      </c>
      <c r="P129">
        <f>FlipkartSales[[#This Row],[Price (INR)]]*FlipkartSales[[#This Row],[Quantity Sold]]</f>
        <v>99374.98</v>
      </c>
      <c r="Q129">
        <f>FlipkartSales[[#This Row],[Total Sales (INR)]]-FlipkartSales[[#This Row],[Calculated Sales]]</f>
        <v>0</v>
      </c>
      <c r="R129" s="9">
        <f t="shared" si="8"/>
        <v>0.2</v>
      </c>
      <c r="S129">
        <f t="shared" si="9"/>
        <v>49687.49</v>
      </c>
      <c r="T129">
        <f t="shared" si="10"/>
        <v>9937.4979999999996</v>
      </c>
      <c r="U129">
        <f t="shared" si="11"/>
        <v>5</v>
      </c>
      <c r="V129" t="str">
        <f t="shared" si="12"/>
        <v>Q2</v>
      </c>
      <c r="W129" t="str">
        <f t="shared" si="13"/>
        <v>May-2024</v>
      </c>
      <c r="X129">
        <f t="shared" si="14"/>
        <v>12918.7474</v>
      </c>
      <c r="Y129" s="5">
        <f t="shared" si="15"/>
        <v>86456.232599999988</v>
      </c>
      <c r="Z129" s="21">
        <f>DATE(K129,MATCH(J129,{"January","February","March","April","May","June","July","August","September","October","November","December"},0),1)</f>
        <v>45413</v>
      </c>
    </row>
    <row r="130" spans="1:26" x14ac:dyDescent="0.3">
      <c r="A130" s="4" t="s">
        <v>198</v>
      </c>
      <c r="B130" s="4" t="s">
        <v>96</v>
      </c>
      <c r="C130" s="4" t="s">
        <v>36</v>
      </c>
      <c r="D130" s="5">
        <v>11289.42</v>
      </c>
      <c r="E130" s="6">
        <v>3</v>
      </c>
      <c r="F130" s="5">
        <v>33868.26</v>
      </c>
      <c r="G130" s="1">
        <v>45514</v>
      </c>
      <c r="H130" t="s">
        <v>25</v>
      </c>
      <c r="I130">
        <v>2.2999999999999998</v>
      </c>
      <c r="J130" t="s">
        <v>88</v>
      </c>
      <c r="K130">
        <v>2024</v>
      </c>
      <c r="L130">
        <v>6773.652000000001</v>
      </c>
      <c r="M130">
        <v>12</v>
      </c>
      <c r="N130" t="s">
        <v>20</v>
      </c>
      <c r="O130" t="s">
        <v>21</v>
      </c>
      <c r="P130">
        <f>FlipkartSales[[#This Row],[Price (INR)]]*FlipkartSales[[#This Row],[Quantity Sold]]</f>
        <v>33868.26</v>
      </c>
      <c r="Q130">
        <f>FlipkartSales[[#This Row],[Total Sales (INR)]]-FlipkartSales[[#This Row],[Calculated Sales]]</f>
        <v>0</v>
      </c>
      <c r="R130" s="9">
        <f t="shared" ref="R130:R193" si="16">L130/F130</f>
        <v>0.2</v>
      </c>
      <c r="S130">
        <f t="shared" ref="S130:S193" si="17">F130/E130</f>
        <v>11289.42</v>
      </c>
      <c r="T130">
        <f t="shared" ref="T130:T193" si="18">L130/E130</f>
        <v>2257.8840000000005</v>
      </c>
      <c r="U130">
        <f t="shared" ref="U130:U193" si="19">MONTH(G130)</f>
        <v>8</v>
      </c>
      <c r="V130" t="str">
        <f t="shared" ref="V130:V193" si="20">"Q"&amp;ROUNDUP(MONTH(G130)/3,0)</f>
        <v>Q3</v>
      </c>
      <c r="W130" t="str">
        <f t="shared" ref="W130:W193" si="21">TEXT(G130,"mmm-yyyy")</f>
        <v>Aug-2024</v>
      </c>
      <c r="X130">
        <f t="shared" ref="X130:X193" si="22">F130*M130/100</f>
        <v>4064.1911999999998</v>
      </c>
      <c r="Y130" s="5">
        <f t="shared" ref="Y130:Y193" si="23">F130-X130</f>
        <v>29804.068800000001</v>
      </c>
      <c r="Z130" s="21">
        <f>DATE(K130,MATCH(J130,{"January","February","March","April","May","June","July","August","September","October","November","December"},0),1)</f>
        <v>45505</v>
      </c>
    </row>
    <row r="131" spans="1:26" x14ac:dyDescent="0.3">
      <c r="A131" s="4" t="s">
        <v>199</v>
      </c>
      <c r="B131" s="4" t="s">
        <v>176</v>
      </c>
      <c r="C131" s="4" t="s">
        <v>24</v>
      </c>
      <c r="D131" s="5">
        <v>27309.73</v>
      </c>
      <c r="E131" s="6">
        <v>3</v>
      </c>
      <c r="F131" s="5">
        <v>81929.19</v>
      </c>
      <c r="G131" s="1">
        <v>45460</v>
      </c>
      <c r="H131" t="s">
        <v>80</v>
      </c>
      <c r="I131">
        <v>4</v>
      </c>
      <c r="J131" t="s">
        <v>67</v>
      </c>
      <c r="K131">
        <v>2024</v>
      </c>
      <c r="L131">
        <v>16385.838</v>
      </c>
      <c r="M131">
        <v>16</v>
      </c>
      <c r="N131" t="s">
        <v>27</v>
      </c>
      <c r="O131" t="s">
        <v>21</v>
      </c>
      <c r="P131">
        <f>FlipkartSales[[#This Row],[Price (INR)]]*FlipkartSales[[#This Row],[Quantity Sold]]</f>
        <v>81929.19</v>
      </c>
      <c r="Q131">
        <f>FlipkartSales[[#This Row],[Total Sales (INR)]]-FlipkartSales[[#This Row],[Calculated Sales]]</f>
        <v>0</v>
      </c>
      <c r="R131" s="9">
        <f t="shared" si="16"/>
        <v>0.19999999999999998</v>
      </c>
      <c r="S131">
        <f t="shared" si="17"/>
        <v>27309.73</v>
      </c>
      <c r="T131">
        <f t="shared" si="18"/>
        <v>5461.9459999999999</v>
      </c>
      <c r="U131">
        <f t="shared" si="19"/>
        <v>6</v>
      </c>
      <c r="V131" t="str">
        <f t="shared" si="20"/>
        <v>Q2</v>
      </c>
      <c r="W131" t="str">
        <f t="shared" si="21"/>
        <v>Jun-2024</v>
      </c>
      <c r="X131">
        <f t="shared" si="22"/>
        <v>13108.670400000001</v>
      </c>
      <c r="Y131" s="5">
        <f t="shared" si="23"/>
        <v>68820.5196</v>
      </c>
      <c r="Z131" s="21">
        <f>DATE(K131,MATCH(J131,{"January","February","March","April","May","June","July","August","September","October","November","December"},0),1)</f>
        <v>45444</v>
      </c>
    </row>
    <row r="132" spans="1:26" x14ac:dyDescent="0.3">
      <c r="A132" s="4" t="s">
        <v>200</v>
      </c>
      <c r="B132" s="4" t="s">
        <v>96</v>
      </c>
      <c r="C132" s="4" t="s">
        <v>36</v>
      </c>
      <c r="D132" s="5">
        <v>30374.400000000001</v>
      </c>
      <c r="E132" s="6">
        <v>5</v>
      </c>
      <c r="F132" s="5">
        <v>151872</v>
      </c>
      <c r="G132" s="1">
        <v>45668</v>
      </c>
      <c r="H132" t="s">
        <v>80</v>
      </c>
      <c r="I132">
        <v>1.8</v>
      </c>
      <c r="J132" t="s">
        <v>53</v>
      </c>
      <c r="K132">
        <v>2025</v>
      </c>
      <c r="L132">
        <v>30374.400000000001</v>
      </c>
      <c r="M132">
        <v>6</v>
      </c>
      <c r="N132" t="s">
        <v>20</v>
      </c>
      <c r="O132" t="s">
        <v>21</v>
      </c>
      <c r="P132">
        <f>FlipkartSales[[#This Row],[Price (INR)]]*FlipkartSales[[#This Row],[Quantity Sold]]</f>
        <v>151872</v>
      </c>
      <c r="Q132">
        <f>FlipkartSales[[#This Row],[Total Sales (INR)]]-FlipkartSales[[#This Row],[Calculated Sales]]</f>
        <v>0</v>
      </c>
      <c r="R132" s="9">
        <f t="shared" si="16"/>
        <v>0.2</v>
      </c>
      <c r="S132">
        <f t="shared" si="17"/>
        <v>30374.400000000001</v>
      </c>
      <c r="T132">
        <f t="shared" si="18"/>
        <v>6074.88</v>
      </c>
      <c r="U132">
        <f t="shared" si="19"/>
        <v>1</v>
      </c>
      <c r="V132" t="str">
        <f t="shared" si="20"/>
        <v>Q1</v>
      </c>
      <c r="W132" t="str">
        <f t="shared" si="21"/>
        <v>Jan-2025</v>
      </c>
      <c r="X132">
        <f t="shared" si="22"/>
        <v>9112.32</v>
      </c>
      <c r="Y132" s="5">
        <f t="shared" si="23"/>
        <v>142759.67999999999</v>
      </c>
      <c r="Z132" s="21">
        <f>DATE(K132,MATCH(J132,{"January","February","March","April","May","June","July","August","September","October","November","December"},0),1)</f>
        <v>45658</v>
      </c>
    </row>
    <row r="133" spans="1:26" x14ac:dyDescent="0.3">
      <c r="A133" s="4" t="s">
        <v>201</v>
      </c>
      <c r="B133" s="4" t="s">
        <v>100</v>
      </c>
      <c r="C133" s="4" t="s">
        <v>31</v>
      </c>
      <c r="D133" s="5">
        <v>15486.41</v>
      </c>
      <c r="E133" s="6">
        <v>4</v>
      </c>
      <c r="F133" s="5">
        <v>61945.64</v>
      </c>
      <c r="G133" s="1">
        <v>45402</v>
      </c>
      <c r="H133" t="s">
        <v>64</v>
      </c>
      <c r="I133">
        <v>5</v>
      </c>
      <c r="J133" t="s">
        <v>62</v>
      </c>
      <c r="K133">
        <v>2024</v>
      </c>
      <c r="L133">
        <v>12389.128000000001</v>
      </c>
      <c r="M133">
        <v>5</v>
      </c>
      <c r="N133" t="s">
        <v>41</v>
      </c>
      <c r="O133" t="s">
        <v>33</v>
      </c>
      <c r="P133">
        <f>FlipkartSales[[#This Row],[Price (INR)]]*FlipkartSales[[#This Row],[Quantity Sold]]</f>
        <v>61945.64</v>
      </c>
      <c r="Q133">
        <f>FlipkartSales[[#This Row],[Total Sales (INR)]]-FlipkartSales[[#This Row],[Calculated Sales]]</f>
        <v>0</v>
      </c>
      <c r="R133" s="9">
        <f t="shared" si="16"/>
        <v>0.2</v>
      </c>
      <c r="S133">
        <f t="shared" si="17"/>
        <v>15486.41</v>
      </c>
      <c r="T133">
        <f t="shared" si="18"/>
        <v>3097.2820000000002</v>
      </c>
      <c r="U133">
        <f t="shared" si="19"/>
        <v>4</v>
      </c>
      <c r="V133" t="str">
        <f t="shared" si="20"/>
        <v>Q2</v>
      </c>
      <c r="W133" t="str">
        <f t="shared" si="21"/>
        <v>Apr-2024</v>
      </c>
      <c r="X133">
        <f t="shared" si="22"/>
        <v>3097.2820000000002</v>
      </c>
      <c r="Y133" s="5">
        <f t="shared" si="23"/>
        <v>58848.358</v>
      </c>
      <c r="Z133" s="21">
        <f>DATE(K133,MATCH(J133,{"January","February","March","April","May","June","July","August","September","October","November","December"},0),1)</f>
        <v>45383</v>
      </c>
    </row>
    <row r="134" spans="1:26" x14ac:dyDescent="0.3">
      <c r="A134" s="4" t="s">
        <v>202</v>
      </c>
      <c r="B134" s="4" t="s">
        <v>35</v>
      </c>
      <c r="C134" s="4" t="s">
        <v>36</v>
      </c>
      <c r="D134" s="5">
        <v>33698.339999999997</v>
      </c>
      <c r="E134" s="6">
        <v>1</v>
      </c>
      <c r="F134" s="5">
        <v>33698.339999999997</v>
      </c>
      <c r="G134" s="1">
        <v>45514</v>
      </c>
      <c r="H134" t="s">
        <v>18</v>
      </c>
      <c r="I134">
        <v>4.2</v>
      </c>
      <c r="J134" t="s">
        <v>88</v>
      </c>
      <c r="K134">
        <v>2024</v>
      </c>
      <c r="L134">
        <v>6739.6679999999997</v>
      </c>
      <c r="M134">
        <v>20</v>
      </c>
      <c r="N134" t="s">
        <v>41</v>
      </c>
      <c r="O134" t="s">
        <v>28</v>
      </c>
      <c r="P134">
        <f>FlipkartSales[[#This Row],[Price (INR)]]*FlipkartSales[[#This Row],[Quantity Sold]]</f>
        <v>33698.339999999997</v>
      </c>
      <c r="Q134">
        <f>FlipkartSales[[#This Row],[Total Sales (INR)]]-FlipkartSales[[#This Row],[Calculated Sales]]</f>
        <v>0</v>
      </c>
      <c r="R134" s="9">
        <f t="shared" si="16"/>
        <v>0.2</v>
      </c>
      <c r="S134">
        <f t="shared" si="17"/>
        <v>33698.339999999997</v>
      </c>
      <c r="T134">
        <f t="shared" si="18"/>
        <v>6739.6679999999997</v>
      </c>
      <c r="U134">
        <f t="shared" si="19"/>
        <v>8</v>
      </c>
      <c r="V134" t="str">
        <f t="shared" si="20"/>
        <v>Q3</v>
      </c>
      <c r="W134" t="str">
        <f t="shared" si="21"/>
        <v>Aug-2024</v>
      </c>
      <c r="X134">
        <f t="shared" si="22"/>
        <v>6739.6679999999997</v>
      </c>
      <c r="Y134" s="5">
        <f t="shared" si="23"/>
        <v>26958.671999999999</v>
      </c>
      <c r="Z134" s="21">
        <f>DATE(K134,MATCH(J134,{"January","February","March","April","May","June","July","August","September","October","November","December"},0),1)</f>
        <v>45505</v>
      </c>
    </row>
    <row r="135" spans="1:26" x14ac:dyDescent="0.3">
      <c r="A135" s="4" t="s">
        <v>203</v>
      </c>
      <c r="B135" s="4" t="s">
        <v>176</v>
      </c>
      <c r="C135" s="4" t="s">
        <v>24</v>
      </c>
      <c r="D135" s="5">
        <v>42987.64</v>
      </c>
      <c r="E135" s="6">
        <v>5</v>
      </c>
      <c r="F135" s="5">
        <v>214938.2</v>
      </c>
      <c r="G135" s="1">
        <v>45381</v>
      </c>
      <c r="H135" t="s">
        <v>44</v>
      </c>
      <c r="I135">
        <v>3.7</v>
      </c>
      <c r="J135" t="s">
        <v>56</v>
      </c>
      <c r="K135">
        <v>2024</v>
      </c>
      <c r="L135">
        <v>42987.640000000007</v>
      </c>
      <c r="M135">
        <v>27</v>
      </c>
      <c r="N135" t="s">
        <v>27</v>
      </c>
      <c r="O135" t="s">
        <v>68</v>
      </c>
      <c r="P135">
        <f>FlipkartSales[[#This Row],[Price (INR)]]*FlipkartSales[[#This Row],[Quantity Sold]]</f>
        <v>214938.2</v>
      </c>
      <c r="Q135">
        <f>FlipkartSales[[#This Row],[Total Sales (INR)]]-FlipkartSales[[#This Row],[Calculated Sales]]</f>
        <v>0</v>
      </c>
      <c r="R135" s="9">
        <f t="shared" si="16"/>
        <v>0.2</v>
      </c>
      <c r="S135">
        <f t="shared" si="17"/>
        <v>42987.64</v>
      </c>
      <c r="T135">
        <f t="shared" si="18"/>
        <v>8597.5280000000021</v>
      </c>
      <c r="U135">
        <f t="shared" si="19"/>
        <v>3</v>
      </c>
      <c r="V135" t="str">
        <f t="shared" si="20"/>
        <v>Q1</v>
      </c>
      <c r="W135" t="str">
        <f t="shared" si="21"/>
        <v>Mar-2024</v>
      </c>
      <c r="X135">
        <f t="shared" si="22"/>
        <v>58033.314000000006</v>
      </c>
      <c r="Y135" s="5">
        <f t="shared" si="23"/>
        <v>156904.886</v>
      </c>
      <c r="Z135" s="21">
        <f>DATE(K135,MATCH(J135,{"January","February","March","April","May","June","July","August","September","October","November","December"},0),1)</f>
        <v>45352</v>
      </c>
    </row>
    <row r="136" spans="1:26" x14ac:dyDescent="0.3">
      <c r="A136" s="4" t="s">
        <v>204</v>
      </c>
      <c r="B136" s="4" t="s">
        <v>35</v>
      </c>
      <c r="C136" s="4" t="s">
        <v>36</v>
      </c>
      <c r="D136" s="5">
        <v>1104.25</v>
      </c>
      <c r="E136" s="6">
        <v>5</v>
      </c>
      <c r="F136" s="5">
        <v>5521.25</v>
      </c>
      <c r="G136" s="1">
        <v>45624</v>
      </c>
      <c r="H136" t="s">
        <v>25</v>
      </c>
      <c r="I136">
        <v>3.8</v>
      </c>
      <c r="J136" t="s">
        <v>37</v>
      </c>
      <c r="K136">
        <v>2024</v>
      </c>
      <c r="L136">
        <v>1104.25</v>
      </c>
      <c r="M136">
        <v>27</v>
      </c>
      <c r="N136" t="s">
        <v>27</v>
      </c>
      <c r="O136" t="s">
        <v>21</v>
      </c>
      <c r="P136">
        <f>FlipkartSales[[#This Row],[Price (INR)]]*FlipkartSales[[#This Row],[Quantity Sold]]</f>
        <v>5521.25</v>
      </c>
      <c r="Q136">
        <f>FlipkartSales[[#This Row],[Total Sales (INR)]]-FlipkartSales[[#This Row],[Calculated Sales]]</f>
        <v>0</v>
      </c>
      <c r="R136" s="9">
        <f t="shared" si="16"/>
        <v>0.2</v>
      </c>
      <c r="S136">
        <f t="shared" si="17"/>
        <v>1104.25</v>
      </c>
      <c r="T136">
        <f t="shared" si="18"/>
        <v>220.85</v>
      </c>
      <c r="U136">
        <f t="shared" si="19"/>
        <v>11</v>
      </c>
      <c r="V136" t="str">
        <f t="shared" si="20"/>
        <v>Q4</v>
      </c>
      <c r="W136" t="str">
        <f t="shared" si="21"/>
        <v>Nov-2024</v>
      </c>
      <c r="X136">
        <f t="shared" si="22"/>
        <v>1490.7375</v>
      </c>
      <c r="Y136" s="5">
        <f t="shared" si="23"/>
        <v>4030.5124999999998</v>
      </c>
      <c r="Z136" s="21">
        <f>DATE(K136,MATCH(J136,{"January","February","March","April","May","June","July","August","September","October","November","December"},0),1)</f>
        <v>45597</v>
      </c>
    </row>
    <row r="137" spans="1:26" x14ac:dyDescent="0.3">
      <c r="A137" s="4" t="s">
        <v>205</v>
      </c>
      <c r="B137" s="4" t="s">
        <v>52</v>
      </c>
      <c r="C137" s="4" t="s">
        <v>24</v>
      </c>
      <c r="D137" s="5">
        <v>14043.16</v>
      </c>
      <c r="E137" s="6">
        <v>4</v>
      </c>
      <c r="F137" s="5">
        <v>56172.639999999999</v>
      </c>
      <c r="G137" s="1">
        <v>45444</v>
      </c>
      <c r="H137" t="s">
        <v>44</v>
      </c>
      <c r="I137">
        <v>3.1</v>
      </c>
      <c r="J137" t="s">
        <v>67</v>
      </c>
      <c r="K137">
        <v>2024</v>
      </c>
      <c r="L137">
        <v>11234.528</v>
      </c>
      <c r="M137">
        <v>28</v>
      </c>
      <c r="N137" t="s">
        <v>27</v>
      </c>
      <c r="O137" t="s">
        <v>28</v>
      </c>
      <c r="P137">
        <f>FlipkartSales[[#This Row],[Price (INR)]]*FlipkartSales[[#This Row],[Quantity Sold]]</f>
        <v>56172.639999999999</v>
      </c>
      <c r="Q137">
        <f>FlipkartSales[[#This Row],[Total Sales (INR)]]-FlipkartSales[[#This Row],[Calculated Sales]]</f>
        <v>0</v>
      </c>
      <c r="R137" s="9">
        <f t="shared" si="16"/>
        <v>0.2</v>
      </c>
      <c r="S137">
        <f t="shared" si="17"/>
        <v>14043.16</v>
      </c>
      <c r="T137">
        <f t="shared" si="18"/>
        <v>2808.6320000000001</v>
      </c>
      <c r="U137">
        <f t="shared" si="19"/>
        <v>6</v>
      </c>
      <c r="V137" t="str">
        <f t="shared" si="20"/>
        <v>Q2</v>
      </c>
      <c r="W137" t="str">
        <f t="shared" si="21"/>
        <v>Jun-2024</v>
      </c>
      <c r="X137">
        <f t="shared" si="22"/>
        <v>15728.339199999999</v>
      </c>
      <c r="Y137" s="5">
        <f t="shared" si="23"/>
        <v>40444.300799999997</v>
      </c>
      <c r="Z137" s="21">
        <f>DATE(K137,MATCH(J137,{"January","February","March","April","May","June","July","August","September","October","November","December"},0),1)</f>
        <v>45444</v>
      </c>
    </row>
    <row r="138" spans="1:26" x14ac:dyDescent="0.3">
      <c r="A138" s="4" t="s">
        <v>206</v>
      </c>
      <c r="B138" s="4" t="s">
        <v>74</v>
      </c>
      <c r="C138" s="4" t="s">
        <v>17</v>
      </c>
      <c r="D138" s="5">
        <v>24032.880000000001</v>
      </c>
      <c r="E138" s="6">
        <v>1</v>
      </c>
      <c r="F138" s="5">
        <v>24032.880000000001</v>
      </c>
      <c r="G138" s="1">
        <v>45593</v>
      </c>
      <c r="H138" t="s">
        <v>44</v>
      </c>
      <c r="I138">
        <v>3.8</v>
      </c>
      <c r="J138" t="s">
        <v>45</v>
      </c>
      <c r="K138">
        <v>2024</v>
      </c>
      <c r="L138">
        <v>4806.576</v>
      </c>
      <c r="M138">
        <v>9</v>
      </c>
      <c r="N138" t="s">
        <v>41</v>
      </c>
      <c r="O138" t="s">
        <v>21</v>
      </c>
      <c r="P138">
        <f>FlipkartSales[[#This Row],[Price (INR)]]*FlipkartSales[[#This Row],[Quantity Sold]]</f>
        <v>24032.880000000001</v>
      </c>
      <c r="Q138">
        <f>FlipkartSales[[#This Row],[Total Sales (INR)]]-FlipkartSales[[#This Row],[Calculated Sales]]</f>
        <v>0</v>
      </c>
      <c r="R138" s="9">
        <f t="shared" si="16"/>
        <v>0.19999999999999998</v>
      </c>
      <c r="S138">
        <f t="shared" si="17"/>
        <v>24032.880000000001</v>
      </c>
      <c r="T138">
        <f t="shared" si="18"/>
        <v>4806.576</v>
      </c>
      <c r="U138">
        <f t="shared" si="19"/>
        <v>10</v>
      </c>
      <c r="V138" t="str">
        <f t="shared" si="20"/>
        <v>Q4</v>
      </c>
      <c r="W138" t="str">
        <f t="shared" si="21"/>
        <v>Oct-2024</v>
      </c>
      <c r="X138">
        <f t="shared" si="22"/>
        <v>2162.9592000000002</v>
      </c>
      <c r="Y138" s="5">
        <f t="shared" si="23"/>
        <v>21869.9208</v>
      </c>
      <c r="Z138" s="21">
        <f>DATE(K138,MATCH(J138,{"January","February","March","April","May","June","July","August","September","October","November","December"},0),1)</f>
        <v>45566</v>
      </c>
    </row>
    <row r="139" spans="1:26" x14ac:dyDescent="0.3">
      <c r="A139" s="4" t="s">
        <v>207</v>
      </c>
      <c r="B139" s="4" t="s">
        <v>30</v>
      </c>
      <c r="C139" s="4" t="s">
        <v>31</v>
      </c>
      <c r="D139" s="5">
        <v>32283.58</v>
      </c>
      <c r="E139" s="6">
        <v>3</v>
      </c>
      <c r="F139" s="5">
        <v>96850.74</v>
      </c>
      <c r="G139" s="1">
        <v>45659</v>
      </c>
      <c r="H139" t="s">
        <v>64</v>
      </c>
      <c r="I139">
        <v>4.4000000000000004</v>
      </c>
      <c r="J139" t="s">
        <v>53</v>
      </c>
      <c r="K139">
        <v>2025</v>
      </c>
      <c r="L139">
        <v>19370.148000000001</v>
      </c>
      <c r="M139">
        <v>7</v>
      </c>
      <c r="N139" t="s">
        <v>20</v>
      </c>
      <c r="O139" t="s">
        <v>33</v>
      </c>
      <c r="P139">
        <f>FlipkartSales[[#This Row],[Price (INR)]]*FlipkartSales[[#This Row],[Quantity Sold]]</f>
        <v>96850.74</v>
      </c>
      <c r="Q139">
        <f>FlipkartSales[[#This Row],[Total Sales (INR)]]-FlipkartSales[[#This Row],[Calculated Sales]]</f>
        <v>0</v>
      </c>
      <c r="R139" s="9">
        <f t="shared" si="16"/>
        <v>0.2</v>
      </c>
      <c r="S139">
        <f t="shared" si="17"/>
        <v>32283.58</v>
      </c>
      <c r="T139">
        <f t="shared" si="18"/>
        <v>6456.7160000000003</v>
      </c>
      <c r="U139">
        <f t="shared" si="19"/>
        <v>1</v>
      </c>
      <c r="V139" t="str">
        <f t="shared" si="20"/>
        <v>Q1</v>
      </c>
      <c r="W139" t="str">
        <f t="shared" si="21"/>
        <v>Jan-2025</v>
      </c>
      <c r="X139">
        <f t="shared" si="22"/>
        <v>6779.5518000000002</v>
      </c>
      <c r="Y139" s="5">
        <f t="shared" si="23"/>
        <v>90071.188200000004</v>
      </c>
      <c r="Z139" s="21">
        <f>DATE(K139,MATCH(J139,{"January","February","March","April","May","June","July","August","September","October","November","December"},0),1)</f>
        <v>45658</v>
      </c>
    </row>
    <row r="140" spans="1:26" x14ac:dyDescent="0.3">
      <c r="A140" s="4" t="s">
        <v>208</v>
      </c>
      <c r="B140" s="4" t="s">
        <v>61</v>
      </c>
      <c r="C140" s="4" t="s">
        <v>31</v>
      </c>
      <c r="D140" s="5">
        <v>3848.54</v>
      </c>
      <c r="E140" s="6">
        <v>1</v>
      </c>
      <c r="F140" s="5">
        <v>3848.54</v>
      </c>
      <c r="G140" s="1">
        <v>45691</v>
      </c>
      <c r="H140" t="s">
        <v>80</v>
      </c>
      <c r="I140">
        <v>4.5999999999999996</v>
      </c>
      <c r="J140" t="s">
        <v>59</v>
      </c>
      <c r="K140">
        <v>2025</v>
      </c>
      <c r="L140">
        <v>769.70800000000008</v>
      </c>
      <c r="M140">
        <v>16</v>
      </c>
      <c r="N140" t="s">
        <v>41</v>
      </c>
      <c r="O140" t="s">
        <v>28</v>
      </c>
      <c r="P140">
        <f>FlipkartSales[[#This Row],[Price (INR)]]*FlipkartSales[[#This Row],[Quantity Sold]]</f>
        <v>3848.54</v>
      </c>
      <c r="Q140">
        <f>FlipkartSales[[#This Row],[Total Sales (INR)]]-FlipkartSales[[#This Row],[Calculated Sales]]</f>
        <v>0</v>
      </c>
      <c r="R140" s="9">
        <f t="shared" si="16"/>
        <v>0.2</v>
      </c>
      <c r="S140">
        <f t="shared" si="17"/>
        <v>3848.54</v>
      </c>
      <c r="T140">
        <f t="shared" si="18"/>
        <v>769.70800000000008</v>
      </c>
      <c r="U140">
        <f t="shared" si="19"/>
        <v>2</v>
      </c>
      <c r="V140" t="str">
        <f t="shared" si="20"/>
        <v>Q1</v>
      </c>
      <c r="W140" t="str">
        <f t="shared" si="21"/>
        <v>Feb-2025</v>
      </c>
      <c r="X140">
        <f t="shared" si="22"/>
        <v>615.76639999999998</v>
      </c>
      <c r="Y140" s="5">
        <f t="shared" si="23"/>
        <v>3232.7736</v>
      </c>
      <c r="Z140" s="21">
        <f>DATE(K140,MATCH(J140,{"January","February","March","April","May","June","July","August","September","October","November","December"},0),1)</f>
        <v>45689</v>
      </c>
    </row>
    <row r="141" spans="1:26" x14ac:dyDescent="0.3">
      <c r="A141" s="4" t="s">
        <v>209</v>
      </c>
      <c r="B141" s="4" t="s">
        <v>39</v>
      </c>
      <c r="C141" s="4" t="s">
        <v>40</v>
      </c>
      <c r="D141" s="5">
        <v>48175.48</v>
      </c>
      <c r="E141" s="6">
        <v>1</v>
      </c>
      <c r="F141" s="5">
        <v>48175.48</v>
      </c>
      <c r="G141" s="1">
        <v>45483</v>
      </c>
      <c r="H141" t="s">
        <v>64</v>
      </c>
      <c r="I141">
        <v>1.5</v>
      </c>
      <c r="J141" t="s">
        <v>48</v>
      </c>
      <c r="K141">
        <v>2024</v>
      </c>
      <c r="L141">
        <v>9635.0960000000014</v>
      </c>
      <c r="M141">
        <v>12</v>
      </c>
      <c r="N141" t="s">
        <v>27</v>
      </c>
      <c r="O141" t="s">
        <v>33</v>
      </c>
      <c r="P141">
        <f>FlipkartSales[[#This Row],[Price (INR)]]*FlipkartSales[[#This Row],[Quantity Sold]]</f>
        <v>48175.48</v>
      </c>
      <c r="Q141">
        <f>FlipkartSales[[#This Row],[Total Sales (INR)]]-FlipkartSales[[#This Row],[Calculated Sales]]</f>
        <v>0</v>
      </c>
      <c r="R141" s="9">
        <f t="shared" si="16"/>
        <v>0.2</v>
      </c>
      <c r="S141">
        <f t="shared" si="17"/>
        <v>48175.48</v>
      </c>
      <c r="T141">
        <f t="shared" si="18"/>
        <v>9635.0960000000014</v>
      </c>
      <c r="U141">
        <f t="shared" si="19"/>
        <v>7</v>
      </c>
      <c r="V141" t="str">
        <f t="shared" si="20"/>
        <v>Q3</v>
      </c>
      <c r="W141" t="str">
        <f t="shared" si="21"/>
        <v>Jul-2024</v>
      </c>
      <c r="X141">
        <f t="shared" si="22"/>
        <v>5781.0576000000001</v>
      </c>
      <c r="Y141" s="5">
        <f t="shared" si="23"/>
        <v>42394.422400000003</v>
      </c>
      <c r="Z141" s="21">
        <f>DATE(K141,MATCH(J141,{"January","February","March","April","May","June","July","August","September","October","November","December"},0),1)</f>
        <v>45474</v>
      </c>
    </row>
    <row r="142" spans="1:26" x14ac:dyDescent="0.3">
      <c r="A142" s="4" t="s">
        <v>210</v>
      </c>
      <c r="B142" s="4" t="s">
        <v>55</v>
      </c>
      <c r="C142" s="4" t="s">
        <v>36</v>
      </c>
      <c r="D142" s="5">
        <v>2273.0100000000002</v>
      </c>
      <c r="E142" s="6">
        <v>2</v>
      </c>
      <c r="F142" s="5">
        <v>4546.0200000000004</v>
      </c>
      <c r="G142" s="1">
        <v>45658</v>
      </c>
      <c r="H142" t="s">
        <v>25</v>
      </c>
      <c r="I142">
        <v>4.3</v>
      </c>
      <c r="J142" t="s">
        <v>53</v>
      </c>
      <c r="K142">
        <v>2025</v>
      </c>
      <c r="L142">
        <v>909.20400000000018</v>
      </c>
      <c r="M142">
        <v>26</v>
      </c>
      <c r="N142" t="s">
        <v>20</v>
      </c>
      <c r="O142" t="s">
        <v>21</v>
      </c>
      <c r="P142">
        <f>FlipkartSales[[#This Row],[Price (INR)]]*FlipkartSales[[#This Row],[Quantity Sold]]</f>
        <v>4546.0200000000004</v>
      </c>
      <c r="Q142">
        <f>FlipkartSales[[#This Row],[Total Sales (INR)]]-FlipkartSales[[#This Row],[Calculated Sales]]</f>
        <v>0</v>
      </c>
      <c r="R142" s="9">
        <f t="shared" si="16"/>
        <v>0.2</v>
      </c>
      <c r="S142">
        <f t="shared" si="17"/>
        <v>2273.0100000000002</v>
      </c>
      <c r="T142">
        <f t="shared" si="18"/>
        <v>454.60200000000009</v>
      </c>
      <c r="U142">
        <f t="shared" si="19"/>
        <v>1</v>
      </c>
      <c r="V142" t="str">
        <f t="shared" si="20"/>
        <v>Q1</v>
      </c>
      <c r="W142" t="str">
        <f t="shared" si="21"/>
        <v>Jan-2025</v>
      </c>
      <c r="X142">
        <f t="shared" si="22"/>
        <v>1181.9652000000001</v>
      </c>
      <c r="Y142" s="5">
        <f t="shared" si="23"/>
        <v>3364.0548000000003</v>
      </c>
      <c r="Z142" s="21">
        <f>DATE(K142,MATCH(J142,{"January","February","March","April","May","June","July","August","September","October","November","December"},0),1)</f>
        <v>45658</v>
      </c>
    </row>
    <row r="143" spans="1:26" x14ac:dyDescent="0.3">
      <c r="A143" s="4" t="s">
        <v>211</v>
      </c>
      <c r="B143" s="4" t="s">
        <v>52</v>
      </c>
      <c r="C143" s="4" t="s">
        <v>24</v>
      </c>
      <c r="D143" s="5">
        <v>48346.41</v>
      </c>
      <c r="E143" s="6">
        <v>3</v>
      </c>
      <c r="F143" s="5">
        <v>145039.23000000001</v>
      </c>
      <c r="G143" s="1">
        <v>45684</v>
      </c>
      <c r="H143" t="s">
        <v>18</v>
      </c>
      <c r="I143">
        <v>1.4</v>
      </c>
      <c r="J143" t="s">
        <v>53</v>
      </c>
      <c r="K143">
        <v>2025</v>
      </c>
      <c r="L143">
        <v>29007.846000000005</v>
      </c>
      <c r="M143">
        <v>7</v>
      </c>
      <c r="N143" t="s">
        <v>20</v>
      </c>
      <c r="O143" t="s">
        <v>21</v>
      </c>
      <c r="P143">
        <f>FlipkartSales[[#This Row],[Price (INR)]]*FlipkartSales[[#This Row],[Quantity Sold]]</f>
        <v>145039.23000000001</v>
      </c>
      <c r="Q143">
        <f>FlipkartSales[[#This Row],[Total Sales (INR)]]-FlipkartSales[[#This Row],[Calculated Sales]]</f>
        <v>0</v>
      </c>
      <c r="R143" s="9">
        <f t="shared" si="16"/>
        <v>0.2</v>
      </c>
      <c r="S143">
        <f t="shared" si="17"/>
        <v>48346.41</v>
      </c>
      <c r="T143">
        <f t="shared" si="18"/>
        <v>9669.2820000000011</v>
      </c>
      <c r="U143">
        <f t="shared" si="19"/>
        <v>1</v>
      </c>
      <c r="V143" t="str">
        <f t="shared" si="20"/>
        <v>Q1</v>
      </c>
      <c r="W143" t="str">
        <f t="shared" si="21"/>
        <v>Jan-2025</v>
      </c>
      <c r="X143">
        <f t="shared" si="22"/>
        <v>10152.7461</v>
      </c>
      <c r="Y143" s="5">
        <f t="shared" si="23"/>
        <v>134886.48390000002</v>
      </c>
      <c r="Z143" s="21">
        <f>DATE(K143,MATCH(J143,{"January","February","March","April","May","June","July","August","September","October","November","December"},0),1)</f>
        <v>45658</v>
      </c>
    </row>
    <row r="144" spans="1:26" x14ac:dyDescent="0.3">
      <c r="A144" s="4" t="s">
        <v>212</v>
      </c>
      <c r="B144" s="4" t="s">
        <v>50</v>
      </c>
      <c r="C144" s="4" t="s">
        <v>40</v>
      </c>
      <c r="D144" s="5">
        <v>8383.86</v>
      </c>
      <c r="E144" s="6">
        <v>2</v>
      </c>
      <c r="F144" s="5">
        <v>16767.72</v>
      </c>
      <c r="G144" s="1">
        <v>45554</v>
      </c>
      <c r="H144" t="s">
        <v>44</v>
      </c>
      <c r="I144">
        <v>3.1</v>
      </c>
      <c r="J144" t="s">
        <v>19</v>
      </c>
      <c r="K144">
        <v>2024</v>
      </c>
      <c r="L144">
        <v>3353.5440000000003</v>
      </c>
      <c r="M144">
        <v>5</v>
      </c>
      <c r="N144" t="s">
        <v>41</v>
      </c>
      <c r="O144" t="s">
        <v>33</v>
      </c>
      <c r="P144">
        <f>FlipkartSales[[#This Row],[Price (INR)]]*FlipkartSales[[#This Row],[Quantity Sold]]</f>
        <v>16767.72</v>
      </c>
      <c r="Q144">
        <f>FlipkartSales[[#This Row],[Total Sales (INR)]]-FlipkartSales[[#This Row],[Calculated Sales]]</f>
        <v>0</v>
      </c>
      <c r="R144" s="9">
        <f t="shared" si="16"/>
        <v>0.2</v>
      </c>
      <c r="S144">
        <f t="shared" si="17"/>
        <v>8383.86</v>
      </c>
      <c r="T144">
        <f t="shared" si="18"/>
        <v>1676.7720000000002</v>
      </c>
      <c r="U144">
        <f t="shared" si="19"/>
        <v>9</v>
      </c>
      <c r="V144" t="str">
        <f t="shared" si="20"/>
        <v>Q3</v>
      </c>
      <c r="W144" t="str">
        <f t="shared" si="21"/>
        <v>Sep-2024</v>
      </c>
      <c r="X144">
        <f t="shared" si="22"/>
        <v>838.38600000000008</v>
      </c>
      <c r="Y144" s="5">
        <f t="shared" si="23"/>
        <v>15929.334000000001</v>
      </c>
      <c r="Z144" s="21">
        <f>DATE(K144,MATCH(J144,{"January","February","March","April","May","June","July","August","September","October","November","December"},0),1)</f>
        <v>45536</v>
      </c>
    </row>
    <row r="145" spans="1:26" x14ac:dyDescent="0.3">
      <c r="A145" s="4" t="s">
        <v>213</v>
      </c>
      <c r="B145" s="4" t="s">
        <v>100</v>
      </c>
      <c r="C145" s="4" t="s">
        <v>31</v>
      </c>
      <c r="D145" s="5">
        <v>15344.02</v>
      </c>
      <c r="E145" s="6">
        <v>1</v>
      </c>
      <c r="F145" s="5">
        <v>15344.02</v>
      </c>
      <c r="G145" s="1">
        <v>45428</v>
      </c>
      <c r="H145" t="s">
        <v>25</v>
      </c>
      <c r="I145">
        <v>4</v>
      </c>
      <c r="J145" t="s">
        <v>32</v>
      </c>
      <c r="K145">
        <v>2024</v>
      </c>
      <c r="L145">
        <v>3068.8040000000001</v>
      </c>
      <c r="M145">
        <v>7</v>
      </c>
      <c r="N145" t="s">
        <v>27</v>
      </c>
      <c r="O145" t="s">
        <v>68</v>
      </c>
      <c r="P145">
        <f>FlipkartSales[[#This Row],[Price (INR)]]*FlipkartSales[[#This Row],[Quantity Sold]]</f>
        <v>15344.02</v>
      </c>
      <c r="Q145">
        <f>FlipkartSales[[#This Row],[Total Sales (INR)]]-FlipkartSales[[#This Row],[Calculated Sales]]</f>
        <v>0</v>
      </c>
      <c r="R145" s="9">
        <f t="shared" si="16"/>
        <v>0.2</v>
      </c>
      <c r="S145">
        <f t="shared" si="17"/>
        <v>15344.02</v>
      </c>
      <c r="T145">
        <f t="shared" si="18"/>
        <v>3068.8040000000001</v>
      </c>
      <c r="U145">
        <f t="shared" si="19"/>
        <v>5</v>
      </c>
      <c r="V145" t="str">
        <f t="shared" si="20"/>
        <v>Q2</v>
      </c>
      <c r="W145" t="str">
        <f t="shared" si="21"/>
        <v>May-2024</v>
      </c>
      <c r="X145">
        <f t="shared" si="22"/>
        <v>1074.0814</v>
      </c>
      <c r="Y145" s="5">
        <f t="shared" si="23"/>
        <v>14269.938600000001</v>
      </c>
      <c r="Z145" s="21">
        <f>DATE(K145,MATCH(J145,{"January","February","March","April","May","June","July","August","September","October","November","December"},0),1)</f>
        <v>45413</v>
      </c>
    </row>
    <row r="146" spans="1:26" x14ac:dyDescent="0.3">
      <c r="A146" s="4" t="s">
        <v>214</v>
      </c>
      <c r="B146" s="4" t="s">
        <v>66</v>
      </c>
      <c r="C146" s="4" t="s">
        <v>36</v>
      </c>
      <c r="D146" s="5">
        <v>49142.57</v>
      </c>
      <c r="E146" s="6">
        <v>4</v>
      </c>
      <c r="F146" s="5">
        <v>196570.28</v>
      </c>
      <c r="G146" s="1">
        <v>45355</v>
      </c>
      <c r="H146" t="s">
        <v>25</v>
      </c>
      <c r="I146">
        <v>4.9000000000000004</v>
      </c>
      <c r="J146" t="s">
        <v>56</v>
      </c>
      <c r="K146">
        <v>2024</v>
      </c>
      <c r="L146">
        <v>39314.056000000004</v>
      </c>
      <c r="M146">
        <v>9</v>
      </c>
      <c r="N146" t="s">
        <v>41</v>
      </c>
      <c r="O146" t="s">
        <v>33</v>
      </c>
      <c r="P146">
        <f>FlipkartSales[[#This Row],[Price (INR)]]*FlipkartSales[[#This Row],[Quantity Sold]]</f>
        <v>196570.28</v>
      </c>
      <c r="Q146">
        <f>FlipkartSales[[#This Row],[Total Sales (INR)]]-FlipkartSales[[#This Row],[Calculated Sales]]</f>
        <v>0</v>
      </c>
      <c r="R146" s="9">
        <f t="shared" si="16"/>
        <v>0.2</v>
      </c>
      <c r="S146">
        <f t="shared" si="17"/>
        <v>49142.57</v>
      </c>
      <c r="T146">
        <f t="shared" si="18"/>
        <v>9828.514000000001</v>
      </c>
      <c r="U146">
        <f t="shared" si="19"/>
        <v>3</v>
      </c>
      <c r="V146" t="str">
        <f t="shared" si="20"/>
        <v>Q1</v>
      </c>
      <c r="W146" t="str">
        <f t="shared" si="21"/>
        <v>Mar-2024</v>
      </c>
      <c r="X146">
        <f t="shared" si="22"/>
        <v>17691.325199999999</v>
      </c>
      <c r="Y146" s="5">
        <f t="shared" si="23"/>
        <v>178878.95480000001</v>
      </c>
      <c r="Z146" s="21">
        <f>DATE(K146,MATCH(J146,{"January","February","March","April","May","June","July","August","September","October","November","December"},0),1)</f>
        <v>45352</v>
      </c>
    </row>
    <row r="147" spans="1:26" x14ac:dyDescent="0.3">
      <c r="A147" s="4" t="s">
        <v>215</v>
      </c>
      <c r="B147" s="4" t="s">
        <v>125</v>
      </c>
      <c r="C147" s="4" t="s">
        <v>17</v>
      </c>
      <c r="D147" s="5">
        <v>45182.27</v>
      </c>
      <c r="E147" s="6">
        <v>5</v>
      </c>
      <c r="F147" s="5">
        <v>225911.35</v>
      </c>
      <c r="G147" s="1">
        <v>45381</v>
      </c>
      <c r="H147" t="s">
        <v>18</v>
      </c>
      <c r="I147">
        <v>3.1</v>
      </c>
      <c r="J147" t="s">
        <v>56</v>
      </c>
      <c r="K147">
        <v>2024</v>
      </c>
      <c r="L147">
        <v>45182.270000000004</v>
      </c>
      <c r="M147">
        <v>19</v>
      </c>
      <c r="N147" t="s">
        <v>20</v>
      </c>
      <c r="O147" t="s">
        <v>21</v>
      </c>
      <c r="P147">
        <f>FlipkartSales[[#This Row],[Price (INR)]]*FlipkartSales[[#This Row],[Quantity Sold]]</f>
        <v>225911.34999999998</v>
      </c>
      <c r="Q147">
        <f>FlipkartSales[[#This Row],[Total Sales (INR)]]-FlipkartSales[[#This Row],[Calculated Sales]]</f>
        <v>0</v>
      </c>
      <c r="R147" s="9">
        <f t="shared" si="16"/>
        <v>0.2</v>
      </c>
      <c r="S147">
        <f t="shared" si="17"/>
        <v>45182.270000000004</v>
      </c>
      <c r="T147">
        <f t="shared" si="18"/>
        <v>9036.4540000000015</v>
      </c>
      <c r="U147">
        <f t="shared" si="19"/>
        <v>3</v>
      </c>
      <c r="V147" t="str">
        <f t="shared" si="20"/>
        <v>Q1</v>
      </c>
      <c r="W147" t="str">
        <f t="shared" si="21"/>
        <v>Mar-2024</v>
      </c>
      <c r="X147">
        <f t="shared" si="22"/>
        <v>42923.156500000005</v>
      </c>
      <c r="Y147" s="5">
        <f t="shared" si="23"/>
        <v>182988.19349999999</v>
      </c>
      <c r="Z147" s="21">
        <f>DATE(K147,MATCH(J147,{"January","February","March","April","May","June","July","August","September","October","November","December"},0),1)</f>
        <v>45352</v>
      </c>
    </row>
    <row r="148" spans="1:26" x14ac:dyDescent="0.3">
      <c r="A148" s="4" t="s">
        <v>216</v>
      </c>
      <c r="B148" s="4" t="s">
        <v>52</v>
      </c>
      <c r="C148" s="4" t="s">
        <v>24</v>
      </c>
      <c r="D148" s="5">
        <v>18309.060000000001</v>
      </c>
      <c r="E148" s="6">
        <v>2</v>
      </c>
      <c r="F148" s="5">
        <v>36618.120000000003</v>
      </c>
      <c r="G148" s="1">
        <v>45423</v>
      </c>
      <c r="H148" t="s">
        <v>80</v>
      </c>
      <c r="I148">
        <v>1.9</v>
      </c>
      <c r="J148" t="s">
        <v>32</v>
      </c>
      <c r="K148">
        <v>2024</v>
      </c>
      <c r="L148">
        <v>7323.6240000000007</v>
      </c>
      <c r="M148">
        <v>18</v>
      </c>
      <c r="N148" t="s">
        <v>41</v>
      </c>
      <c r="O148" t="s">
        <v>33</v>
      </c>
      <c r="P148">
        <f>FlipkartSales[[#This Row],[Price (INR)]]*FlipkartSales[[#This Row],[Quantity Sold]]</f>
        <v>36618.120000000003</v>
      </c>
      <c r="Q148">
        <f>FlipkartSales[[#This Row],[Total Sales (INR)]]-FlipkartSales[[#This Row],[Calculated Sales]]</f>
        <v>0</v>
      </c>
      <c r="R148" s="9">
        <f t="shared" si="16"/>
        <v>0.2</v>
      </c>
      <c r="S148">
        <f t="shared" si="17"/>
        <v>18309.060000000001</v>
      </c>
      <c r="T148">
        <f t="shared" si="18"/>
        <v>3661.8120000000004</v>
      </c>
      <c r="U148">
        <f t="shared" si="19"/>
        <v>5</v>
      </c>
      <c r="V148" t="str">
        <f t="shared" si="20"/>
        <v>Q2</v>
      </c>
      <c r="W148" t="str">
        <f t="shared" si="21"/>
        <v>May-2024</v>
      </c>
      <c r="X148">
        <f t="shared" si="22"/>
        <v>6591.2616000000007</v>
      </c>
      <c r="Y148" s="5">
        <f t="shared" si="23"/>
        <v>30026.858400000001</v>
      </c>
      <c r="Z148" s="21">
        <f>DATE(K148,MATCH(J148,{"January","February","March","April","May","June","July","August","September","October","November","December"},0),1)</f>
        <v>45413</v>
      </c>
    </row>
    <row r="149" spans="1:26" x14ac:dyDescent="0.3">
      <c r="A149" s="4" t="s">
        <v>217</v>
      </c>
      <c r="B149" s="4" t="s">
        <v>35</v>
      </c>
      <c r="C149" s="4" t="s">
        <v>36</v>
      </c>
      <c r="D149" s="5">
        <v>33021.1</v>
      </c>
      <c r="E149" s="6">
        <v>4</v>
      </c>
      <c r="F149" s="5">
        <v>132084.4</v>
      </c>
      <c r="G149" s="1">
        <v>45525</v>
      </c>
      <c r="H149" t="s">
        <v>18</v>
      </c>
      <c r="I149">
        <v>4.4000000000000004</v>
      </c>
      <c r="J149" t="s">
        <v>88</v>
      </c>
      <c r="K149">
        <v>2024</v>
      </c>
      <c r="L149">
        <v>26416.880000000001</v>
      </c>
      <c r="M149">
        <v>7</v>
      </c>
      <c r="N149" t="s">
        <v>41</v>
      </c>
      <c r="O149" t="s">
        <v>68</v>
      </c>
      <c r="P149">
        <f>FlipkartSales[[#This Row],[Price (INR)]]*FlipkartSales[[#This Row],[Quantity Sold]]</f>
        <v>132084.4</v>
      </c>
      <c r="Q149">
        <f>FlipkartSales[[#This Row],[Total Sales (INR)]]-FlipkartSales[[#This Row],[Calculated Sales]]</f>
        <v>0</v>
      </c>
      <c r="R149" s="9">
        <f t="shared" si="16"/>
        <v>0.2</v>
      </c>
      <c r="S149">
        <f t="shared" si="17"/>
        <v>33021.1</v>
      </c>
      <c r="T149">
        <f t="shared" si="18"/>
        <v>6604.22</v>
      </c>
      <c r="U149">
        <f t="shared" si="19"/>
        <v>8</v>
      </c>
      <c r="V149" t="str">
        <f t="shared" si="20"/>
        <v>Q3</v>
      </c>
      <c r="W149" t="str">
        <f t="shared" si="21"/>
        <v>Aug-2024</v>
      </c>
      <c r="X149">
        <f t="shared" si="22"/>
        <v>9245.9079999999994</v>
      </c>
      <c r="Y149" s="5">
        <f t="shared" si="23"/>
        <v>122838.492</v>
      </c>
      <c r="Z149" s="21">
        <f>DATE(K149,MATCH(J149,{"January","February","March","April","May","June","July","August","September","October","November","December"},0),1)</f>
        <v>45505</v>
      </c>
    </row>
    <row r="150" spans="1:26" x14ac:dyDescent="0.3">
      <c r="A150" s="4" t="s">
        <v>218</v>
      </c>
      <c r="B150" s="4" t="s">
        <v>52</v>
      </c>
      <c r="C150" s="4" t="s">
        <v>24</v>
      </c>
      <c r="D150" s="5">
        <v>42814.17</v>
      </c>
      <c r="E150" s="6">
        <v>5</v>
      </c>
      <c r="F150" s="5">
        <v>214070.85</v>
      </c>
      <c r="G150" s="1">
        <v>45562</v>
      </c>
      <c r="H150" t="s">
        <v>18</v>
      </c>
      <c r="I150">
        <v>4.2</v>
      </c>
      <c r="J150" t="s">
        <v>19</v>
      </c>
      <c r="K150">
        <v>2024</v>
      </c>
      <c r="L150">
        <v>42814.170000000006</v>
      </c>
      <c r="M150">
        <v>5</v>
      </c>
      <c r="N150" t="s">
        <v>27</v>
      </c>
      <c r="O150" t="s">
        <v>33</v>
      </c>
      <c r="P150">
        <f>FlipkartSales[[#This Row],[Price (INR)]]*FlipkartSales[[#This Row],[Quantity Sold]]</f>
        <v>214070.84999999998</v>
      </c>
      <c r="Q150">
        <f>FlipkartSales[[#This Row],[Total Sales (INR)]]-FlipkartSales[[#This Row],[Calculated Sales]]</f>
        <v>0</v>
      </c>
      <c r="R150" s="9">
        <f t="shared" si="16"/>
        <v>0.2</v>
      </c>
      <c r="S150">
        <f t="shared" si="17"/>
        <v>42814.17</v>
      </c>
      <c r="T150">
        <f t="shared" si="18"/>
        <v>8562.8340000000007</v>
      </c>
      <c r="U150">
        <f t="shared" si="19"/>
        <v>9</v>
      </c>
      <c r="V150" t="str">
        <f t="shared" si="20"/>
        <v>Q3</v>
      </c>
      <c r="W150" t="str">
        <f t="shared" si="21"/>
        <v>Sep-2024</v>
      </c>
      <c r="X150">
        <f t="shared" si="22"/>
        <v>10703.5425</v>
      </c>
      <c r="Y150" s="5">
        <f t="shared" si="23"/>
        <v>203367.3075</v>
      </c>
      <c r="Z150" s="21">
        <f>DATE(K150,MATCH(J150,{"January","February","March","April","May","June","July","August","September","October","November","December"},0),1)</f>
        <v>45536</v>
      </c>
    </row>
    <row r="151" spans="1:26" x14ac:dyDescent="0.3">
      <c r="A151" s="4" t="s">
        <v>219</v>
      </c>
      <c r="B151" s="4" t="s">
        <v>58</v>
      </c>
      <c r="C151" s="4" t="s">
        <v>31</v>
      </c>
      <c r="D151" s="5">
        <v>5293.87</v>
      </c>
      <c r="E151" s="6">
        <v>2</v>
      </c>
      <c r="F151" s="5">
        <v>10587.74</v>
      </c>
      <c r="G151" s="1">
        <v>45657</v>
      </c>
      <c r="H151" t="s">
        <v>18</v>
      </c>
      <c r="I151">
        <v>2.7</v>
      </c>
      <c r="J151" t="s">
        <v>26</v>
      </c>
      <c r="K151">
        <v>2024</v>
      </c>
      <c r="L151">
        <v>2117.5480000000002</v>
      </c>
      <c r="M151">
        <v>9</v>
      </c>
      <c r="N151" t="s">
        <v>27</v>
      </c>
      <c r="O151" t="s">
        <v>68</v>
      </c>
      <c r="P151">
        <f>FlipkartSales[[#This Row],[Price (INR)]]*FlipkartSales[[#This Row],[Quantity Sold]]</f>
        <v>10587.74</v>
      </c>
      <c r="Q151">
        <f>FlipkartSales[[#This Row],[Total Sales (INR)]]-FlipkartSales[[#This Row],[Calculated Sales]]</f>
        <v>0</v>
      </c>
      <c r="R151" s="9">
        <f t="shared" si="16"/>
        <v>0.20000000000000004</v>
      </c>
      <c r="S151">
        <f t="shared" si="17"/>
        <v>5293.87</v>
      </c>
      <c r="T151">
        <f t="shared" si="18"/>
        <v>1058.7740000000001</v>
      </c>
      <c r="U151">
        <f t="shared" si="19"/>
        <v>12</v>
      </c>
      <c r="V151" t="str">
        <f t="shared" si="20"/>
        <v>Q4</v>
      </c>
      <c r="W151" t="str">
        <f t="shared" si="21"/>
        <v>Dec-2024</v>
      </c>
      <c r="X151">
        <f t="shared" si="22"/>
        <v>952.89660000000003</v>
      </c>
      <c r="Y151" s="5">
        <f t="shared" si="23"/>
        <v>9634.8433999999997</v>
      </c>
      <c r="Z151" s="21">
        <f>DATE(K151,MATCH(J151,{"January","February","March","April","May","June","July","August","September","October","November","December"},0),1)</f>
        <v>45627</v>
      </c>
    </row>
    <row r="152" spans="1:26" x14ac:dyDescent="0.3">
      <c r="A152" s="4" t="s">
        <v>220</v>
      </c>
      <c r="B152" s="4" t="s">
        <v>118</v>
      </c>
      <c r="C152" s="4" t="s">
        <v>17</v>
      </c>
      <c r="D152" s="5">
        <v>16596.580000000002</v>
      </c>
      <c r="E152" s="6">
        <v>5</v>
      </c>
      <c r="F152" s="5">
        <v>82982.899999999994</v>
      </c>
      <c r="G152" s="1">
        <v>45690</v>
      </c>
      <c r="H152" t="s">
        <v>25</v>
      </c>
      <c r="I152">
        <v>2.1</v>
      </c>
      <c r="J152" t="s">
        <v>59</v>
      </c>
      <c r="K152">
        <v>2025</v>
      </c>
      <c r="L152">
        <v>16596.579999999998</v>
      </c>
      <c r="M152">
        <v>30</v>
      </c>
      <c r="N152" t="s">
        <v>20</v>
      </c>
      <c r="O152" t="s">
        <v>68</v>
      </c>
      <c r="P152">
        <f>FlipkartSales[[#This Row],[Price (INR)]]*FlipkartSales[[#This Row],[Quantity Sold]]</f>
        <v>82982.900000000009</v>
      </c>
      <c r="Q152">
        <f>FlipkartSales[[#This Row],[Total Sales (INR)]]-FlipkartSales[[#This Row],[Calculated Sales]]</f>
        <v>0</v>
      </c>
      <c r="R152" s="9">
        <f t="shared" si="16"/>
        <v>0.19999999999999998</v>
      </c>
      <c r="S152">
        <f t="shared" si="17"/>
        <v>16596.579999999998</v>
      </c>
      <c r="T152">
        <f t="shared" si="18"/>
        <v>3319.3159999999998</v>
      </c>
      <c r="U152">
        <f t="shared" si="19"/>
        <v>2</v>
      </c>
      <c r="V152" t="str">
        <f t="shared" si="20"/>
        <v>Q1</v>
      </c>
      <c r="W152" t="str">
        <f t="shared" si="21"/>
        <v>Feb-2025</v>
      </c>
      <c r="X152">
        <f t="shared" si="22"/>
        <v>24894.87</v>
      </c>
      <c r="Y152" s="5">
        <f t="shared" si="23"/>
        <v>58088.03</v>
      </c>
      <c r="Z152" s="21">
        <f>DATE(K152,MATCH(J152,{"January","February","March","April","May","June","July","August","September","October","November","December"},0),1)</f>
        <v>45689</v>
      </c>
    </row>
    <row r="153" spans="1:26" x14ac:dyDescent="0.3">
      <c r="A153" s="4" t="s">
        <v>221</v>
      </c>
      <c r="B153" s="4" t="s">
        <v>47</v>
      </c>
      <c r="C153" s="4" t="s">
        <v>24</v>
      </c>
      <c r="D153" s="5">
        <v>48940.95</v>
      </c>
      <c r="E153" s="6">
        <v>1</v>
      </c>
      <c r="F153" s="5">
        <v>48940.95</v>
      </c>
      <c r="G153" s="1">
        <v>45342</v>
      </c>
      <c r="H153" t="s">
        <v>80</v>
      </c>
      <c r="I153">
        <v>1</v>
      </c>
      <c r="J153" t="s">
        <v>59</v>
      </c>
      <c r="K153">
        <v>2024</v>
      </c>
      <c r="L153">
        <v>9788.19</v>
      </c>
      <c r="M153">
        <v>27</v>
      </c>
      <c r="N153" t="s">
        <v>41</v>
      </c>
      <c r="O153" t="s">
        <v>33</v>
      </c>
      <c r="P153">
        <f>FlipkartSales[[#This Row],[Price (INR)]]*FlipkartSales[[#This Row],[Quantity Sold]]</f>
        <v>48940.95</v>
      </c>
      <c r="Q153">
        <f>FlipkartSales[[#This Row],[Total Sales (INR)]]-FlipkartSales[[#This Row],[Calculated Sales]]</f>
        <v>0</v>
      </c>
      <c r="R153" s="9">
        <f t="shared" si="16"/>
        <v>0.2</v>
      </c>
      <c r="S153">
        <f t="shared" si="17"/>
        <v>48940.95</v>
      </c>
      <c r="T153">
        <f t="shared" si="18"/>
        <v>9788.19</v>
      </c>
      <c r="U153">
        <f t="shared" si="19"/>
        <v>2</v>
      </c>
      <c r="V153" t="str">
        <f t="shared" si="20"/>
        <v>Q1</v>
      </c>
      <c r="W153" t="str">
        <f t="shared" si="21"/>
        <v>Feb-2024</v>
      </c>
      <c r="X153">
        <f t="shared" si="22"/>
        <v>13214.056499999999</v>
      </c>
      <c r="Y153" s="5">
        <f t="shared" si="23"/>
        <v>35726.893499999998</v>
      </c>
      <c r="Z153" s="21">
        <f>DATE(K153,MATCH(J153,{"January","February","March","April","May","June","July","August","September","October","November","December"},0),1)</f>
        <v>45323</v>
      </c>
    </row>
    <row r="154" spans="1:26" x14ac:dyDescent="0.3">
      <c r="A154" s="4" t="s">
        <v>222</v>
      </c>
      <c r="B154" s="4" t="s">
        <v>23</v>
      </c>
      <c r="C154" s="4" t="s">
        <v>24</v>
      </c>
      <c r="D154" s="5">
        <v>10059.450000000001</v>
      </c>
      <c r="E154" s="6">
        <v>5</v>
      </c>
      <c r="F154" s="5">
        <v>50297.25</v>
      </c>
      <c r="G154" s="1">
        <v>45374</v>
      </c>
      <c r="H154" t="s">
        <v>64</v>
      </c>
      <c r="I154">
        <v>4.3</v>
      </c>
      <c r="J154" t="s">
        <v>56</v>
      </c>
      <c r="K154">
        <v>2024</v>
      </c>
      <c r="L154">
        <v>10059.450000000001</v>
      </c>
      <c r="M154">
        <v>18</v>
      </c>
      <c r="N154" t="s">
        <v>41</v>
      </c>
      <c r="O154" t="s">
        <v>33</v>
      </c>
      <c r="P154">
        <f>FlipkartSales[[#This Row],[Price (INR)]]*FlipkartSales[[#This Row],[Quantity Sold]]</f>
        <v>50297.25</v>
      </c>
      <c r="Q154">
        <f>FlipkartSales[[#This Row],[Total Sales (INR)]]-FlipkartSales[[#This Row],[Calculated Sales]]</f>
        <v>0</v>
      </c>
      <c r="R154" s="9">
        <f t="shared" si="16"/>
        <v>0.2</v>
      </c>
      <c r="S154">
        <f t="shared" si="17"/>
        <v>10059.450000000001</v>
      </c>
      <c r="T154">
        <f t="shared" si="18"/>
        <v>2011.89</v>
      </c>
      <c r="U154">
        <f t="shared" si="19"/>
        <v>3</v>
      </c>
      <c r="V154" t="str">
        <f t="shared" si="20"/>
        <v>Q1</v>
      </c>
      <c r="W154" t="str">
        <f t="shared" si="21"/>
        <v>Mar-2024</v>
      </c>
      <c r="X154">
        <f t="shared" si="22"/>
        <v>9053.5049999999992</v>
      </c>
      <c r="Y154" s="5">
        <f t="shared" si="23"/>
        <v>41243.745000000003</v>
      </c>
      <c r="Z154" s="21">
        <f>DATE(K154,MATCH(J154,{"January","February","March","April","May","June","July","August","September","October","November","December"},0),1)</f>
        <v>45352</v>
      </c>
    </row>
    <row r="155" spans="1:26" x14ac:dyDescent="0.3">
      <c r="A155" s="4" t="s">
        <v>223</v>
      </c>
      <c r="B155" s="4" t="s">
        <v>58</v>
      </c>
      <c r="C155" s="4" t="s">
        <v>31</v>
      </c>
      <c r="D155" s="5">
        <v>4820.8</v>
      </c>
      <c r="E155" s="6">
        <v>1</v>
      </c>
      <c r="F155" s="5">
        <v>4820.8</v>
      </c>
      <c r="G155" s="1">
        <v>45636</v>
      </c>
      <c r="H155" t="s">
        <v>44</v>
      </c>
      <c r="I155">
        <v>4.3</v>
      </c>
      <c r="J155" t="s">
        <v>26</v>
      </c>
      <c r="K155">
        <v>2024</v>
      </c>
      <c r="L155">
        <v>964.16000000000008</v>
      </c>
      <c r="M155">
        <v>11</v>
      </c>
      <c r="N155" t="s">
        <v>41</v>
      </c>
      <c r="O155" t="s">
        <v>28</v>
      </c>
      <c r="P155">
        <f>FlipkartSales[[#This Row],[Price (INR)]]*FlipkartSales[[#This Row],[Quantity Sold]]</f>
        <v>4820.8</v>
      </c>
      <c r="Q155">
        <f>FlipkartSales[[#This Row],[Total Sales (INR)]]-FlipkartSales[[#This Row],[Calculated Sales]]</f>
        <v>0</v>
      </c>
      <c r="R155" s="9">
        <f t="shared" si="16"/>
        <v>0.2</v>
      </c>
      <c r="S155">
        <f t="shared" si="17"/>
        <v>4820.8</v>
      </c>
      <c r="T155">
        <f t="shared" si="18"/>
        <v>964.16000000000008</v>
      </c>
      <c r="U155">
        <f t="shared" si="19"/>
        <v>12</v>
      </c>
      <c r="V155" t="str">
        <f t="shared" si="20"/>
        <v>Q4</v>
      </c>
      <c r="W155" t="str">
        <f t="shared" si="21"/>
        <v>Dec-2024</v>
      </c>
      <c r="X155">
        <f t="shared" si="22"/>
        <v>530.28800000000001</v>
      </c>
      <c r="Y155" s="5">
        <f t="shared" si="23"/>
        <v>4290.5120000000006</v>
      </c>
      <c r="Z155" s="21">
        <f>DATE(K155,MATCH(J155,{"January","February","March","April","May","June","July","August","September","October","November","December"},0),1)</f>
        <v>45627</v>
      </c>
    </row>
    <row r="156" spans="1:26" x14ac:dyDescent="0.3">
      <c r="A156" s="4" t="s">
        <v>224</v>
      </c>
      <c r="B156" s="4" t="s">
        <v>74</v>
      </c>
      <c r="C156" s="4" t="s">
        <v>17</v>
      </c>
      <c r="D156" s="5">
        <v>12087.35</v>
      </c>
      <c r="E156" s="6">
        <v>4</v>
      </c>
      <c r="F156" s="5">
        <v>48349.4</v>
      </c>
      <c r="G156" s="1">
        <v>45617</v>
      </c>
      <c r="H156" t="s">
        <v>25</v>
      </c>
      <c r="I156">
        <v>2.6</v>
      </c>
      <c r="J156" t="s">
        <v>37</v>
      </c>
      <c r="K156">
        <v>2024</v>
      </c>
      <c r="L156">
        <v>9669.880000000001</v>
      </c>
      <c r="M156">
        <v>13</v>
      </c>
      <c r="N156" t="s">
        <v>20</v>
      </c>
      <c r="O156" t="s">
        <v>21</v>
      </c>
      <c r="P156">
        <f>FlipkartSales[[#This Row],[Price (INR)]]*FlipkartSales[[#This Row],[Quantity Sold]]</f>
        <v>48349.4</v>
      </c>
      <c r="Q156">
        <f>FlipkartSales[[#This Row],[Total Sales (INR)]]-FlipkartSales[[#This Row],[Calculated Sales]]</f>
        <v>0</v>
      </c>
      <c r="R156" s="9">
        <f t="shared" si="16"/>
        <v>0.2</v>
      </c>
      <c r="S156">
        <f t="shared" si="17"/>
        <v>12087.35</v>
      </c>
      <c r="T156">
        <f t="shared" si="18"/>
        <v>2417.4700000000003</v>
      </c>
      <c r="U156">
        <f t="shared" si="19"/>
        <v>11</v>
      </c>
      <c r="V156" t="str">
        <f t="shared" si="20"/>
        <v>Q4</v>
      </c>
      <c r="W156" t="str">
        <f t="shared" si="21"/>
        <v>Nov-2024</v>
      </c>
      <c r="X156">
        <f t="shared" si="22"/>
        <v>6285.4220000000005</v>
      </c>
      <c r="Y156" s="5">
        <f t="shared" si="23"/>
        <v>42063.978000000003</v>
      </c>
      <c r="Z156" s="21">
        <f>DATE(K156,MATCH(J156,{"January","February","March","April","May","June","July","August","September","October","November","December"},0),1)</f>
        <v>45597</v>
      </c>
    </row>
    <row r="157" spans="1:26" x14ac:dyDescent="0.3">
      <c r="A157" s="4" t="s">
        <v>225</v>
      </c>
      <c r="B157" s="4" t="s">
        <v>30</v>
      </c>
      <c r="C157" s="4" t="s">
        <v>31</v>
      </c>
      <c r="D157" s="5">
        <v>43522.080000000002</v>
      </c>
      <c r="E157" s="6">
        <v>5</v>
      </c>
      <c r="F157" s="5">
        <v>217610.4</v>
      </c>
      <c r="G157" s="1">
        <v>45546</v>
      </c>
      <c r="H157" t="s">
        <v>64</v>
      </c>
      <c r="I157">
        <v>4.8</v>
      </c>
      <c r="J157" t="s">
        <v>19</v>
      </c>
      <c r="K157">
        <v>2024</v>
      </c>
      <c r="L157">
        <v>43522.080000000002</v>
      </c>
      <c r="M157">
        <v>19</v>
      </c>
      <c r="N157" t="s">
        <v>20</v>
      </c>
      <c r="O157" t="s">
        <v>68</v>
      </c>
      <c r="P157">
        <f>FlipkartSales[[#This Row],[Price (INR)]]*FlipkartSales[[#This Row],[Quantity Sold]]</f>
        <v>217610.40000000002</v>
      </c>
      <c r="Q157">
        <f>FlipkartSales[[#This Row],[Total Sales (INR)]]-FlipkartSales[[#This Row],[Calculated Sales]]</f>
        <v>0</v>
      </c>
      <c r="R157" s="9">
        <f t="shared" si="16"/>
        <v>0.2</v>
      </c>
      <c r="S157">
        <f t="shared" si="17"/>
        <v>43522.080000000002</v>
      </c>
      <c r="T157">
        <f t="shared" si="18"/>
        <v>8704.4160000000011</v>
      </c>
      <c r="U157">
        <f t="shared" si="19"/>
        <v>9</v>
      </c>
      <c r="V157" t="str">
        <f t="shared" si="20"/>
        <v>Q3</v>
      </c>
      <c r="W157" t="str">
        <f t="shared" si="21"/>
        <v>Sep-2024</v>
      </c>
      <c r="X157">
        <f t="shared" si="22"/>
        <v>41345.976000000002</v>
      </c>
      <c r="Y157" s="5">
        <f t="shared" si="23"/>
        <v>176264.424</v>
      </c>
      <c r="Z157" s="21">
        <f>DATE(K157,MATCH(J157,{"January","February","March","April","May","June","July","August","September","October","November","December"},0),1)</f>
        <v>45536</v>
      </c>
    </row>
    <row r="158" spans="1:26" x14ac:dyDescent="0.3">
      <c r="A158" s="4" t="s">
        <v>226</v>
      </c>
      <c r="B158" s="4" t="s">
        <v>35</v>
      </c>
      <c r="C158" s="4" t="s">
        <v>36</v>
      </c>
      <c r="D158" s="5">
        <v>42409.26</v>
      </c>
      <c r="E158" s="6">
        <v>1</v>
      </c>
      <c r="F158" s="5">
        <v>42409.26</v>
      </c>
      <c r="G158" s="1">
        <v>45529</v>
      </c>
      <c r="H158" t="s">
        <v>18</v>
      </c>
      <c r="I158">
        <v>2</v>
      </c>
      <c r="J158" t="s">
        <v>88</v>
      </c>
      <c r="K158">
        <v>2024</v>
      </c>
      <c r="L158">
        <v>8481.8520000000008</v>
      </c>
      <c r="M158">
        <v>19</v>
      </c>
      <c r="N158" t="s">
        <v>27</v>
      </c>
      <c r="O158" t="s">
        <v>28</v>
      </c>
      <c r="P158">
        <f>FlipkartSales[[#This Row],[Price (INR)]]*FlipkartSales[[#This Row],[Quantity Sold]]</f>
        <v>42409.26</v>
      </c>
      <c r="Q158">
        <f>FlipkartSales[[#This Row],[Total Sales (INR)]]-FlipkartSales[[#This Row],[Calculated Sales]]</f>
        <v>0</v>
      </c>
      <c r="R158" s="9">
        <f t="shared" si="16"/>
        <v>0.2</v>
      </c>
      <c r="S158">
        <f t="shared" si="17"/>
        <v>42409.26</v>
      </c>
      <c r="T158">
        <f t="shared" si="18"/>
        <v>8481.8520000000008</v>
      </c>
      <c r="U158">
        <f t="shared" si="19"/>
        <v>8</v>
      </c>
      <c r="V158" t="str">
        <f t="shared" si="20"/>
        <v>Q3</v>
      </c>
      <c r="W158" t="str">
        <f t="shared" si="21"/>
        <v>Aug-2024</v>
      </c>
      <c r="X158">
        <f t="shared" si="22"/>
        <v>8057.7594000000008</v>
      </c>
      <c r="Y158" s="5">
        <f t="shared" si="23"/>
        <v>34351.500599999999</v>
      </c>
      <c r="Z158" s="21">
        <f>DATE(K158,MATCH(J158,{"January","February","March","April","May","June","July","August","September","October","November","December"},0),1)</f>
        <v>45505</v>
      </c>
    </row>
    <row r="159" spans="1:26" x14ac:dyDescent="0.3">
      <c r="A159" s="4" t="s">
        <v>227</v>
      </c>
      <c r="B159" s="4" t="s">
        <v>118</v>
      </c>
      <c r="C159" s="4" t="s">
        <v>17</v>
      </c>
      <c r="D159" s="5">
        <v>29882.47</v>
      </c>
      <c r="E159" s="6">
        <v>5</v>
      </c>
      <c r="F159" s="5">
        <v>149412.35</v>
      </c>
      <c r="G159" s="1">
        <v>45465</v>
      </c>
      <c r="H159" t="s">
        <v>44</v>
      </c>
      <c r="I159">
        <v>4.7</v>
      </c>
      <c r="J159" t="s">
        <v>67</v>
      </c>
      <c r="K159">
        <v>2024</v>
      </c>
      <c r="L159">
        <v>29882.47</v>
      </c>
      <c r="M159">
        <v>30</v>
      </c>
      <c r="N159" t="s">
        <v>27</v>
      </c>
      <c r="O159" t="s">
        <v>33</v>
      </c>
      <c r="P159">
        <f>FlipkartSales[[#This Row],[Price (INR)]]*FlipkartSales[[#This Row],[Quantity Sold]]</f>
        <v>149412.35</v>
      </c>
      <c r="Q159">
        <f>FlipkartSales[[#This Row],[Total Sales (INR)]]-FlipkartSales[[#This Row],[Calculated Sales]]</f>
        <v>0</v>
      </c>
      <c r="R159" s="9">
        <f t="shared" si="16"/>
        <v>0.2</v>
      </c>
      <c r="S159">
        <f t="shared" si="17"/>
        <v>29882.47</v>
      </c>
      <c r="T159">
        <f t="shared" si="18"/>
        <v>5976.4940000000006</v>
      </c>
      <c r="U159">
        <f t="shared" si="19"/>
        <v>6</v>
      </c>
      <c r="V159" t="str">
        <f t="shared" si="20"/>
        <v>Q2</v>
      </c>
      <c r="W159" t="str">
        <f t="shared" si="21"/>
        <v>Jun-2024</v>
      </c>
      <c r="X159">
        <f t="shared" si="22"/>
        <v>44823.705000000002</v>
      </c>
      <c r="Y159" s="5">
        <f t="shared" si="23"/>
        <v>104588.645</v>
      </c>
      <c r="Z159" s="21">
        <f>DATE(K159,MATCH(J159,{"January","February","March","April","May","June","July","August","September","October","November","December"},0),1)</f>
        <v>45444</v>
      </c>
    </row>
    <row r="160" spans="1:26" x14ac:dyDescent="0.3">
      <c r="A160" s="4" t="s">
        <v>228</v>
      </c>
      <c r="B160" s="4" t="s">
        <v>35</v>
      </c>
      <c r="C160" s="4" t="s">
        <v>36</v>
      </c>
      <c r="D160" s="5">
        <v>40233.279999999999</v>
      </c>
      <c r="E160" s="6">
        <v>5</v>
      </c>
      <c r="F160" s="5">
        <v>201166.4</v>
      </c>
      <c r="G160" s="1">
        <v>45662</v>
      </c>
      <c r="H160" t="s">
        <v>44</v>
      </c>
      <c r="I160">
        <v>1.9</v>
      </c>
      <c r="J160" t="s">
        <v>53</v>
      </c>
      <c r="K160">
        <v>2025</v>
      </c>
      <c r="L160">
        <v>40233.279999999999</v>
      </c>
      <c r="M160">
        <v>14</v>
      </c>
      <c r="N160" t="s">
        <v>27</v>
      </c>
      <c r="O160" t="s">
        <v>21</v>
      </c>
      <c r="P160">
        <f>FlipkartSales[[#This Row],[Price (INR)]]*FlipkartSales[[#This Row],[Quantity Sold]]</f>
        <v>201166.4</v>
      </c>
      <c r="Q160">
        <f>FlipkartSales[[#This Row],[Total Sales (INR)]]-FlipkartSales[[#This Row],[Calculated Sales]]</f>
        <v>0</v>
      </c>
      <c r="R160" s="9">
        <f t="shared" si="16"/>
        <v>0.2</v>
      </c>
      <c r="S160">
        <f t="shared" si="17"/>
        <v>40233.279999999999</v>
      </c>
      <c r="T160">
        <f t="shared" si="18"/>
        <v>8046.6559999999999</v>
      </c>
      <c r="U160">
        <f t="shared" si="19"/>
        <v>1</v>
      </c>
      <c r="V160" t="str">
        <f t="shared" si="20"/>
        <v>Q1</v>
      </c>
      <c r="W160" t="str">
        <f t="shared" si="21"/>
        <v>Jan-2025</v>
      </c>
      <c r="X160">
        <f t="shared" si="22"/>
        <v>28163.296000000002</v>
      </c>
      <c r="Y160" s="5">
        <f t="shared" si="23"/>
        <v>173003.10399999999</v>
      </c>
      <c r="Z160" s="21">
        <f>DATE(K160,MATCH(J160,{"January","February","March","April","May","June","July","August","September","October","November","December"},0),1)</f>
        <v>45658</v>
      </c>
    </row>
    <row r="161" spans="1:26" x14ac:dyDescent="0.3">
      <c r="A161" s="4" t="s">
        <v>229</v>
      </c>
      <c r="B161" s="4" t="s">
        <v>145</v>
      </c>
      <c r="C161" s="4" t="s">
        <v>40</v>
      </c>
      <c r="D161" s="5">
        <v>15357.36</v>
      </c>
      <c r="E161" s="6">
        <v>4</v>
      </c>
      <c r="F161" s="5">
        <v>61429.440000000002</v>
      </c>
      <c r="G161" s="1">
        <v>45510</v>
      </c>
      <c r="H161" t="s">
        <v>18</v>
      </c>
      <c r="I161">
        <v>1.6</v>
      </c>
      <c r="J161" t="s">
        <v>88</v>
      </c>
      <c r="K161">
        <v>2024</v>
      </c>
      <c r="L161">
        <v>12285.888000000001</v>
      </c>
      <c r="M161">
        <v>17</v>
      </c>
      <c r="N161" t="s">
        <v>41</v>
      </c>
      <c r="O161" t="s">
        <v>28</v>
      </c>
      <c r="P161">
        <f>FlipkartSales[[#This Row],[Price (INR)]]*FlipkartSales[[#This Row],[Quantity Sold]]</f>
        <v>61429.440000000002</v>
      </c>
      <c r="Q161">
        <f>FlipkartSales[[#This Row],[Total Sales (INR)]]-FlipkartSales[[#This Row],[Calculated Sales]]</f>
        <v>0</v>
      </c>
      <c r="R161" s="9">
        <f t="shared" si="16"/>
        <v>0.2</v>
      </c>
      <c r="S161">
        <f t="shared" si="17"/>
        <v>15357.36</v>
      </c>
      <c r="T161">
        <f t="shared" si="18"/>
        <v>3071.4720000000002</v>
      </c>
      <c r="U161">
        <f t="shared" si="19"/>
        <v>8</v>
      </c>
      <c r="V161" t="str">
        <f t="shared" si="20"/>
        <v>Q3</v>
      </c>
      <c r="W161" t="str">
        <f t="shared" si="21"/>
        <v>Aug-2024</v>
      </c>
      <c r="X161">
        <f t="shared" si="22"/>
        <v>10443.004800000001</v>
      </c>
      <c r="Y161" s="5">
        <f t="shared" si="23"/>
        <v>50986.4352</v>
      </c>
      <c r="Z161" s="21">
        <f>DATE(K161,MATCH(J161,{"January","February","March","April","May","June","July","August","September","October","November","December"},0),1)</f>
        <v>45505</v>
      </c>
    </row>
    <row r="162" spans="1:26" x14ac:dyDescent="0.3">
      <c r="A162" s="4" t="s">
        <v>230</v>
      </c>
      <c r="B162" s="4" t="s">
        <v>125</v>
      </c>
      <c r="C162" s="4" t="s">
        <v>17</v>
      </c>
      <c r="D162" s="5">
        <v>10565.57</v>
      </c>
      <c r="E162" s="6">
        <v>4</v>
      </c>
      <c r="F162" s="5">
        <v>42262.28</v>
      </c>
      <c r="G162" s="1">
        <v>45477</v>
      </c>
      <c r="H162" t="s">
        <v>80</v>
      </c>
      <c r="I162">
        <v>1.5</v>
      </c>
      <c r="J162" t="s">
        <v>48</v>
      </c>
      <c r="K162">
        <v>2024</v>
      </c>
      <c r="L162">
        <v>8452.4560000000001</v>
      </c>
      <c r="M162">
        <v>23</v>
      </c>
      <c r="N162" t="s">
        <v>41</v>
      </c>
      <c r="O162" t="s">
        <v>68</v>
      </c>
      <c r="P162">
        <f>FlipkartSales[[#This Row],[Price (INR)]]*FlipkartSales[[#This Row],[Quantity Sold]]</f>
        <v>42262.28</v>
      </c>
      <c r="Q162">
        <f>FlipkartSales[[#This Row],[Total Sales (INR)]]-FlipkartSales[[#This Row],[Calculated Sales]]</f>
        <v>0</v>
      </c>
      <c r="R162" s="9">
        <f t="shared" si="16"/>
        <v>0.2</v>
      </c>
      <c r="S162">
        <f t="shared" si="17"/>
        <v>10565.57</v>
      </c>
      <c r="T162">
        <f t="shared" si="18"/>
        <v>2113.114</v>
      </c>
      <c r="U162">
        <f t="shared" si="19"/>
        <v>7</v>
      </c>
      <c r="V162" t="str">
        <f t="shared" si="20"/>
        <v>Q3</v>
      </c>
      <c r="W162" t="str">
        <f t="shared" si="21"/>
        <v>Jul-2024</v>
      </c>
      <c r="X162">
        <f t="shared" si="22"/>
        <v>9720.3243999999995</v>
      </c>
      <c r="Y162" s="5">
        <f t="shared" si="23"/>
        <v>32541.955600000001</v>
      </c>
      <c r="Z162" s="21">
        <f>DATE(K162,MATCH(J162,{"January","February","March","April","May","June","July","August","September","October","November","December"},0),1)</f>
        <v>45474</v>
      </c>
    </row>
    <row r="163" spans="1:26" x14ac:dyDescent="0.3">
      <c r="A163" s="4" t="s">
        <v>231</v>
      </c>
      <c r="B163" s="4" t="s">
        <v>118</v>
      </c>
      <c r="C163" s="4" t="s">
        <v>17</v>
      </c>
      <c r="D163" s="5">
        <v>42533.26</v>
      </c>
      <c r="E163" s="6">
        <v>4</v>
      </c>
      <c r="F163" s="5">
        <v>170133.04</v>
      </c>
      <c r="G163" s="1">
        <v>45624</v>
      </c>
      <c r="H163" t="s">
        <v>18</v>
      </c>
      <c r="I163">
        <v>4.5999999999999996</v>
      </c>
      <c r="J163" t="s">
        <v>37</v>
      </c>
      <c r="K163">
        <v>2024</v>
      </c>
      <c r="L163">
        <v>34026.608</v>
      </c>
      <c r="M163">
        <v>11</v>
      </c>
      <c r="N163" t="s">
        <v>27</v>
      </c>
      <c r="O163" t="s">
        <v>28</v>
      </c>
      <c r="P163">
        <f>FlipkartSales[[#This Row],[Price (INR)]]*FlipkartSales[[#This Row],[Quantity Sold]]</f>
        <v>170133.04</v>
      </c>
      <c r="Q163">
        <f>FlipkartSales[[#This Row],[Total Sales (INR)]]-FlipkartSales[[#This Row],[Calculated Sales]]</f>
        <v>0</v>
      </c>
      <c r="R163" s="9">
        <f t="shared" si="16"/>
        <v>0.19999999999999998</v>
      </c>
      <c r="S163">
        <f t="shared" si="17"/>
        <v>42533.26</v>
      </c>
      <c r="T163">
        <f t="shared" si="18"/>
        <v>8506.652</v>
      </c>
      <c r="U163">
        <f t="shared" si="19"/>
        <v>11</v>
      </c>
      <c r="V163" t="str">
        <f t="shared" si="20"/>
        <v>Q4</v>
      </c>
      <c r="W163" t="str">
        <f t="shared" si="21"/>
        <v>Nov-2024</v>
      </c>
      <c r="X163">
        <f t="shared" si="22"/>
        <v>18714.634400000003</v>
      </c>
      <c r="Y163" s="5">
        <f t="shared" si="23"/>
        <v>151418.4056</v>
      </c>
      <c r="Z163" s="21">
        <f>DATE(K163,MATCH(J163,{"January","February","March","April","May","June","July","August","September","October","November","December"},0),1)</f>
        <v>45597</v>
      </c>
    </row>
    <row r="164" spans="1:26" x14ac:dyDescent="0.3">
      <c r="A164" s="4" t="s">
        <v>232</v>
      </c>
      <c r="B164" s="4" t="s">
        <v>43</v>
      </c>
      <c r="C164" s="4" t="s">
        <v>40</v>
      </c>
      <c r="D164" s="5">
        <v>18426.900000000001</v>
      </c>
      <c r="E164" s="6">
        <v>4</v>
      </c>
      <c r="F164" s="5">
        <v>73707.600000000006</v>
      </c>
      <c r="G164" s="1">
        <v>45583</v>
      </c>
      <c r="H164" t="s">
        <v>18</v>
      </c>
      <c r="I164">
        <v>4.7</v>
      </c>
      <c r="J164" t="s">
        <v>45</v>
      </c>
      <c r="K164">
        <v>2024</v>
      </c>
      <c r="L164">
        <v>14741.520000000002</v>
      </c>
      <c r="M164">
        <v>21</v>
      </c>
      <c r="N164" t="s">
        <v>41</v>
      </c>
      <c r="O164" t="s">
        <v>68</v>
      </c>
      <c r="P164">
        <f>FlipkartSales[[#This Row],[Price (INR)]]*FlipkartSales[[#This Row],[Quantity Sold]]</f>
        <v>73707.600000000006</v>
      </c>
      <c r="Q164">
        <f>FlipkartSales[[#This Row],[Total Sales (INR)]]-FlipkartSales[[#This Row],[Calculated Sales]]</f>
        <v>0</v>
      </c>
      <c r="R164" s="9">
        <f t="shared" si="16"/>
        <v>0.2</v>
      </c>
      <c r="S164">
        <f t="shared" si="17"/>
        <v>18426.900000000001</v>
      </c>
      <c r="T164">
        <f t="shared" si="18"/>
        <v>3685.3800000000006</v>
      </c>
      <c r="U164">
        <f t="shared" si="19"/>
        <v>10</v>
      </c>
      <c r="V164" t="str">
        <f t="shared" si="20"/>
        <v>Q4</v>
      </c>
      <c r="W164" t="str">
        <f t="shared" si="21"/>
        <v>Oct-2024</v>
      </c>
      <c r="X164">
        <f t="shared" si="22"/>
        <v>15478.596000000001</v>
      </c>
      <c r="Y164" s="5">
        <f t="shared" si="23"/>
        <v>58229.004000000001</v>
      </c>
      <c r="Z164" s="21">
        <f>DATE(K164,MATCH(J164,{"January","February","March","April","May","June","July","August","September","October","November","December"},0),1)</f>
        <v>45566</v>
      </c>
    </row>
    <row r="165" spans="1:26" x14ac:dyDescent="0.3">
      <c r="A165" s="4" t="s">
        <v>233</v>
      </c>
      <c r="B165" s="4" t="s">
        <v>58</v>
      </c>
      <c r="C165" s="4" t="s">
        <v>31</v>
      </c>
      <c r="D165" s="5">
        <v>23369.23</v>
      </c>
      <c r="E165" s="6">
        <v>1</v>
      </c>
      <c r="F165" s="5">
        <v>23369.23</v>
      </c>
      <c r="G165" s="1">
        <v>45619</v>
      </c>
      <c r="H165" t="s">
        <v>71</v>
      </c>
      <c r="I165">
        <v>1.5</v>
      </c>
      <c r="J165" t="s">
        <v>37</v>
      </c>
      <c r="K165">
        <v>2024</v>
      </c>
      <c r="L165">
        <v>4673.8460000000005</v>
      </c>
      <c r="M165">
        <v>24</v>
      </c>
      <c r="N165" t="s">
        <v>27</v>
      </c>
      <c r="O165" t="s">
        <v>33</v>
      </c>
      <c r="P165">
        <f>FlipkartSales[[#This Row],[Price (INR)]]*FlipkartSales[[#This Row],[Quantity Sold]]</f>
        <v>23369.23</v>
      </c>
      <c r="Q165">
        <f>FlipkartSales[[#This Row],[Total Sales (INR)]]-FlipkartSales[[#This Row],[Calculated Sales]]</f>
        <v>0</v>
      </c>
      <c r="R165" s="9">
        <f t="shared" si="16"/>
        <v>0.2</v>
      </c>
      <c r="S165">
        <f t="shared" si="17"/>
        <v>23369.23</v>
      </c>
      <c r="T165">
        <f t="shared" si="18"/>
        <v>4673.8460000000005</v>
      </c>
      <c r="U165">
        <f t="shared" si="19"/>
        <v>11</v>
      </c>
      <c r="V165" t="str">
        <f t="shared" si="20"/>
        <v>Q4</v>
      </c>
      <c r="W165" t="str">
        <f t="shared" si="21"/>
        <v>Nov-2024</v>
      </c>
      <c r="X165">
        <f t="shared" si="22"/>
        <v>5608.6152000000002</v>
      </c>
      <c r="Y165" s="5">
        <f t="shared" si="23"/>
        <v>17760.614799999999</v>
      </c>
      <c r="Z165" s="21">
        <f>DATE(K165,MATCH(J165,{"January","February","March","April","May","June","July","August","September","October","November","December"},0),1)</f>
        <v>45597</v>
      </c>
    </row>
    <row r="166" spans="1:26" x14ac:dyDescent="0.3">
      <c r="A166" s="4" t="s">
        <v>234</v>
      </c>
      <c r="B166" s="4" t="s">
        <v>58</v>
      </c>
      <c r="C166" s="4" t="s">
        <v>31</v>
      </c>
      <c r="D166" s="5">
        <v>2735.32</v>
      </c>
      <c r="E166" s="6">
        <v>5</v>
      </c>
      <c r="F166" s="5">
        <v>13676.6</v>
      </c>
      <c r="G166" s="1">
        <v>45646</v>
      </c>
      <c r="H166" t="s">
        <v>44</v>
      </c>
      <c r="I166">
        <v>2.6</v>
      </c>
      <c r="J166" t="s">
        <v>26</v>
      </c>
      <c r="K166">
        <v>2024</v>
      </c>
      <c r="L166">
        <v>2735.32</v>
      </c>
      <c r="M166">
        <v>8</v>
      </c>
      <c r="N166" t="s">
        <v>20</v>
      </c>
      <c r="O166" t="s">
        <v>21</v>
      </c>
      <c r="P166">
        <f>FlipkartSales[[#This Row],[Price (INR)]]*FlipkartSales[[#This Row],[Quantity Sold]]</f>
        <v>13676.6</v>
      </c>
      <c r="Q166">
        <f>FlipkartSales[[#This Row],[Total Sales (INR)]]-FlipkartSales[[#This Row],[Calculated Sales]]</f>
        <v>0</v>
      </c>
      <c r="R166" s="9">
        <f t="shared" si="16"/>
        <v>0.2</v>
      </c>
      <c r="S166">
        <f t="shared" si="17"/>
        <v>2735.32</v>
      </c>
      <c r="T166">
        <f t="shared" si="18"/>
        <v>547.06400000000008</v>
      </c>
      <c r="U166">
        <f t="shared" si="19"/>
        <v>12</v>
      </c>
      <c r="V166" t="str">
        <f t="shared" si="20"/>
        <v>Q4</v>
      </c>
      <c r="W166" t="str">
        <f t="shared" si="21"/>
        <v>Dec-2024</v>
      </c>
      <c r="X166">
        <f t="shared" si="22"/>
        <v>1094.1279999999999</v>
      </c>
      <c r="Y166" s="5">
        <f t="shared" si="23"/>
        <v>12582.472</v>
      </c>
      <c r="Z166" s="21">
        <f>DATE(K166,MATCH(J166,{"January","February","March","April","May","June","July","August","September","October","November","December"},0),1)</f>
        <v>45627</v>
      </c>
    </row>
    <row r="167" spans="1:26" x14ac:dyDescent="0.3">
      <c r="A167" s="4" t="s">
        <v>235</v>
      </c>
      <c r="B167" s="4" t="s">
        <v>96</v>
      </c>
      <c r="C167" s="4" t="s">
        <v>36</v>
      </c>
      <c r="D167" s="5">
        <v>48944.01</v>
      </c>
      <c r="E167" s="6">
        <v>3</v>
      </c>
      <c r="F167" s="5">
        <v>146832.03</v>
      </c>
      <c r="G167" s="1">
        <v>45477</v>
      </c>
      <c r="H167" t="s">
        <v>64</v>
      </c>
      <c r="I167">
        <v>4.2</v>
      </c>
      <c r="J167" t="s">
        <v>48</v>
      </c>
      <c r="K167">
        <v>2024</v>
      </c>
      <c r="L167">
        <v>29366.406000000003</v>
      </c>
      <c r="M167">
        <v>9</v>
      </c>
      <c r="N167" t="s">
        <v>27</v>
      </c>
      <c r="O167" t="s">
        <v>21</v>
      </c>
      <c r="P167">
        <f>FlipkartSales[[#This Row],[Price (INR)]]*FlipkartSales[[#This Row],[Quantity Sold]]</f>
        <v>146832.03</v>
      </c>
      <c r="Q167">
        <f>FlipkartSales[[#This Row],[Total Sales (INR)]]-FlipkartSales[[#This Row],[Calculated Sales]]</f>
        <v>0</v>
      </c>
      <c r="R167" s="9">
        <f t="shared" si="16"/>
        <v>0.2</v>
      </c>
      <c r="S167">
        <f t="shared" si="17"/>
        <v>48944.01</v>
      </c>
      <c r="T167">
        <f t="shared" si="18"/>
        <v>9788.8020000000015</v>
      </c>
      <c r="U167">
        <f t="shared" si="19"/>
        <v>7</v>
      </c>
      <c r="V167" t="str">
        <f t="shared" si="20"/>
        <v>Q3</v>
      </c>
      <c r="W167" t="str">
        <f t="shared" si="21"/>
        <v>Jul-2024</v>
      </c>
      <c r="X167">
        <f t="shared" si="22"/>
        <v>13214.8827</v>
      </c>
      <c r="Y167" s="5">
        <f t="shared" si="23"/>
        <v>133617.14730000001</v>
      </c>
      <c r="Z167" s="21">
        <f>DATE(K167,MATCH(J167,{"January","February","March","April","May","June","July","August","September","October","November","December"},0),1)</f>
        <v>45474</v>
      </c>
    </row>
    <row r="168" spans="1:26" x14ac:dyDescent="0.3">
      <c r="A168" s="4" t="s">
        <v>236</v>
      </c>
      <c r="B168" s="4" t="s">
        <v>94</v>
      </c>
      <c r="C168" s="4" t="s">
        <v>31</v>
      </c>
      <c r="D168" s="5">
        <v>32590.46</v>
      </c>
      <c r="E168" s="6">
        <v>2</v>
      </c>
      <c r="F168" s="5">
        <v>65180.92</v>
      </c>
      <c r="G168" s="1">
        <v>45393</v>
      </c>
      <c r="H168" t="s">
        <v>80</v>
      </c>
      <c r="I168">
        <v>2.4</v>
      </c>
      <c r="J168" t="s">
        <v>62</v>
      </c>
      <c r="K168">
        <v>2024</v>
      </c>
      <c r="L168">
        <v>13036.184000000001</v>
      </c>
      <c r="M168">
        <v>27</v>
      </c>
      <c r="N168" t="s">
        <v>20</v>
      </c>
      <c r="O168" t="s">
        <v>21</v>
      </c>
      <c r="P168">
        <f>FlipkartSales[[#This Row],[Price (INR)]]*FlipkartSales[[#This Row],[Quantity Sold]]</f>
        <v>65180.92</v>
      </c>
      <c r="Q168">
        <f>FlipkartSales[[#This Row],[Total Sales (INR)]]-FlipkartSales[[#This Row],[Calculated Sales]]</f>
        <v>0</v>
      </c>
      <c r="R168" s="9">
        <f t="shared" si="16"/>
        <v>0.2</v>
      </c>
      <c r="S168">
        <f t="shared" si="17"/>
        <v>32590.46</v>
      </c>
      <c r="T168">
        <f t="shared" si="18"/>
        <v>6518.0920000000006</v>
      </c>
      <c r="U168">
        <f t="shared" si="19"/>
        <v>4</v>
      </c>
      <c r="V168" t="str">
        <f t="shared" si="20"/>
        <v>Q2</v>
      </c>
      <c r="W168" t="str">
        <f t="shared" si="21"/>
        <v>Apr-2024</v>
      </c>
      <c r="X168">
        <f t="shared" si="22"/>
        <v>17598.848399999999</v>
      </c>
      <c r="Y168" s="5">
        <f t="shared" si="23"/>
        <v>47582.071599999996</v>
      </c>
      <c r="Z168" s="21">
        <f>DATE(K168,MATCH(J168,{"January","February","March","April","May","June","July","August","September","October","November","December"},0),1)</f>
        <v>45383</v>
      </c>
    </row>
    <row r="169" spans="1:26" x14ac:dyDescent="0.3">
      <c r="A169" s="4" t="s">
        <v>237</v>
      </c>
      <c r="B169" s="4" t="s">
        <v>94</v>
      </c>
      <c r="C169" s="4" t="s">
        <v>31</v>
      </c>
      <c r="D169" s="5">
        <v>35286.97</v>
      </c>
      <c r="E169" s="6">
        <v>2</v>
      </c>
      <c r="F169" s="5">
        <v>70573.94</v>
      </c>
      <c r="G169" s="1">
        <v>45574</v>
      </c>
      <c r="H169" t="s">
        <v>80</v>
      </c>
      <c r="I169">
        <v>3.3</v>
      </c>
      <c r="J169" t="s">
        <v>45</v>
      </c>
      <c r="K169">
        <v>2024</v>
      </c>
      <c r="L169">
        <v>14114.788</v>
      </c>
      <c r="M169">
        <v>11</v>
      </c>
      <c r="N169" t="s">
        <v>41</v>
      </c>
      <c r="O169" t="s">
        <v>33</v>
      </c>
      <c r="P169">
        <f>FlipkartSales[[#This Row],[Price (INR)]]*FlipkartSales[[#This Row],[Quantity Sold]]</f>
        <v>70573.94</v>
      </c>
      <c r="Q169">
        <f>FlipkartSales[[#This Row],[Total Sales (INR)]]-FlipkartSales[[#This Row],[Calculated Sales]]</f>
        <v>0</v>
      </c>
      <c r="R169" s="9">
        <f t="shared" si="16"/>
        <v>0.2</v>
      </c>
      <c r="S169">
        <f t="shared" si="17"/>
        <v>35286.97</v>
      </c>
      <c r="T169">
        <f t="shared" si="18"/>
        <v>7057.3940000000002</v>
      </c>
      <c r="U169">
        <f t="shared" si="19"/>
        <v>10</v>
      </c>
      <c r="V169" t="str">
        <f t="shared" si="20"/>
        <v>Q4</v>
      </c>
      <c r="W169" t="str">
        <f t="shared" si="21"/>
        <v>Oct-2024</v>
      </c>
      <c r="X169">
        <f t="shared" si="22"/>
        <v>7763.1334000000006</v>
      </c>
      <c r="Y169" s="5">
        <f t="shared" si="23"/>
        <v>62810.806600000004</v>
      </c>
      <c r="Z169" s="21">
        <f>DATE(K169,MATCH(J169,{"January","February","March","April","May","June","July","August","September","October","November","December"},0),1)</f>
        <v>45566</v>
      </c>
    </row>
    <row r="170" spans="1:26" x14ac:dyDescent="0.3">
      <c r="A170" s="4" t="s">
        <v>238</v>
      </c>
      <c r="B170" s="4" t="s">
        <v>118</v>
      </c>
      <c r="C170" s="4" t="s">
        <v>17</v>
      </c>
      <c r="D170" s="5">
        <v>42881.03</v>
      </c>
      <c r="E170" s="6">
        <v>3</v>
      </c>
      <c r="F170" s="5">
        <v>128643.09</v>
      </c>
      <c r="G170" s="1">
        <v>45625</v>
      </c>
      <c r="H170" t="s">
        <v>80</v>
      </c>
      <c r="I170">
        <v>4.4000000000000004</v>
      </c>
      <c r="J170" t="s">
        <v>37</v>
      </c>
      <c r="K170">
        <v>2024</v>
      </c>
      <c r="L170">
        <v>25728.618000000002</v>
      </c>
      <c r="M170">
        <v>17</v>
      </c>
      <c r="N170" t="s">
        <v>27</v>
      </c>
      <c r="O170" t="s">
        <v>68</v>
      </c>
      <c r="P170">
        <f>FlipkartSales[[#This Row],[Price (INR)]]*FlipkartSales[[#This Row],[Quantity Sold]]</f>
        <v>128643.09</v>
      </c>
      <c r="Q170">
        <f>FlipkartSales[[#This Row],[Total Sales (INR)]]-FlipkartSales[[#This Row],[Calculated Sales]]</f>
        <v>0</v>
      </c>
      <c r="R170" s="9">
        <f t="shared" si="16"/>
        <v>0.2</v>
      </c>
      <c r="S170">
        <f t="shared" si="17"/>
        <v>42881.03</v>
      </c>
      <c r="T170">
        <f t="shared" si="18"/>
        <v>8576.2060000000001</v>
      </c>
      <c r="U170">
        <f t="shared" si="19"/>
        <v>11</v>
      </c>
      <c r="V170" t="str">
        <f t="shared" si="20"/>
        <v>Q4</v>
      </c>
      <c r="W170" t="str">
        <f t="shared" si="21"/>
        <v>Nov-2024</v>
      </c>
      <c r="X170">
        <f t="shared" si="22"/>
        <v>21869.325299999997</v>
      </c>
      <c r="Y170" s="5">
        <f t="shared" si="23"/>
        <v>106773.7647</v>
      </c>
      <c r="Z170" s="21">
        <f>DATE(K170,MATCH(J170,{"January","February","March","April","May","June","July","August","September","October","November","December"},0),1)</f>
        <v>45597</v>
      </c>
    </row>
    <row r="171" spans="1:26" x14ac:dyDescent="0.3">
      <c r="A171" s="4" t="s">
        <v>239</v>
      </c>
      <c r="B171" s="4" t="s">
        <v>100</v>
      </c>
      <c r="C171" s="4" t="s">
        <v>31</v>
      </c>
      <c r="D171" s="5">
        <v>28246.25</v>
      </c>
      <c r="E171" s="6">
        <v>2</v>
      </c>
      <c r="F171" s="5">
        <v>56492.5</v>
      </c>
      <c r="G171" s="1">
        <v>45446</v>
      </c>
      <c r="H171" t="s">
        <v>80</v>
      </c>
      <c r="I171">
        <v>2.2999999999999998</v>
      </c>
      <c r="J171" t="s">
        <v>67</v>
      </c>
      <c r="K171">
        <v>2024</v>
      </c>
      <c r="L171">
        <v>11298.5</v>
      </c>
      <c r="M171">
        <v>19</v>
      </c>
      <c r="N171" t="s">
        <v>41</v>
      </c>
      <c r="O171" t="s">
        <v>33</v>
      </c>
      <c r="P171">
        <f>FlipkartSales[[#This Row],[Price (INR)]]*FlipkartSales[[#This Row],[Quantity Sold]]</f>
        <v>56492.5</v>
      </c>
      <c r="Q171">
        <f>FlipkartSales[[#This Row],[Total Sales (INR)]]-FlipkartSales[[#This Row],[Calculated Sales]]</f>
        <v>0</v>
      </c>
      <c r="R171" s="9">
        <f t="shared" si="16"/>
        <v>0.2</v>
      </c>
      <c r="S171">
        <f t="shared" si="17"/>
        <v>28246.25</v>
      </c>
      <c r="T171">
        <f t="shared" si="18"/>
        <v>5649.25</v>
      </c>
      <c r="U171">
        <f t="shared" si="19"/>
        <v>6</v>
      </c>
      <c r="V171" t="str">
        <f t="shared" si="20"/>
        <v>Q2</v>
      </c>
      <c r="W171" t="str">
        <f t="shared" si="21"/>
        <v>Jun-2024</v>
      </c>
      <c r="X171">
        <f t="shared" si="22"/>
        <v>10733.575000000001</v>
      </c>
      <c r="Y171" s="5">
        <f t="shared" si="23"/>
        <v>45758.925000000003</v>
      </c>
      <c r="Z171" s="21">
        <f>DATE(K171,MATCH(J171,{"January","February","March","April","May","June","July","August","September","October","November","December"},0),1)</f>
        <v>45444</v>
      </c>
    </row>
    <row r="172" spans="1:26" x14ac:dyDescent="0.3">
      <c r="A172" s="4" t="s">
        <v>240</v>
      </c>
      <c r="B172" s="4" t="s">
        <v>100</v>
      </c>
      <c r="C172" s="4" t="s">
        <v>31</v>
      </c>
      <c r="D172" s="5">
        <v>24619.84</v>
      </c>
      <c r="E172" s="6">
        <v>2</v>
      </c>
      <c r="F172" s="5">
        <v>49239.68</v>
      </c>
      <c r="G172" s="1">
        <v>45632</v>
      </c>
      <c r="H172" t="s">
        <v>18</v>
      </c>
      <c r="I172">
        <v>4.0999999999999996</v>
      </c>
      <c r="J172" t="s">
        <v>26</v>
      </c>
      <c r="K172">
        <v>2024</v>
      </c>
      <c r="L172">
        <v>9847.9360000000015</v>
      </c>
      <c r="M172">
        <v>15</v>
      </c>
      <c r="N172" t="s">
        <v>20</v>
      </c>
      <c r="O172" t="s">
        <v>21</v>
      </c>
      <c r="P172">
        <f>FlipkartSales[[#This Row],[Price (INR)]]*FlipkartSales[[#This Row],[Quantity Sold]]</f>
        <v>49239.68</v>
      </c>
      <c r="Q172">
        <f>FlipkartSales[[#This Row],[Total Sales (INR)]]-FlipkartSales[[#This Row],[Calculated Sales]]</f>
        <v>0</v>
      </c>
      <c r="R172" s="9">
        <f t="shared" si="16"/>
        <v>0.20000000000000004</v>
      </c>
      <c r="S172">
        <f t="shared" si="17"/>
        <v>24619.84</v>
      </c>
      <c r="T172">
        <f t="shared" si="18"/>
        <v>4923.9680000000008</v>
      </c>
      <c r="U172">
        <f t="shared" si="19"/>
        <v>12</v>
      </c>
      <c r="V172" t="str">
        <f t="shared" si="20"/>
        <v>Q4</v>
      </c>
      <c r="W172" t="str">
        <f t="shared" si="21"/>
        <v>Dec-2024</v>
      </c>
      <c r="X172">
        <f t="shared" si="22"/>
        <v>7385.9519999999993</v>
      </c>
      <c r="Y172" s="5">
        <f t="shared" si="23"/>
        <v>41853.728000000003</v>
      </c>
      <c r="Z172" s="21">
        <f>DATE(K172,MATCH(J172,{"January","February","March","April","May","June","July","August","September","October","November","December"},0),1)</f>
        <v>45627</v>
      </c>
    </row>
    <row r="173" spans="1:26" x14ac:dyDescent="0.3">
      <c r="A173" s="4" t="s">
        <v>241</v>
      </c>
      <c r="B173" s="4" t="s">
        <v>176</v>
      </c>
      <c r="C173" s="4" t="s">
        <v>24</v>
      </c>
      <c r="D173" s="5">
        <v>12083.96</v>
      </c>
      <c r="E173" s="6">
        <v>3</v>
      </c>
      <c r="F173" s="5">
        <v>36251.879999999997</v>
      </c>
      <c r="G173" s="1">
        <v>45619</v>
      </c>
      <c r="H173" t="s">
        <v>44</v>
      </c>
      <c r="I173">
        <v>3</v>
      </c>
      <c r="J173" t="s">
        <v>37</v>
      </c>
      <c r="K173">
        <v>2024</v>
      </c>
      <c r="L173">
        <v>7250.3760000000002</v>
      </c>
      <c r="M173">
        <v>8</v>
      </c>
      <c r="N173" t="s">
        <v>20</v>
      </c>
      <c r="O173" t="s">
        <v>33</v>
      </c>
      <c r="P173">
        <f>FlipkartSales[[#This Row],[Price (INR)]]*FlipkartSales[[#This Row],[Quantity Sold]]</f>
        <v>36251.879999999997</v>
      </c>
      <c r="Q173">
        <f>FlipkartSales[[#This Row],[Total Sales (INR)]]-FlipkartSales[[#This Row],[Calculated Sales]]</f>
        <v>0</v>
      </c>
      <c r="R173" s="9">
        <f t="shared" si="16"/>
        <v>0.2</v>
      </c>
      <c r="S173">
        <f t="shared" si="17"/>
        <v>12083.96</v>
      </c>
      <c r="T173">
        <f t="shared" si="18"/>
        <v>2416.7919999999999</v>
      </c>
      <c r="U173">
        <f t="shared" si="19"/>
        <v>11</v>
      </c>
      <c r="V173" t="str">
        <f t="shared" si="20"/>
        <v>Q4</v>
      </c>
      <c r="W173" t="str">
        <f t="shared" si="21"/>
        <v>Nov-2024</v>
      </c>
      <c r="X173">
        <f t="shared" si="22"/>
        <v>2900.1504</v>
      </c>
      <c r="Y173" s="5">
        <f t="shared" si="23"/>
        <v>33351.729599999999</v>
      </c>
      <c r="Z173" s="21">
        <f>DATE(K173,MATCH(J173,{"January","February","March","April","May","June","July","August","September","October","November","December"},0),1)</f>
        <v>45597</v>
      </c>
    </row>
    <row r="174" spans="1:26" x14ac:dyDescent="0.3">
      <c r="A174" s="4" t="s">
        <v>242</v>
      </c>
      <c r="B174" s="4" t="s">
        <v>125</v>
      </c>
      <c r="C174" s="4" t="s">
        <v>17</v>
      </c>
      <c r="D174" s="5">
        <v>12214.72</v>
      </c>
      <c r="E174" s="6">
        <v>5</v>
      </c>
      <c r="F174" s="5">
        <v>61073.599999999999</v>
      </c>
      <c r="G174" s="1">
        <v>45671</v>
      </c>
      <c r="H174" t="s">
        <v>25</v>
      </c>
      <c r="I174">
        <v>2.1</v>
      </c>
      <c r="J174" t="s">
        <v>53</v>
      </c>
      <c r="K174">
        <v>2025</v>
      </c>
      <c r="L174">
        <v>12214.720000000001</v>
      </c>
      <c r="M174">
        <v>17</v>
      </c>
      <c r="N174" t="s">
        <v>20</v>
      </c>
      <c r="O174" t="s">
        <v>33</v>
      </c>
      <c r="P174">
        <f>FlipkartSales[[#This Row],[Price (INR)]]*FlipkartSales[[#This Row],[Quantity Sold]]</f>
        <v>61073.599999999999</v>
      </c>
      <c r="Q174">
        <f>FlipkartSales[[#This Row],[Total Sales (INR)]]-FlipkartSales[[#This Row],[Calculated Sales]]</f>
        <v>0</v>
      </c>
      <c r="R174" s="9">
        <f t="shared" si="16"/>
        <v>0.2</v>
      </c>
      <c r="S174">
        <f t="shared" si="17"/>
        <v>12214.72</v>
      </c>
      <c r="T174">
        <f t="shared" si="18"/>
        <v>2442.9440000000004</v>
      </c>
      <c r="U174">
        <f t="shared" si="19"/>
        <v>1</v>
      </c>
      <c r="V174" t="str">
        <f t="shared" si="20"/>
        <v>Q1</v>
      </c>
      <c r="W174" t="str">
        <f t="shared" si="21"/>
        <v>Jan-2025</v>
      </c>
      <c r="X174">
        <f t="shared" si="22"/>
        <v>10382.511999999999</v>
      </c>
      <c r="Y174" s="5">
        <f t="shared" si="23"/>
        <v>50691.088000000003</v>
      </c>
      <c r="Z174" s="21">
        <f>DATE(K174,MATCH(J174,{"January","February","March","April","May","June","July","August","September","October","November","December"},0),1)</f>
        <v>45658</v>
      </c>
    </row>
    <row r="175" spans="1:26" x14ac:dyDescent="0.3">
      <c r="A175" s="4" t="s">
        <v>243</v>
      </c>
      <c r="B175" s="4" t="s">
        <v>118</v>
      </c>
      <c r="C175" s="4" t="s">
        <v>17</v>
      </c>
      <c r="D175" s="5">
        <v>19386.27</v>
      </c>
      <c r="E175" s="6">
        <v>1</v>
      </c>
      <c r="F175" s="5">
        <v>19386.27</v>
      </c>
      <c r="G175" s="1">
        <v>45489</v>
      </c>
      <c r="H175" t="s">
        <v>64</v>
      </c>
      <c r="I175">
        <v>4.0999999999999996</v>
      </c>
      <c r="J175" t="s">
        <v>48</v>
      </c>
      <c r="K175">
        <v>2024</v>
      </c>
      <c r="L175">
        <v>3877.2540000000004</v>
      </c>
      <c r="M175">
        <v>11</v>
      </c>
      <c r="N175" t="s">
        <v>41</v>
      </c>
      <c r="O175" t="s">
        <v>33</v>
      </c>
      <c r="P175">
        <f>FlipkartSales[[#This Row],[Price (INR)]]*FlipkartSales[[#This Row],[Quantity Sold]]</f>
        <v>19386.27</v>
      </c>
      <c r="Q175">
        <f>FlipkartSales[[#This Row],[Total Sales (INR)]]-FlipkartSales[[#This Row],[Calculated Sales]]</f>
        <v>0</v>
      </c>
      <c r="R175" s="9">
        <f t="shared" si="16"/>
        <v>0.2</v>
      </c>
      <c r="S175">
        <f t="shared" si="17"/>
        <v>19386.27</v>
      </c>
      <c r="T175">
        <f t="shared" si="18"/>
        <v>3877.2540000000004</v>
      </c>
      <c r="U175">
        <f t="shared" si="19"/>
        <v>7</v>
      </c>
      <c r="V175" t="str">
        <f t="shared" si="20"/>
        <v>Q3</v>
      </c>
      <c r="W175" t="str">
        <f t="shared" si="21"/>
        <v>Jul-2024</v>
      </c>
      <c r="X175">
        <f t="shared" si="22"/>
        <v>2132.4897000000001</v>
      </c>
      <c r="Y175" s="5">
        <f t="shared" si="23"/>
        <v>17253.780299999999</v>
      </c>
      <c r="Z175" s="21">
        <f>DATE(K175,MATCH(J175,{"January","February","March","April","May","June","July","August","September","October","November","December"},0),1)</f>
        <v>45474</v>
      </c>
    </row>
    <row r="176" spans="1:26" x14ac:dyDescent="0.3">
      <c r="A176" s="4" t="s">
        <v>244</v>
      </c>
      <c r="B176" s="4" t="s">
        <v>16</v>
      </c>
      <c r="C176" s="4" t="s">
        <v>17</v>
      </c>
      <c r="D176" s="5">
        <v>34879.4</v>
      </c>
      <c r="E176" s="6">
        <v>3</v>
      </c>
      <c r="F176" s="5">
        <v>104638.2</v>
      </c>
      <c r="G176" s="1">
        <v>45394</v>
      </c>
      <c r="H176" t="s">
        <v>25</v>
      </c>
      <c r="I176">
        <v>2.5</v>
      </c>
      <c r="J176" t="s">
        <v>62</v>
      </c>
      <c r="K176">
        <v>2024</v>
      </c>
      <c r="L176">
        <v>20927.64</v>
      </c>
      <c r="M176">
        <v>23</v>
      </c>
      <c r="N176" t="s">
        <v>41</v>
      </c>
      <c r="O176" t="s">
        <v>68</v>
      </c>
      <c r="P176">
        <f>FlipkartSales[[#This Row],[Price (INR)]]*FlipkartSales[[#This Row],[Quantity Sold]]</f>
        <v>104638.20000000001</v>
      </c>
      <c r="Q176">
        <f>FlipkartSales[[#This Row],[Total Sales (INR)]]-FlipkartSales[[#This Row],[Calculated Sales]]</f>
        <v>0</v>
      </c>
      <c r="R176" s="9">
        <f t="shared" si="16"/>
        <v>0.2</v>
      </c>
      <c r="S176">
        <f t="shared" si="17"/>
        <v>34879.4</v>
      </c>
      <c r="T176">
        <f t="shared" si="18"/>
        <v>6975.88</v>
      </c>
      <c r="U176">
        <f t="shared" si="19"/>
        <v>4</v>
      </c>
      <c r="V176" t="str">
        <f t="shared" si="20"/>
        <v>Q2</v>
      </c>
      <c r="W176" t="str">
        <f t="shared" si="21"/>
        <v>Apr-2024</v>
      </c>
      <c r="X176">
        <f t="shared" si="22"/>
        <v>24066.786</v>
      </c>
      <c r="Y176" s="5">
        <f t="shared" si="23"/>
        <v>80571.41399999999</v>
      </c>
      <c r="Z176" s="21">
        <f>DATE(K176,MATCH(J176,{"January","February","March","April","May","June","July","August","September","October","November","December"},0),1)</f>
        <v>45383</v>
      </c>
    </row>
    <row r="177" spans="1:26" x14ac:dyDescent="0.3">
      <c r="A177" s="4" t="s">
        <v>245</v>
      </c>
      <c r="B177" s="4" t="s">
        <v>96</v>
      </c>
      <c r="C177" s="4" t="s">
        <v>36</v>
      </c>
      <c r="D177" s="5">
        <v>32016.11</v>
      </c>
      <c r="E177" s="6">
        <v>5</v>
      </c>
      <c r="F177" s="5">
        <v>160080.54999999999</v>
      </c>
      <c r="G177" s="1">
        <v>45562</v>
      </c>
      <c r="H177" t="s">
        <v>18</v>
      </c>
      <c r="I177">
        <v>4.3</v>
      </c>
      <c r="J177" t="s">
        <v>19</v>
      </c>
      <c r="K177">
        <v>2024</v>
      </c>
      <c r="L177">
        <v>32016.11</v>
      </c>
      <c r="M177">
        <v>26</v>
      </c>
      <c r="N177" t="s">
        <v>41</v>
      </c>
      <c r="O177" t="s">
        <v>28</v>
      </c>
      <c r="P177">
        <f>FlipkartSales[[#This Row],[Price (INR)]]*FlipkartSales[[#This Row],[Quantity Sold]]</f>
        <v>160080.54999999999</v>
      </c>
      <c r="Q177">
        <f>FlipkartSales[[#This Row],[Total Sales (INR)]]-FlipkartSales[[#This Row],[Calculated Sales]]</f>
        <v>0</v>
      </c>
      <c r="R177" s="9">
        <f t="shared" si="16"/>
        <v>0.2</v>
      </c>
      <c r="S177">
        <f t="shared" si="17"/>
        <v>32016.109999999997</v>
      </c>
      <c r="T177">
        <f t="shared" si="18"/>
        <v>6403.2219999999998</v>
      </c>
      <c r="U177">
        <f t="shared" si="19"/>
        <v>9</v>
      </c>
      <c r="V177" t="str">
        <f t="shared" si="20"/>
        <v>Q3</v>
      </c>
      <c r="W177" t="str">
        <f t="shared" si="21"/>
        <v>Sep-2024</v>
      </c>
      <c r="X177">
        <f t="shared" si="22"/>
        <v>41620.942999999999</v>
      </c>
      <c r="Y177" s="5">
        <f t="shared" si="23"/>
        <v>118459.60699999999</v>
      </c>
      <c r="Z177" s="21">
        <f>DATE(K177,MATCH(J177,{"January","February","March","April","May","June","July","August","September","October","November","December"},0),1)</f>
        <v>45536</v>
      </c>
    </row>
    <row r="178" spans="1:26" x14ac:dyDescent="0.3">
      <c r="A178" s="4" t="s">
        <v>246</v>
      </c>
      <c r="B178" s="4" t="s">
        <v>78</v>
      </c>
      <c r="C178" s="4" t="s">
        <v>24</v>
      </c>
      <c r="D178" s="5">
        <v>32264.17</v>
      </c>
      <c r="E178" s="6">
        <v>1</v>
      </c>
      <c r="F178" s="5">
        <v>32264.17</v>
      </c>
      <c r="G178" s="1">
        <v>45495</v>
      </c>
      <c r="H178" t="s">
        <v>80</v>
      </c>
      <c r="I178">
        <v>4.0999999999999996</v>
      </c>
      <c r="J178" t="s">
        <v>48</v>
      </c>
      <c r="K178">
        <v>2024</v>
      </c>
      <c r="L178">
        <v>6452.8339999999998</v>
      </c>
      <c r="M178">
        <v>6</v>
      </c>
      <c r="N178" t="s">
        <v>41</v>
      </c>
      <c r="O178" t="s">
        <v>28</v>
      </c>
      <c r="P178">
        <f>FlipkartSales[[#This Row],[Price (INR)]]*FlipkartSales[[#This Row],[Quantity Sold]]</f>
        <v>32264.17</v>
      </c>
      <c r="Q178">
        <f>FlipkartSales[[#This Row],[Total Sales (INR)]]-FlipkartSales[[#This Row],[Calculated Sales]]</f>
        <v>0</v>
      </c>
      <c r="R178" s="9">
        <f t="shared" si="16"/>
        <v>0.2</v>
      </c>
      <c r="S178">
        <f t="shared" si="17"/>
        <v>32264.17</v>
      </c>
      <c r="T178">
        <f t="shared" si="18"/>
        <v>6452.8339999999998</v>
      </c>
      <c r="U178">
        <f t="shared" si="19"/>
        <v>7</v>
      </c>
      <c r="V178" t="str">
        <f t="shared" si="20"/>
        <v>Q3</v>
      </c>
      <c r="W178" t="str">
        <f t="shared" si="21"/>
        <v>Jul-2024</v>
      </c>
      <c r="X178">
        <f t="shared" si="22"/>
        <v>1935.8501999999999</v>
      </c>
      <c r="Y178" s="5">
        <f t="shared" si="23"/>
        <v>30328.319799999997</v>
      </c>
      <c r="Z178" s="21">
        <f>DATE(K178,MATCH(J178,{"January","February","March","April","May","June","July","August","September","October","November","December"},0),1)</f>
        <v>45474</v>
      </c>
    </row>
    <row r="179" spans="1:26" x14ac:dyDescent="0.3">
      <c r="A179" s="4" t="s">
        <v>247</v>
      </c>
      <c r="B179" s="4" t="s">
        <v>100</v>
      </c>
      <c r="C179" s="4" t="s">
        <v>31</v>
      </c>
      <c r="D179" s="5">
        <v>30171.74</v>
      </c>
      <c r="E179" s="6">
        <v>4</v>
      </c>
      <c r="F179" s="5">
        <v>120686.96</v>
      </c>
      <c r="G179" s="1">
        <v>45502</v>
      </c>
      <c r="H179" t="s">
        <v>80</v>
      </c>
      <c r="I179">
        <v>3.8</v>
      </c>
      <c r="J179" t="s">
        <v>48</v>
      </c>
      <c r="K179">
        <v>2024</v>
      </c>
      <c r="L179">
        <v>24137.392000000003</v>
      </c>
      <c r="M179">
        <v>14</v>
      </c>
      <c r="N179" t="s">
        <v>20</v>
      </c>
      <c r="O179" t="s">
        <v>33</v>
      </c>
      <c r="P179">
        <f>FlipkartSales[[#This Row],[Price (INR)]]*FlipkartSales[[#This Row],[Quantity Sold]]</f>
        <v>120686.96</v>
      </c>
      <c r="Q179">
        <f>FlipkartSales[[#This Row],[Total Sales (INR)]]-FlipkartSales[[#This Row],[Calculated Sales]]</f>
        <v>0</v>
      </c>
      <c r="R179" s="9">
        <f t="shared" si="16"/>
        <v>0.2</v>
      </c>
      <c r="S179">
        <f t="shared" si="17"/>
        <v>30171.74</v>
      </c>
      <c r="T179">
        <f t="shared" si="18"/>
        <v>6034.3480000000009</v>
      </c>
      <c r="U179">
        <f t="shared" si="19"/>
        <v>7</v>
      </c>
      <c r="V179" t="str">
        <f t="shared" si="20"/>
        <v>Q3</v>
      </c>
      <c r="W179" t="str">
        <f t="shared" si="21"/>
        <v>Jul-2024</v>
      </c>
      <c r="X179">
        <f t="shared" si="22"/>
        <v>16896.174400000004</v>
      </c>
      <c r="Y179" s="5">
        <f t="shared" si="23"/>
        <v>103790.7856</v>
      </c>
      <c r="Z179" s="21">
        <f>DATE(K179,MATCH(J179,{"January","February","March","April","May","June","July","August","September","October","November","December"},0),1)</f>
        <v>45474</v>
      </c>
    </row>
    <row r="180" spans="1:26" x14ac:dyDescent="0.3">
      <c r="A180" s="4" t="s">
        <v>248</v>
      </c>
      <c r="B180" s="4" t="s">
        <v>176</v>
      </c>
      <c r="C180" s="4" t="s">
        <v>24</v>
      </c>
      <c r="D180" s="5">
        <v>22712.18</v>
      </c>
      <c r="E180" s="6">
        <v>5</v>
      </c>
      <c r="F180" s="5">
        <v>113560.9</v>
      </c>
      <c r="G180" s="1">
        <v>45681</v>
      </c>
      <c r="H180" t="s">
        <v>64</v>
      </c>
      <c r="I180">
        <v>3.9</v>
      </c>
      <c r="J180" t="s">
        <v>53</v>
      </c>
      <c r="K180">
        <v>2025</v>
      </c>
      <c r="L180">
        <v>22712.18</v>
      </c>
      <c r="M180">
        <v>17</v>
      </c>
      <c r="N180" t="s">
        <v>20</v>
      </c>
      <c r="O180" t="s">
        <v>28</v>
      </c>
      <c r="P180">
        <f>FlipkartSales[[#This Row],[Price (INR)]]*FlipkartSales[[#This Row],[Quantity Sold]]</f>
        <v>113560.9</v>
      </c>
      <c r="Q180">
        <f>FlipkartSales[[#This Row],[Total Sales (INR)]]-FlipkartSales[[#This Row],[Calculated Sales]]</f>
        <v>0</v>
      </c>
      <c r="R180" s="9">
        <f t="shared" si="16"/>
        <v>0.2</v>
      </c>
      <c r="S180">
        <f t="shared" si="17"/>
        <v>22712.18</v>
      </c>
      <c r="T180">
        <f t="shared" si="18"/>
        <v>4542.4359999999997</v>
      </c>
      <c r="U180">
        <f t="shared" si="19"/>
        <v>1</v>
      </c>
      <c r="V180" t="str">
        <f t="shared" si="20"/>
        <v>Q1</v>
      </c>
      <c r="W180" t="str">
        <f t="shared" si="21"/>
        <v>Jan-2025</v>
      </c>
      <c r="X180">
        <f t="shared" si="22"/>
        <v>19305.352999999999</v>
      </c>
      <c r="Y180" s="5">
        <f t="shared" si="23"/>
        <v>94255.546999999991</v>
      </c>
      <c r="Z180" s="21">
        <f>DATE(K180,MATCH(J180,{"January","February","March","April","May","June","July","August","September","October","November","December"},0),1)</f>
        <v>45658</v>
      </c>
    </row>
    <row r="181" spans="1:26" x14ac:dyDescent="0.3">
      <c r="A181" s="4" t="s">
        <v>249</v>
      </c>
      <c r="B181" s="4" t="s">
        <v>70</v>
      </c>
      <c r="C181" s="4" t="s">
        <v>17</v>
      </c>
      <c r="D181" s="5">
        <v>27204.69</v>
      </c>
      <c r="E181" s="6">
        <v>1</v>
      </c>
      <c r="F181" s="5">
        <v>27204.69</v>
      </c>
      <c r="G181" s="1">
        <v>45697</v>
      </c>
      <c r="H181" t="s">
        <v>18</v>
      </c>
      <c r="I181">
        <v>2.8</v>
      </c>
      <c r="J181" t="s">
        <v>59</v>
      </c>
      <c r="K181">
        <v>2025</v>
      </c>
      <c r="L181">
        <v>5440.9380000000001</v>
      </c>
      <c r="M181">
        <v>29</v>
      </c>
      <c r="N181" t="s">
        <v>27</v>
      </c>
      <c r="O181" t="s">
        <v>28</v>
      </c>
      <c r="P181">
        <f>FlipkartSales[[#This Row],[Price (INR)]]*FlipkartSales[[#This Row],[Quantity Sold]]</f>
        <v>27204.69</v>
      </c>
      <c r="Q181">
        <f>FlipkartSales[[#This Row],[Total Sales (INR)]]-FlipkartSales[[#This Row],[Calculated Sales]]</f>
        <v>0</v>
      </c>
      <c r="R181" s="9">
        <f t="shared" si="16"/>
        <v>0.2</v>
      </c>
      <c r="S181">
        <f t="shared" si="17"/>
        <v>27204.69</v>
      </c>
      <c r="T181">
        <f t="shared" si="18"/>
        <v>5440.9380000000001</v>
      </c>
      <c r="U181">
        <f t="shared" si="19"/>
        <v>2</v>
      </c>
      <c r="V181" t="str">
        <f t="shared" si="20"/>
        <v>Q1</v>
      </c>
      <c r="W181" t="str">
        <f t="shared" si="21"/>
        <v>Feb-2025</v>
      </c>
      <c r="X181">
        <f t="shared" si="22"/>
        <v>7889.3600999999999</v>
      </c>
      <c r="Y181" s="5">
        <f t="shared" si="23"/>
        <v>19315.329899999997</v>
      </c>
      <c r="Z181" s="21">
        <f>DATE(K181,MATCH(J181,{"January","February","March","April","May","June","July","August","September","October","November","December"},0),1)</f>
        <v>45689</v>
      </c>
    </row>
    <row r="182" spans="1:26" x14ac:dyDescent="0.3">
      <c r="A182" s="4" t="s">
        <v>250</v>
      </c>
      <c r="B182" s="4" t="s">
        <v>16</v>
      </c>
      <c r="C182" s="4" t="s">
        <v>17</v>
      </c>
      <c r="D182" s="5">
        <v>17353.47</v>
      </c>
      <c r="E182" s="6">
        <v>1</v>
      </c>
      <c r="F182" s="5">
        <v>17353.47</v>
      </c>
      <c r="G182" s="1">
        <v>45630</v>
      </c>
      <c r="H182" t="s">
        <v>71</v>
      </c>
      <c r="I182">
        <v>2.6</v>
      </c>
      <c r="J182" t="s">
        <v>26</v>
      </c>
      <c r="K182">
        <v>2024</v>
      </c>
      <c r="L182">
        <v>3470.6940000000004</v>
      </c>
      <c r="M182">
        <v>25</v>
      </c>
      <c r="N182" t="s">
        <v>27</v>
      </c>
      <c r="O182" t="s">
        <v>33</v>
      </c>
      <c r="P182">
        <f>FlipkartSales[[#This Row],[Price (INR)]]*FlipkartSales[[#This Row],[Quantity Sold]]</f>
        <v>17353.47</v>
      </c>
      <c r="Q182">
        <f>FlipkartSales[[#This Row],[Total Sales (INR)]]-FlipkartSales[[#This Row],[Calculated Sales]]</f>
        <v>0</v>
      </c>
      <c r="R182" s="9">
        <f t="shared" si="16"/>
        <v>0.2</v>
      </c>
      <c r="S182">
        <f t="shared" si="17"/>
        <v>17353.47</v>
      </c>
      <c r="T182">
        <f t="shared" si="18"/>
        <v>3470.6940000000004</v>
      </c>
      <c r="U182">
        <f t="shared" si="19"/>
        <v>12</v>
      </c>
      <c r="V182" t="str">
        <f t="shared" si="20"/>
        <v>Q4</v>
      </c>
      <c r="W182" t="str">
        <f t="shared" si="21"/>
        <v>Dec-2024</v>
      </c>
      <c r="X182">
        <f t="shared" si="22"/>
        <v>4338.3675000000003</v>
      </c>
      <c r="Y182" s="5">
        <f t="shared" si="23"/>
        <v>13015.102500000001</v>
      </c>
      <c r="Z182" s="21">
        <f>DATE(K182,MATCH(J182,{"January","February","March","April","May","June","July","August","September","October","November","December"},0),1)</f>
        <v>45627</v>
      </c>
    </row>
    <row r="183" spans="1:26" x14ac:dyDescent="0.3">
      <c r="A183" s="4" t="s">
        <v>251</v>
      </c>
      <c r="B183" s="4" t="s">
        <v>145</v>
      </c>
      <c r="C183" s="4" t="s">
        <v>40</v>
      </c>
      <c r="D183" s="5">
        <v>44882.2</v>
      </c>
      <c r="E183" s="6">
        <v>1</v>
      </c>
      <c r="F183" s="5">
        <v>44882.2</v>
      </c>
      <c r="G183" s="1">
        <v>45423</v>
      </c>
      <c r="H183" t="s">
        <v>64</v>
      </c>
      <c r="I183">
        <v>1.3</v>
      </c>
      <c r="J183" t="s">
        <v>32</v>
      </c>
      <c r="K183">
        <v>2024</v>
      </c>
      <c r="L183">
        <v>8976.44</v>
      </c>
      <c r="M183">
        <v>10</v>
      </c>
      <c r="N183" t="s">
        <v>41</v>
      </c>
      <c r="O183" t="s">
        <v>33</v>
      </c>
      <c r="P183">
        <f>FlipkartSales[[#This Row],[Price (INR)]]*FlipkartSales[[#This Row],[Quantity Sold]]</f>
        <v>44882.2</v>
      </c>
      <c r="Q183">
        <f>FlipkartSales[[#This Row],[Total Sales (INR)]]-FlipkartSales[[#This Row],[Calculated Sales]]</f>
        <v>0</v>
      </c>
      <c r="R183" s="9">
        <f t="shared" si="16"/>
        <v>0.2</v>
      </c>
      <c r="S183">
        <f t="shared" si="17"/>
        <v>44882.2</v>
      </c>
      <c r="T183">
        <f t="shared" si="18"/>
        <v>8976.44</v>
      </c>
      <c r="U183">
        <f t="shared" si="19"/>
        <v>5</v>
      </c>
      <c r="V183" t="str">
        <f t="shared" si="20"/>
        <v>Q2</v>
      </c>
      <c r="W183" t="str">
        <f t="shared" si="21"/>
        <v>May-2024</v>
      </c>
      <c r="X183">
        <f t="shared" si="22"/>
        <v>4488.22</v>
      </c>
      <c r="Y183" s="5">
        <f t="shared" si="23"/>
        <v>40393.979999999996</v>
      </c>
      <c r="Z183" s="21">
        <f>DATE(K183,MATCH(J183,{"January","February","March","April","May","June","July","August","September","October","November","December"},0),1)</f>
        <v>45413</v>
      </c>
    </row>
    <row r="184" spans="1:26" x14ac:dyDescent="0.3">
      <c r="A184" s="4" t="s">
        <v>252</v>
      </c>
      <c r="B184" s="4" t="s">
        <v>145</v>
      </c>
      <c r="C184" s="4" t="s">
        <v>40</v>
      </c>
      <c r="D184" s="5">
        <v>47002.720000000001</v>
      </c>
      <c r="E184" s="6">
        <v>3</v>
      </c>
      <c r="F184" s="5">
        <v>141008.16</v>
      </c>
      <c r="G184" s="1">
        <v>45356</v>
      </c>
      <c r="H184" t="s">
        <v>18</v>
      </c>
      <c r="I184">
        <v>4.0999999999999996</v>
      </c>
      <c r="J184" t="s">
        <v>56</v>
      </c>
      <c r="K184">
        <v>2024</v>
      </c>
      <c r="L184">
        <v>28201.632000000001</v>
      </c>
      <c r="M184">
        <v>16</v>
      </c>
      <c r="N184" t="s">
        <v>20</v>
      </c>
      <c r="O184" t="s">
        <v>21</v>
      </c>
      <c r="P184">
        <f>FlipkartSales[[#This Row],[Price (INR)]]*FlipkartSales[[#This Row],[Quantity Sold]]</f>
        <v>141008.16</v>
      </c>
      <c r="Q184">
        <f>FlipkartSales[[#This Row],[Total Sales (INR)]]-FlipkartSales[[#This Row],[Calculated Sales]]</f>
        <v>0</v>
      </c>
      <c r="R184" s="9">
        <f t="shared" si="16"/>
        <v>0.2</v>
      </c>
      <c r="S184">
        <f t="shared" si="17"/>
        <v>47002.720000000001</v>
      </c>
      <c r="T184">
        <f t="shared" si="18"/>
        <v>9400.5439999999999</v>
      </c>
      <c r="U184">
        <f t="shared" si="19"/>
        <v>3</v>
      </c>
      <c r="V184" t="str">
        <f t="shared" si="20"/>
        <v>Q1</v>
      </c>
      <c r="W184" t="str">
        <f t="shared" si="21"/>
        <v>Mar-2024</v>
      </c>
      <c r="X184">
        <f t="shared" si="22"/>
        <v>22561.3056</v>
      </c>
      <c r="Y184" s="5">
        <f t="shared" si="23"/>
        <v>118446.85440000001</v>
      </c>
      <c r="Z184" s="21">
        <f>DATE(K184,MATCH(J184,{"January","February","March","April","May","June","July","August","September","October","November","December"},0),1)</f>
        <v>45352</v>
      </c>
    </row>
    <row r="185" spans="1:26" x14ac:dyDescent="0.3">
      <c r="A185" s="4" t="s">
        <v>253</v>
      </c>
      <c r="B185" s="4" t="s">
        <v>61</v>
      </c>
      <c r="C185" s="4" t="s">
        <v>31</v>
      </c>
      <c r="D185" s="5">
        <v>33659.67</v>
      </c>
      <c r="E185" s="6">
        <v>4</v>
      </c>
      <c r="F185" s="5">
        <v>134638.68</v>
      </c>
      <c r="G185" s="1">
        <v>45478</v>
      </c>
      <c r="H185" t="s">
        <v>44</v>
      </c>
      <c r="I185">
        <v>3.3</v>
      </c>
      <c r="J185" t="s">
        <v>48</v>
      </c>
      <c r="K185">
        <v>2024</v>
      </c>
      <c r="L185">
        <v>26927.736000000001</v>
      </c>
      <c r="M185">
        <v>16</v>
      </c>
      <c r="N185" t="s">
        <v>20</v>
      </c>
      <c r="O185" t="s">
        <v>28</v>
      </c>
      <c r="P185">
        <f>FlipkartSales[[#This Row],[Price (INR)]]*FlipkartSales[[#This Row],[Quantity Sold]]</f>
        <v>134638.68</v>
      </c>
      <c r="Q185">
        <f>FlipkartSales[[#This Row],[Total Sales (INR)]]-FlipkartSales[[#This Row],[Calculated Sales]]</f>
        <v>0</v>
      </c>
      <c r="R185" s="9">
        <f t="shared" si="16"/>
        <v>0.2</v>
      </c>
      <c r="S185">
        <f t="shared" si="17"/>
        <v>33659.67</v>
      </c>
      <c r="T185">
        <f t="shared" si="18"/>
        <v>6731.9340000000002</v>
      </c>
      <c r="U185">
        <f t="shared" si="19"/>
        <v>7</v>
      </c>
      <c r="V185" t="str">
        <f t="shared" si="20"/>
        <v>Q3</v>
      </c>
      <c r="W185" t="str">
        <f t="shared" si="21"/>
        <v>Jul-2024</v>
      </c>
      <c r="X185">
        <f t="shared" si="22"/>
        <v>21542.1888</v>
      </c>
      <c r="Y185" s="5">
        <f t="shared" si="23"/>
        <v>113096.49119999999</v>
      </c>
      <c r="Z185" s="21">
        <f>DATE(K185,MATCH(J185,{"January","February","March","April","May","June","July","August","September","October","November","December"},0),1)</f>
        <v>45474</v>
      </c>
    </row>
    <row r="186" spans="1:26" x14ac:dyDescent="0.3">
      <c r="A186" s="4" t="s">
        <v>254</v>
      </c>
      <c r="B186" s="4" t="s">
        <v>145</v>
      </c>
      <c r="C186" s="4" t="s">
        <v>40</v>
      </c>
      <c r="D186" s="5">
        <v>13011.44</v>
      </c>
      <c r="E186" s="6">
        <v>2</v>
      </c>
      <c r="F186" s="5">
        <v>26022.880000000001</v>
      </c>
      <c r="G186" s="1">
        <v>45468</v>
      </c>
      <c r="H186" t="s">
        <v>44</v>
      </c>
      <c r="I186">
        <v>4.9000000000000004</v>
      </c>
      <c r="J186" t="s">
        <v>67</v>
      </c>
      <c r="K186">
        <v>2024</v>
      </c>
      <c r="L186">
        <v>5204.5760000000009</v>
      </c>
      <c r="M186">
        <v>24</v>
      </c>
      <c r="N186" t="s">
        <v>20</v>
      </c>
      <c r="O186" t="s">
        <v>68</v>
      </c>
      <c r="P186">
        <f>FlipkartSales[[#This Row],[Price (INR)]]*FlipkartSales[[#This Row],[Quantity Sold]]</f>
        <v>26022.880000000001</v>
      </c>
      <c r="Q186">
        <f>FlipkartSales[[#This Row],[Total Sales (INR)]]-FlipkartSales[[#This Row],[Calculated Sales]]</f>
        <v>0</v>
      </c>
      <c r="R186" s="9">
        <f t="shared" si="16"/>
        <v>0.20000000000000004</v>
      </c>
      <c r="S186">
        <f t="shared" si="17"/>
        <v>13011.44</v>
      </c>
      <c r="T186">
        <f t="shared" si="18"/>
        <v>2602.2880000000005</v>
      </c>
      <c r="U186">
        <f t="shared" si="19"/>
        <v>6</v>
      </c>
      <c r="V186" t="str">
        <f t="shared" si="20"/>
        <v>Q2</v>
      </c>
      <c r="W186" t="str">
        <f t="shared" si="21"/>
        <v>Jun-2024</v>
      </c>
      <c r="X186">
        <f t="shared" si="22"/>
        <v>6245.4912000000004</v>
      </c>
      <c r="Y186" s="5">
        <f t="shared" si="23"/>
        <v>19777.388800000001</v>
      </c>
      <c r="Z186" s="21">
        <f>DATE(K186,MATCH(J186,{"January","February","March","April","May","June","July","August","September","October","November","December"},0),1)</f>
        <v>45444</v>
      </c>
    </row>
    <row r="187" spans="1:26" x14ac:dyDescent="0.3">
      <c r="A187" s="4" t="s">
        <v>255</v>
      </c>
      <c r="B187" s="4" t="s">
        <v>66</v>
      </c>
      <c r="C187" s="4" t="s">
        <v>36</v>
      </c>
      <c r="D187" s="5">
        <v>21990.25</v>
      </c>
      <c r="E187" s="6">
        <v>3</v>
      </c>
      <c r="F187" s="5">
        <v>65970.75</v>
      </c>
      <c r="G187" s="1">
        <v>45669</v>
      </c>
      <c r="H187" t="s">
        <v>44</v>
      </c>
      <c r="I187">
        <v>4.2</v>
      </c>
      <c r="J187" t="s">
        <v>53</v>
      </c>
      <c r="K187">
        <v>2025</v>
      </c>
      <c r="L187">
        <v>13194.150000000001</v>
      </c>
      <c r="M187">
        <v>15</v>
      </c>
      <c r="N187" t="s">
        <v>27</v>
      </c>
      <c r="O187" t="s">
        <v>33</v>
      </c>
      <c r="P187">
        <f>FlipkartSales[[#This Row],[Price (INR)]]*FlipkartSales[[#This Row],[Quantity Sold]]</f>
        <v>65970.75</v>
      </c>
      <c r="Q187">
        <f>FlipkartSales[[#This Row],[Total Sales (INR)]]-FlipkartSales[[#This Row],[Calculated Sales]]</f>
        <v>0</v>
      </c>
      <c r="R187" s="9">
        <f t="shared" si="16"/>
        <v>0.2</v>
      </c>
      <c r="S187">
        <f t="shared" si="17"/>
        <v>21990.25</v>
      </c>
      <c r="T187">
        <f t="shared" si="18"/>
        <v>4398.05</v>
      </c>
      <c r="U187">
        <f t="shared" si="19"/>
        <v>1</v>
      </c>
      <c r="V187" t="str">
        <f t="shared" si="20"/>
        <v>Q1</v>
      </c>
      <c r="W187" t="str">
        <f t="shared" si="21"/>
        <v>Jan-2025</v>
      </c>
      <c r="X187">
        <f t="shared" si="22"/>
        <v>9895.6124999999993</v>
      </c>
      <c r="Y187" s="5">
        <f t="shared" si="23"/>
        <v>56075.137499999997</v>
      </c>
      <c r="Z187" s="21">
        <f>DATE(K187,MATCH(J187,{"January","February","March","April","May","June","July","August","September","October","November","December"},0),1)</f>
        <v>45658</v>
      </c>
    </row>
    <row r="188" spans="1:26" x14ac:dyDescent="0.3">
      <c r="A188" s="4" t="s">
        <v>256</v>
      </c>
      <c r="B188" s="4" t="s">
        <v>58</v>
      </c>
      <c r="C188" s="4" t="s">
        <v>31</v>
      </c>
      <c r="D188" s="5">
        <v>1927.38</v>
      </c>
      <c r="E188" s="6">
        <v>3</v>
      </c>
      <c r="F188" s="5">
        <v>5782.14</v>
      </c>
      <c r="G188" s="1">
        <v>45535</v>
      </c>
      <c r="H188" t="s">
        <v>18</v>
      </c>
      <c r="I188">
        <v>2.9</v>
      </c>
      <c r="J188" t="s">
        <v>88</v>
      </c>
      <c r="K188">
        <v>2024</v>
      </c>
      <c r="L188">
        <v>1156.4280000000001</v>
      </c>
      <c r="M188">
        <v>30</v>
      </c>
      <c r="N188" t="s">
        <v>27</v>
      </c>
      <c r="O188" t="s">
        <v>21</v>
      </c>
      <c r="P188">
        <f>FlipkartSales[[#This Row],[Price (INR)]]*FlipkartSales[[#This Row],[Quantity Sold]]</f>
        <v>5782.14</v>
      </c>
      <c r="Q188">
        <f>FlipkartSales[[#This Row],[Total Sales (INR)]]-FlipkartSales[[#This Row],[Calculated Sales]]</f>
        <v>0</v>
      </c>
      <c r="R188" s="9">
        <f t="shared" si="16"/>
        <v>0.2</v>
      </c>
      <c r="S188">
        <f t="shared" si="17"/>
        <v>1927.38</v>
      </c>
      <c r="T188">
        <f t="shared" si="18"/>
        <v>385.47600000000006</v>
      </c>
      <c r="U188">
        <f t="shared" si="19"/>
        <v>8</v>
      </c>
      <c r="V188" t="str">
        <f t="shared" si="20"/>
        <v>Q3</v>
      </c>
      <c r="W188" t="str">
        <f t="shared" si="21"/>
        <v>Aug-2024</v>
      </c>
      <c r="X188">
        <f t="shared" si="22"/>
        <v>1734.6420000000001</v>
      </c>
      <c r="Y188" s="5">
        <f t="shared" si="23"/>
        <v>4047.4980000000005</v>
      </c>
      <c r="Z188" s="21">
        <f>DATE(K188,MATCH(J188,{"January","February","March","April","May","June","July","August","September","October","November","December"},0),1)</f>
        <v>45505</v>
      </c>
    </row>
    <row r="189" spans="1:26" x14ac:dyDescent="0.3">
      <c r="A189" s="4" t="s">
        <v>257</v>
      </c>
      <c r="B189" s="4" t="s">
        <v>96</v>
      </c>
      <c r="C189" s="4" t="s">
        <v>36</v>
      </c>
      <c r="D189" s="5">
        <v>21741.53</v>
      </c>
      <c r="E189" s="6">
        <v>3</v>
      </c>
      <c r="F189" s="5">
        <v>65224.59</v>
      </c>
      <c r="G189" s="1">
        <v>45628</v>
      </c>
      <c r="H189" t="s">
        <v>64</v>
      </c>
      <c r="I189">
        <v>3.5</v>
      </c>
      <c r="J189" t="s">
        <v>26</v>
      </c>
      <c r="K189">
        <v>2024</v>
      </c>
      <c r="L189">
        <v>13044.918</v>
      </c>
      <c r="M189">
        <v>27</v>
      </c>
      <c r="N189" t="s">
        <v>20</v>
      </c>
      <c r="O189" t="s">
        <v>68</v>
      </c>
      <c r="P189">
        <f>FlipkartSales[[#This Row],[Price (INR)]]*FlipkartSales[[#This Row],[Quantity Sold]]</f>
        <v>65224.59</v>
      </c>
      <c r="Q189">
        <f>FlipkartSales[[#This Row],[Total Sales (INR)]]-FlipkartSales[[#This Row],[Calculated Sales]]</f>
        <v>0</v>
      </c>
      <c r="R189" s="9">
        <f t="shared" si="16"/>
        <v>0.2</v>
      </c>
      <c r="S189">
        <f t="shared" si="17"/>
        <v>21741.53</v>
      </c>
      <c r="T189">
        <f t="shared" si="18"/>
        <v>4348.3059999999996</v>
      </c>
      <c r="U189">
        <f t="shared" si="19"/>
        <v>12</v>
      </c>
      <c r="V189" t="str">
        <f t="shared" si="20"/>
        <v>Q4</v>
      </c>
      <c r="W189" t="str">
        <f t="shared" si="21"/>
        <v>Dec-2024</v>
      </c>
      <c r="X189">
        <f t="shared" si="22"/>
        <v>17610.639299999999</v>
      </c>
      <c r="Y189" s="5">
        <f t="shared" si="23"/>
        <v>47613.950700000001</v>
      </c>
      <c r="Z189" s="21">
        <f>DATE(K189,MATCH(J189,{"January","February","March","April","May","June","July","August","September","October","November","December"},0),1)</f>
        <v>45627</v>
      </c>
    </row>
    <row r="190" spans="1:26" x14ac:dyDescent="0.3">
      <c r="A190" s="4" t="s">
        <v>258</v>
      </c>
      <c r="B190" s="4" t="s">
        <v>47</v>
      </c>
      <c r="C190" s="4" t="s">
        <v>24</v>
      </c>
      <c r="D190" s="5">
        <v>23638.720000000001</v>
      </c>
      <c r="E190" s="6">
        <v>1</v>
      </c>
      <c r="F190" s="5">
        <v>23638.720000000001</v>
      </c>
      <c r="G190" s="1">
        <v>45559</v>
      </c>
      <c r="H190" t="s">
        <v>71</v>
      </c>
      <c r="I190">
        <v>1.5</v>
      </c>
      <c r="J190" t="s">
        <v>19</v>
      </c>
      <c r="K190">
        <v>2024</v>
      </c>
      <c r="L190">
        <v>4727.7440000000006</v>
      </c>
      <c r="M190">
        <v>29</v>
      </c>
      <c r="N190" t="s">
        <v>20</v>
      </c>
      <c r="O190" t="s">
        <v>28</v>
      </c>
      <c r="P190">
        <f>FlipkartSales[[#This Row],[Price (INR)]]*FlipkartSales[[#This Row],[Quantity Sold]]</f>
        <v>23638.720000000001</v>
      </c>
      <c r="Q190">
        <f>FlipkartSales[[#This Row],[Total Sales (INR)]]-FlipkartSales[[#This Row],[Calculated Sales]]</f>
        <v>0</v>
      </c>
      <c r="R190" s="9">
        <f t="shared" si="16"/>
        <v>0.2</v>
      </c>
      <c r="S190">
        <f t="shared" si="17"/>
        <v>23638.720000000001</v>
      </c>
      <c r="T190">
        <f t="shared" si="18"/>
        <v>4727.7440000000006</v>
      </c>
      <c r="U190">
        <f t="shared" si="19"/>
        <v>9</v>
      </c>
      <c r="V190" t="str">
        <f t="shared" si="20"/>
        <v>Q3</v>
      </c>
      <c r="W190" t="str">
        <f t="shared" si="21"/>
        <v>Sep-2024</v>
      </c>
      <c r="X190">
        <f t="shared" si="22"/>
        <v>6855.2287999999999</v>
      </c>
      <c r="Y190" s="5">
        <f t="shared" si="23"/>
        <v>16783.4912</v>
      </c>
      <c r="Z190" s="21">
        <f>DATE(K190,MATCH(J190,{"January","February","March","April","May","June","July","August","September","October","November","December"},0),1)</f>
        <v>45536</v>
      </c>
    </row>
    <row r="191" spans="1:26" x14ac:dyDescent="0.3">
      <c r="A191" s="4" t="s">
        <v>259</v>
      </c>
      <c r="B191" s="4" t="s">
        <v>94</v>
      </c>
      <c r="C191" s="4" t="s">
        <v>31</v>
      </c>
      <c r="D191" s="5">
        <v>39372.11</v>
      </c>
      <c r="E191" s="6">
        <v>1</v>
      </c>
      <c r="F191" s="5">
        <v>39372.11</v>
      </c>
      <c r="G191" s="1">
        <v>45395</v>
      </c>
      <c r="H191" t="s">
        <v>44</v>
      </c>
      <c r="I191">
        <v>4.0999999999999996</v>
      </c>
      <c r="J191" t="s">
        <v>62</v>
      </c>
      <c r="K191">
        <v>2024</v>
      </c>
      <c r="L191">
        <v>7874.4220000000005</v>
      </c>
      <c r="M191">
        <v>11</v>
      </c>
      <c r="N191" t="s">
        <v>20</v>
      </c>
      <c r="O191" t="s">
        <v>21</v>
      </c>
      <c r="P191">
        <f>FlipkartSales[[#This Row],[Price (INR)]]*FlipkartSales[[#This Row],[Quantity Sold]]</f>
        <v>39372.11</v>
      </c>
      <c r="Q191">
        <f>FlipkartSales[[#This Row],[Total Sales (INR)]]-FlipkartSales[[#This Row],[Calculated Sales]]</f>
        <v>0</v>
      </c>
      <c r="R191" s="9">
        <f t="shared" si="16"/>
        <v>0.2</v>
      </c>
      <c r="S191">
        <f t="shared" si="17"/>
        <v>39372.11</v>
      </c>
      <c r="T191">
        <f t="shared" si="18"/>
        <v>7874.4220000000005</v>
      </c>
      <c r="U191">
        <f t="shared" si="19"/>
        <v>4</v>
      </c>
      <c r="V191" t="str">
        <f t="shared" si="20"/>
        <v>Q2</v>
      </c>
      <c r="W191" t="str">
        <f t="shared" si="21"/>
        <v>Apr-2024</v>
      </c>
      <c r="X191">
        <f t="shared" si="22"/>
        <v>4330.9321</v>
      </c>
      <c r="Y191" s="5">
        <f t="shared" si="23"/>
        <v>35041.177900000002</v>
      </c>
      <c r="Z191" s="21">
        <f>DATE(K191,MATCH(J191,{"January","February","March","April","May","June","July","August","September","October","November","December"},0),1)</f>
        <v>45383</v>
      </c>
    </row>
    <row r="192" spans="1:26" x14ac:dyDescent="0.3">
      <c r="A192" s="4" t="s">
        <v>260</v>
      </c>
      <c r="B192" s="4" t="s">
        <v>118</v>
      </c>
      <c r="C192" s="4" t="s">
        <v>17</v>
      </c>
      <c r="D192" s="5">
        <v>49088.13</v>
      </c>
      <c r="E192" s="6">
        <v>4</v>
      </c>
      <c r="F192" s="5">
        <v>196352.52</v>
      </c>
      <c r="G192" s="1">
        <v>45357</v>
      </c>
      <c r="H192" t="s">
        <v>44</v>
      </c>
      <c r="I192">
        <v>2.2999999999999998</v>
      </c>
      <c r="J192" t="s">
        <v>56</v>
      </c>
      <c r="K192">
        <v>2024</v>
      </c>
      <c r="L192">
        <v>39270.504000000001</v>
      </c>
      <c r="M192">
        <v>5</v>
      </c>
      <c r="N192" t="s">
        <v>27</v>
      </c>
      <c r="O192" t="s">
        <v>33</v>
      </c>
      <c r="P192">
        <f>FlipkartSales[[#This Row],[Price (INR)]]*FlipkartSales[[#This Row],[Quantity Sold]]</f>
        <v>196352.52</v>
      </c>
      <c r="Q192">
        <f>FlipkartSales[[#This Row],[Total Sales (INR)]]-FlipkartSales[[#This Row],[Calculated Sales]]</f>
        <v>0</v>
      </c>
      <c r="R192" s="9">
        <f t="shared" si="16"/>
        <v>0.2</v>
      </c>
      <c r="S192">
        <f t="shared" si="17"/>
        <v>49088.13</v>
      </c>
      <c r="T192">
        <f t="shared" si="18"/>
        <v>9817.6260000000002</v>
      </c>
      <c r="U192">
        <f t="shared" si="19"/>
        <v>3</v>
      </c>
      <c r="V192" t="str">
        <f t="shared" si="20"/>
        <v>Q1</v>
      </c>
      <c r="W192" t="str">
        <f t="shared" si="21"/>
        <v>Mar-2024</v>
      </c>
      <c r="X192">
        <f t="shared" si="22"/>
        <v>9817.6260000000002</v>
      </c>
      <c r="Y192" s="5">
        <f t="shared" si="23"/>
        <v>186534.894</v>
      </c>
      <c r="Z192" s="21">
        <f>DATE(K192,MATCH(J192,{"January","February","March","April","May","June","July","August","September","October","November","December"},0),1)</f>
        <v>45352</v>
      </c>
    </row>
    <row r="193" spans="1:26" x14ac:dyDescent="0.3">
      <c r="A193" s="4" t="s">
        <v>261</v>
      </c>
      <c r="B193" s="4" t="s">
        <v>39</v>
      </c>
      <c r="C193" s="4" t="s">
        <v>40</v>
      </c>
      <c r="D193" s="5">
        <v>4524.63</v>
      </c>
      <c r="E193" s="6">
        <v>3</v>
      </c>
      <c r="F193" s="5">
        <v>13573.89</v>
      </c>
      <c r="G193" s="1">
        <v>45645</v>
      </c>
      <c r="H193" t="s">
        <v>25</v>
      </c>
      <c r="I193">
        <v>2.4</v>
      </c>
      <c r="J193" t="s">
        <v>26</v>
      </c>
      <c r="K193">
        <v>2024</v>
      </c>
      <c r="L193">
        <v>2714.7780000000002</v>
      </c>
      <c r="M193">
        <v>5</v>
      </c>
      <c r="N193" t="s">
        <v>20</v>
      </c>
      <c r="O193" t="s">
        <v>68</v>
      </c>
      <c r="P193">
        <f>FlipkartSales[[#This Row],[Price (INR)]]*FlipkartSales[[#This Row],[Quantity Sold]]</f>
        <v>13573.89</v>
      </c>
      <c r="Q193">
        <f>FlipkartSales[[#This Row],[Total Sales (INR)]]-FlipkartSales[[#This Row],[Calculated Sales]]</f>
        <v>0</v>
      </c>
      <c r="R193" s="9">
        <f t="shared" si="16"/>
        <v>0.20000000000000004</v>
      </c>
      <c r="S193">
        <f t="shared" si="17"/>
        <v>4524.63</v>
      </c>
      <c r="T193">
        <f t="shared" si="18"/>
        <v>904.92600000000004</v>
      </c>
      <c r="U193">
        <f t="shared" si="19"/>
        <v>12</v>
      </c>
      <c r="V193" t="str">
        <f t="shared" si="20"/>
        <v>Q4</v>
      </c>
      <c r="W193" t="str">
        <f t="shared" si="21"/>
        <v>Dec-2024</v>
      </c>
      <c r="X193">
        <f t="shared" si="22"/>
        <v>678.69449999999995</v>
      </c>
      <c r="Y193" s="5">
        <f t="shared" si="23"/>
        <v>12895.1955</v>
      </c>
      <c r="Z193" s="21">
        <f>DATE(K193,MATCH(J193,{"January","February","March","April","May","June","July","August","September","October","November","December"},0),1)</f>
        <v>45627</v>
      </c>
    </row>
    <row r="194" spans="1:26" x14ac:dyDescent="0.3">
      <c r="A194" s="4" t="s">
        <v>262</v>
      </c>
      <c r="B194" s="4" t="s">
        <v>47</v>
      </c>
      <c r="C194" s="4" t="s">
        <v>24</v>
      </c>
      <c r="D194" s="5">
        <v>1507.01</v>
      </c>
      <c r="E194" s="6">
        <v>3</v>
      </c>
      <c r="F194" s="5">
        <v>4521.03</v>
      </c>
      <c r="G194" s="1">
        <v>45506</v>
      </c>
      <c r="H194" t="s">
        <v>80</v>
      </c>
      <c r="I194">
        <v>2.5</v>
      </c>
      <c r="J194" t="s">
        <v>88</v>
      </c>
      <c r="K194">
        <v>2024</v>
      </c>
      <c r="L194">
        <v>904.20600000000002</v>
      </c>
      <c r="M194">
        <v>29</v>
      </c>
      <c r="N194" t="s">
        <v>20</v>
      </c>
      <c r="O194" t="s">
        <v>33</v>
      </c>
      <c r="P194">
        <f>FlipkartSales[[#This Row],[Price (INR)]]*FlipkartSales[[#This Row],[Quantity Sold]]</f>
        <v>4521.03</v>
      </c>
      <c r="Q194">
        <f>FlipkartSales[[#This Row],[Total Sales (INR)]]-FlipkartSales[[#This Row],[Calculated Sales]]</f>
        <v>0</v>
      </c>
      <c r="R194" s="9">
        <f t="shared" ref="R194:R257" si="24">L194/F194</f>
        <v>0.2</v>
      </c>
      <c r="S194">
        <f t="shared" ref="S194:S257" si="25">F194/E194</f>
        <v>1507.01</v>
      </c>
      <c r="T194">
        <f t="shared" ref="T194:T257" si="26">L194/E194</f>
        <v>301.40199999999999</v>
      </c>
      <c r="U194">
        <f t="shared" ref="U194:U257" si="27">MONTH(G194)</f>
        <v>8</v>
      </c>
      <c r="V194" t="str">
        <f t="shared" ref="V194:V257" si="28">"Q"&amp;ROUNDUP(MONTH(G194)/3,0)</f>
        <v>Q3</v>
      </c>
      <c r="W194" t="str">
        <f t="shared" ref="W194:W257" si="29">TEXT(G194,"mmm-yyyy")</f>
        <v>Aug-2024</v>
      </c>
      <c r="X194">
        <f t="shared" ref="X194:X257" si="30">F194*M194/100</f>
        <v>1311.0987</v>
      </c>
      <c r="Y194" s="5">
        <f t="shared" ref="Y194:Y257" si="31">F194-X194</f>
        <v>3209.9312999999997</v>
      </c>
      <c r="Z194" s="21">
        <f>DATE(K194,MATCH(J194,{"January","February","March","April","May","June","July","August","September","October","November","December"},0),1)</f>
        <v>45505</v>
      </c>
    </row>
    <row r="195" spans="1:26" x14ac:dyDescent="0.3">
      <c r="A195" s="4" t="s">
        <v>263</v>
      </c>
      <c r="B195" s="4" t="s">
        <v>55</v>
      </c>
      <c r="C195" s="4" t="s">
        <v>36</v>
      </c>
      <c r="D195" s="5">
        <v>39699.85</v>
      </c>
      <c r="E195" s="6">
        <v>3</v>
      </c>
      <c r="F195" s="5">
        <v>119099.55</v>
      </c>
      <c r="G195" s="1">
        <v>45426</v>
      </c>
      <c r="H195" t="s">
        <v>44</v>
      </c>
      <c r="I195">
        <v>3.9</v>
      </c>
      <c r="J195" t="s">
        <v>32</v>
      </c>
      <c r="K195">
        <v>2024</v>
      </c>
      <c r="L195">
        <v>23819.910000000003</v>
      </c>
      <c r="M195">
        <v>29</v>
      </c>
      <c r="N195" t="s">
        <v>41</v>
      </c>
      <c r="O195" t="s">
        <v>28</v>
      </c>
      <c r="P195">
        <f>FlipkartSales[[#This Row],[Price (INR)]]*FlipkartSales[[#This Row],[Quantity Sold]]</f>
        <v>119099.54999999999</v>
      </c>
      <c r="Q195">
        <f>FlipkartSales[[#This Row],[Total Sales (INR)]]-FlipkartSales[[#This Row],[Calculated Sales]]</f>
        <v>0</v>
      </c>
      <c r="R195" s="9">
        <f t="shared" si="24"/>
        <v>0.2</v>
      </c>
      <c r="S195">
        <f t="shared" si="25"/>
        <v>39699.85</v>
      </c>
      <c r="T195">
        <f t="shared" si="26"/>
        <v>7939.9700000000012</v>
      </c>
      <c r="U195">
        <f t="shared" si="27"/>
        <v>5</v>
      </c>
      <c r="V195" t="str">
        <f t="shared" si="28"/>
        <v>Q2</v>
      </c>
      <c r="W195" t="str">
        <f t="shared" si="29"/>
        <v>May-2024</v>
      </c>
      <c r="X195">
        <f t="shared" si="30"/>
        <v>34538.869500000001</v>
      </c>
      <c r="Y195" s="5">
        <f t="shared" si="31"/>
        <v>84560.680500000002</v>
      </c>
      <c r="Z195" s="21">
        <f>DATE(K195,MATCH(J195,{"January","February","March","April","May","June","July","August","September","October","November","December"},0),1)</f>
        <v>45413</v>
      </c>
    </row>
    <row r="196" spans="1:26" x14ac:dyDescent="0.3">
      <c r="A196" s="4" t="s">
        <v>264</v>
      </c>
      <c r="B196" s="4" t="s">
        <v>30</v>
      </c>
      <c r="C196" s="4" t="s">
        <v>31</v>
      </c>
      <c r="D196" s="5">
        <v>37494.129999999997</v>
      </c>
      <c r="E196" s="6">
        <v>5</v>
      </c>
      <c r="F196" s="5">
        <v>187470.65</v>
      </c>
      <c r="G196" s="1">
        <v>45566</v>
      </c>
      <c r="H196" t="s">
        <v>64</v>
      </c>
      <c r="I196">
        <v>1.8</v>
      </c>
      <c r="J196" t="s">
        <v>45</v>
      </c>
      <c r="K196">
        <v>2024</v>
      </c>
      <c r="L196">
        <v>37494.129999999997</v>
      </c>
      <c r="M196">
        <v>24</v>
      </c>
      <c r="N196" t="s">
        <v>41</v>
      </c>
      <c r="O196" t="s">
        <v>68</v>
      </c>
      <c r="P196">
        <f>FlipkartSales[[#This Row],[Price (INR)]]*FlipkartSales[[#This Row],[Quantity Sold]]</f>
        <v>187470.65</v>
      </c>
      <c r="Q196">
        <f>FlipkartSales[[#This Row],[Total Sales (INR)]]-FlipkartSales[[#This Row],[Calculated Sales]]</f>
        <v>0</v>
      </c>
      <c r="R196" s="9">
        <f t="shared" si="24"/>
        <v>0.19999999999999998</v>
      </c>
      <c r="S196">
        <f t="shared" si="25"/>
        <v>37494.129999999997</v>
      </c>
      <c r="T196">
        <f t="shared" si="26"/>
        <v>7498.8259999999991</v>
      </c>
      <c r="U196">
        <f t="shared" si="27"/>
        <v>10</v>
      </c>
      <c r="V196" t="str">
        <f t="shared" si="28"/>
        <v>Q4</v>
      </c>
      <c r="W196" t="str">
        <f t="shared" si="29"/>
        <v>Oct-2024</v>
      </c>
      <c r="X196">
        <f t="shared" si="30"/>
        <v>44992.955999999998</v>
      </c>
      <c r="Y196" s="5">
        <f t="shared" si="31"/>
        <v>142477.69399999999</v>
      </c>
      <c r="Z196" s="21">
        <f>DATE(K196,MATCH(J196,{"January","February","March","April","May","June","July","August","September","October","November","December"},0),1)</f>
        <v>45566</v>
      </c>
    </row>
    <row r="197" spans="1:26" x14ac:dyDescent="0.3">
      <c r="A197" s="4" t="s">
        <v>265</v>
      </c>
      <c r="B197" s="4" t="s">
        <v>66</v>
      </c>
      <c r="C197" s="4" t="s">
        <v>36</v>
      </c>
      <c r="D197" s="5">
        <v>5850.81</v>
      </c>
      <c r="E197" s="6">
        <v>5</v>
      </c>
      <c r="F197" s="5">
        <v>29254.05</v>
      </c>
      <c r="G197" s="1">
        <v>45624</v>
      </c>
      <c r="H197" t="s">
        <v>64</v>
      </c>
      <c r="I197">
        <v>1.3</v>
      </c>
      <c r="J197" t="s">
        <v>37</v>
      </c>
      <c r="K197">
        <v>2024</v>
      </c>
      <c r="L197">
        <v>5850.81</v>
      </c>
      <c r="M197">
        <v>17</v>
      </c>
      <c r="N197" t="s">
        <v>27</v>
      </c>
      <c r="O197" t="s">
        <v>28</v>
      </c>
      <c r="P197">
        <f>FlipkartSales[[#This Row],[Price (INR)]]*FlipkartSales[[#This Row],[Quantity Sold]]</f>
        <v>29254.050000000003</v>
      </c>
      <c r="Q197">
        <f>FlipkartSales[[#This Row],[Total Sales (INR)]]-FlipkartSales[[#This Row],[Calculated Sales]]</f>
        <v>0</v>
      </c>
      <c r="R197" s="9">
        <f t="shared" si="24"/>
        <v>0.2</v>
      </c>
      <c r="S197">
        <f t="shared" si="25"/>
        <v>5850.8099999999995</v>
      </c>
      <c r="T197">
        <f t="shared" si="26"/>
        <v>1170.162</v>
      </c>
      <c r="U197">
        <f t="shared" si="27"/>
        <v>11</v>
      </c>
      <c r="V197" t="str">
        <f t="shared" si="28"/>
        <v>Q4</v>
      </c>
      <c r="W197" t="str">
        <f t="shared" si="29"/>
        <v>Nov-2024</v>
      </c>
      <c r="X197">
        <f t="shared" si="30"/>
        <v>4973.1885000000002</v>
      </c>
      <c r="Y197" s="5">
        <f t="shared" si="31"/>
        <v>24280.861499999999</v>
      </c>
      <c r="Z197" s="21">
        <f>DATE(K197,MATCH(J197,{"January","February","March","April","May","June","July","August","September","October","November","December"},0),1)</f>
        <v>45597</v>
      </c>
    </row>
    <row r="198" spans="1:26" x14ac:dyDescent="0.3">
      <c r="A198" s="4" t="s">
        <v>266</v>
      </c>
      <c r="B198" s="4" t="s">
        <v>125</v>
      </c>
      <c r="C198" s="4" t="s">
        <v>17</v>
      </c>
      <c r="D198" s="5">
        <v>16448.740000000002</v>
      </c>
      <c r="E198" s="6">
        <v>4</v>
      </c>
      <c r="F198" s="5">
        <v>65794.960000000006</v>
      </c>
      <c r="G198" s="1">
        <v>45539</v>
      </c>
      <c r="H198" t="s">
        <v>80</v>
      </c>
      <c r="I198">
        <v>4.5999999999999996</v>
      </c>
      <c r="J198" t="s">
        <v>19</v>
      </c>
      <c r="K198">
        <v>2024</v>
      </c>
      <c r="L198">
        <v>13158.992000000002</v>
      </c>
      <c r="M198">
        <v>13</v>
      </c>
      <c r="N198" t="s">
        <v>20</v>
      </c>
      <c r="O198" t="s">
        <v>28</v>
      </c>
      <c r="P198">
        <f>FlipkartSales[[#This Row],[Price (INR)]]*FlipkartSales[[#This Row],[Quantity Sold]]</f>
        <v>65794.960000000006</v>
      </c>
      <c r="Q198">
        <f>FlipkartSales[[#This Row],[Total Sales (INR)]]-FlipkartSales[[#This Row],[Calculated Sales]]</f>
        <v>0</v>
      </c>
      <c r="R198" s="9">
        <f t="shared" si="24"/>
        <v>0.2</v>
      </c>
      <c r="S198">
        <f t="shared" si="25"/>
        <v>16448.740000000002</v>
      </c>
      <c r="T198">
        <f t="shared" si="26"/>
        <v>3289.7480000000005</v>
      </c>
      <c r="U198">
        <f t="shared" si="27"/>
        <v>9</v>
      </c>
      <c r="V198" t="str">
        <f t="shared" si="28"/>
        <v>Q3</v>
      </c>
      <c r="W198" t="str">
        <f t="shared" si="29"/>
        <v>Sep-2024</v>
      </c>
      <c r="X198">
        <f t="shared" si="30"/>
        <v>8553.3448000000008</v>
      </c>
      <c r="Y198" s="5">
        <f t="shared" si="31"/>
        <v>57241.615200000007</v>
      </c>
      <c r="Z198" s="21">
        <f>DATE(K198,MATCH(J198,{"January","February","March","April","May","June","July","August","September","October","November","December"},0),1)</f>
        <v>45536</v>
      </c>
    </row>
    <row r="199" spans="1:26" x14ac:dyDescent="0.3">
      <c r="A199" s="4" t="s">
        <v>267</v>
      </c>
      <c r="B199" s="4" t="s">
        <v>35</v>
      </c>
      <c r="C199" s="4" t="s">
        <v>36</v>
      </c>
      <c r="D199" s="5">
        <v>11103.44</v>
      </c>
      <c r="E199" s="6">
        <v>1</v>
      </c>
      <c r="F199" s="5">
        <v>11103.44</v>
      </c>
      <c r="G199" s="1">
        <v>45421</v>
      </c>
      <c r="H199" t="s">
        <v>44</v>
      </c>
      <c r="I199">
        <v>1.1000000000000001</v>
      </c>
      <c r="J199" t="s">
        <v>32</v>
      </c>
      <c r="K199">
        <v>2024</v>
      </c>
      <c r="L199">
        <v>2220.6880000000001</v>
      </c>
      <c r="M199">
        <v>7</v>
      </c>
      <c r="N199" t="s">
        <v>20</v>
      </c>
      <c r="O199" t="s">
        <v>21</v>
      </c>
      <c r="P199">
        <f>FlipkartSales[[#This Row],[Price (INR)]]*FlipkartSales[[#This Row],[Quantity Sold]]</f>
        <v>11103.44</v>
      </c>
      <c r="Q199">
        <f>FlipkartSales[[#This Row],[Total Sales (INR)]]-FlipkartSales[[#This Row],[Calculated Sales]]</f>
        <v>0</v>
      </c>
      <c r="R199" s="9">
        <f t="shared" si="24"/>
        <v>0.2</v>
      </c>
      <c r="S199">
        <f t="shared" si="25"/>
        <v>11103.44</v>
      </c>
      <c r="T199">
        <f t="shared" si="26"/>
        <v>2220.6880000000001</v>
      </c>
      <c r="U199">
        <f t="shared" si="27"/>
        <v>5</v>
      </c>
      <c r="V199" t="str">
        <f t="shared" si="28"/>
        <v>Q2</v>
      </c>
      <c r="W199" t="str">
        <f t="shared" si="29"/>
        <v>May-2024</v>
      </c>
      <c r="X199">
        <f t="shared" si="30"/>
        <v>777.24080000000004</v>
      </c>
      <c r="Y199" s="5">
        <f t="shared" si="31"/>
        <v>10326.199200000001</v>
      </c>
      <c r="Z199" s="21">
        <f>DATE(K199,MATCH(J199,{"January","February","March","April","May","June","July","August","September","October","November","December"},0),1)</f>
        <v>45413</v>
      </c>
    </row>
    <row r="200" spans="1:26" x14ac:dyDescent="0.3">
      <c r="A200" s="4" t="s">
        <v>268</v>
      </c>
      <c r="B200" s="4" t="s">
        <v>125</v>
      </c>
      <c r="C200" s="4" t="s">
        <v>17</v>
      </c>
      <c r="D200" s="5">
        <v>34255.39</v>
      </c>
      <c r="E200" s="6">
        <v>2</v>
      </c>
      <c r="F200" s="5">
        <v>68510.78</v>
      </c>
      <c r="G200" s="1">
        <v>45340</v>
      </c>
      <c r="H200" t="s">
        <v>25</v>
      </c>
      <c r="I200">
        <v>2.9</v>
      </c>
      <c r="J200" t="s">
        <v>59</v>
      </c>
      <c r="K200">
        <v>2024</v>
      </c>
      <c r="L200">
        <v>13702.156000000001</v>
      </c>
      <c r="M200">
        <v>11</v>
      </c>
      <c r="N200" t="s">
        <v>41</v>
      </c>
      <c r="O200" t="s">
        <v>33</v>
      </c>
      <c r="P200">
        <f>FlipkartSales[[#This Row],[Price (INR)]]*FlipkartSales[[#This Row],[Quantity Sold]]</f>
        <v>68510.78</v>
      </c>
      <c r="Q200">
        <f>FlipkartSales[[#This Row],[Total Sales (INR)]]-FlipkartSales[[#This Row],[Calculated Sales]]</f>
        <v>0</v>
      </c>
      <c r="R200" s="9">
        <f t="shared" si="24"/>
        <v>0.2</v>
      </c>
      <c r="S200">
        <f t="shared" si="25"/>
        <v>34255.39</v>
      </c>
      <c r="T200">
        <f t="shared" si="26"/>
        <v>6851.0780000000004</v>
      </c>
      <c r="U200">
        <f t="shared" si="27"/>
        <v>2</v>
      </c>
      <c r="V200" t="str">
        <f t="shared" si="28"/>
        <v>Q1</v>
      </c>
      <c r="W200" t="str">
        <f t="shared" si="29"/>
        <v>Feb-2024</v>
      </c>
      <c r="X200">
        <f t="shared" si="30"/>
        <v>7536.1857999999993</v>
      </c>
      <c r="Y200" s="5">
        <f t="shared" si="31"/>
        <v>60974.5942</v>
      </c>
      <c r="Z200" s="21">
        <f>DATE(K200,MATCH(J200,{"January","February","March","April","May","June","July","August","September","October","November","December"},0),1)</f>
        <v>45323</v>
      </c>
    </row>
    <row r="201" spans="1:26" x14ac:dyDescent="0.3">
      <c r="A201" s="4" t="s">
        <v>269</v>
      </c>
      <c r="B201" s="4" t="s">
        <v>35</v>
      </c>
      <c r="C201" s="4" t="s">
        <v>36</v>
      </c>
      <c r="D201" s="5">
        <v>18304.18</v>
      </c>
      <c r="E201" s="6">
        <v>2</v>
      </c>
      <c r="F201" s="5">
        <v>36608.36</v>
      </c>
      <c r="G201" s="1">
        <v>45565</v>
      </c>
      <c r="H201" t="s">
        <v>18</v>
      </c>
      <c r="I201">
        <v>1.6</v>
      </c>
      <c r="J201" t="s">
        <v>19</v>
      </c>
      <c r="K201">
        <v>2024</v>
      </c>
      <c r="L201">
        <v>7321.6720000000005</v>
      </c>
      <c r="M201">
        <v>10</v>
      </c>
      <c r="N201" t="s">
        <v>27</v>
      </c>
      <c r="O201" t="s">
        <v>68</v>
      </c>
      <c r="P201">
        <f>FlipkartSales[[#This Row],[Price (INR)]]*FlipkartSales[[#This Row],[Quantity Sold]]</f>
        <v>36608.36</v>
      </c>
      <c r="Q201">
        <f>FlipkartSales[[#This Row],[Total Sales (INR)]]-FlipkartSales[[#This Row],[Calculated Sales]]</f>
        <v>0</v>
      </c>
      <c r="R201" s="9">
        <f t="shared" si="24"/>
        <v>0.2</v>
      </c>
      <c r="S201">
        <f t="shared" si="25"/>
        <v>18304.18</v>
      </c>
      <c r="T201">
        <f t="shared" si="26"/>
        <v>3660.8360000000002</v>
      </c>
      <c r="U201">
        <f t="shared" si="27"/>
        <v>9</v>
      </c>
      <c r="V201" t="str">
        <f t="shared" si="28"/>
        <v>Q3</v>
      </c>
      <c r="W201" t="str">
        <f t="shared" si="29"/>
        <v>Sep-2024</v>
      </c>
      <c r="X201">
        <f t="shared" si="30"/>
        <v>3660.8359999999998</v>
      </c>
      <c r="Y201" s="5">
        <f t="shared" si="31"/>
        <v>32947.523999999998</v>
      </c>
      <c r="Z201" s="21">
        <f>DATE(K201,MATCH(J201,{"January","February","March","April","May","June","July","August","September","October","November","December"},0),1)</f>
        <v>45536</v>
      </c>
    </row>
    <row r="202" spans="1:26" x14ac:dyDescent="0.3">
      <c r="A202" s="4" t="s">
        <v>270</v>
      </c>
      <c r="B202" s="4" t="s">
        <v>50</v>
      </c>
      <c r="C202" s="4" t="s">
        <v>40</v>
      </c>
      <c r="D202" s="5">
        <v>12771.91</v>
      </c>
      <c r="E202" s="6">
        <v>2</v>
      </c>
      <c r="F202" s="5">
        <v>25543.82</v>
      </c>
      <c r="G202" s="1">
        <v>45484</v>
      </c>
      <c r="H202" t="s">
        <v>44</v>
      </c>
      <c r="I202">
        <v>3.2</v>
      </c>
      <c r="J202" t="s">
        <v>48</v>
      </c>
      <c r="K202">
        <v>2024</v>
      </c>
      <c r="L202">
        <v>5108.7640000000001</v>
      </c>
      <c r="M202">
        <v>12</v>
      </c>
      <c r="N202" t="s">
        <v>41</v>
      </c>
      <c r="O202" t="s">
        <v>28</v>
      </c>
      <c r="P202">
        <f>FlipkartSales[[#This Row],[Price (INR)]]*FlipkartSales[[#This Row],[Quantity Sold]]</f>
        <v>25543.82</v>
      </c>
      <c r="Q202">
        <f>FlipkartSales[[#This Row],[Total Sales (INR)]]-FlipkartSales[[#This Row],[Calculated Sales]]</f>
        <v>0</v>
      </c>
      <c r="R202" s="9">
        <f t="shared" si="24"/>
        <v>0.2</v>
      </c>
      <c r="S202">
        <f t="shared" si="25"/>
        <v>12771.91</v>
      </c>
      <c r="T202">
        <f t="shared" si="26"/>
        <v>2554.3820000000001</v>
      </c>
      <c r="U202">
        <f t="shared" si="27"/>
        <v>7</v>
      </c>
      <c r="V202" t="str">
        <f t="shared" si="28"/>
        <v>Q3</v>
      </c>
      <c r="W202" t="str">
        <f t="shared" si="29"/>
        <v>Jul-2024</v>
      </c>
      <c r="X202">
        <f t="shared" si="30"/>
        <v>3065.2583999999997</v>
      </c>
      <c r="Y202" s="5">
        <f t="shared" si="31"/>
        <v>22478.561600000001</v>
      </c>
      <c r="Z202" s="21">
        <f>DATE(K202,MATCH(J202,{"January","February","March","April","May","June","July","August","September","October","November","December"},0),1)</f>
        <v>45474</v>
      </c>
    </row>
    <row r="203" spans="1:26" x14ac:dyDescent="0.3">
      <c r="A203" s="4" t="s">
        <v>271</v>
      </c>
      <c r="B203" s="4" t="s">
        <v>70</v>
      </c>
      <c r="C203" s="4" t="s">
        <v>17</v>
      </c>
      <c r="D203" s="5">
        <v>2275.09</v>
      </c>
      <c r="E203" s="6">
        <v>2</v>
      </c>
      <c r="F203" s="5">
        <v>4550.18</v>
      </c>
      <c r="G203" s="1">
        <v>45470</v>
      </c>
      <c r="H203" t="s">
        <v>18</v>
      </c>
      <c r="I203">
        <v>1.5</v>
      </c>
      <c r="J203" t="s">
        <v>67</v>
      </c>
      <c r="K203">
        <v>2024</v>
      </c>
      <c r="L203">
        <v>910.03600000000006</v>
      </c>
      <c r="M203">
        <v>13</v>
      </c>
      <c r="N203" t="s">
        <v>41</v>
      </c>
      <c r="O203" t="s">
        <v>28</v>
      </c>
      <c r="P203">
        <f>FlipkartSales[[#This Row],[Price (INR)]]*FlipkartSales[[#This Row],[Quantity Sold]]</f>
        <v>4550.18</v>
      </c>
      <c r="Q203">
        <f>FlipkartSales[[#This Row],[Total Sales (INR)]]-FlipkartSales[[#This Row],[Calculated Sales]]</f>
        <v>0</v>
      </c>
      <c r="R203" s="9">
        <f t="shared" si="24"/>
        <v>0.2</v>
      </c>
      <c r="S203">
        <f t="shared" si="25"/>
        <v>2275.09</v>
      </c>
      <c r="T203">
        <f t="shared" si="26"/>
        <v>455.01800000000003</v>
      </c>
      <c r="U203">
        <f t="shared" si="27"/>
        <v>6</v>
      </c>
      <c r="V203" t="str">
        <f t="shared" si="28"/>
        <v>Q2</v>
      </c>
      <c r="W203" t="str">
        <f t="shared" si="29"/>
        <v>Jun-2024</v>
      </c>
      <c r="X203">
        <f t="shared" si="30"/>
        <v>591.52340000000004</v>
      </c>
      <c r="Y203" s="5">
        <f t="shared" si="31"/>
        <v>3958.6566000000003</v>
      </c>
      <c r="Z203" s="21">
        <f>DATE(K203,MATCH(J203,{"January","February","March","April","May","June","July","August","September","October","November","December"},0),1)</f>
        <v>45444</v>
      </c>
    </row>
    <row r="204" spans="1:26" x14ac:dyDescent="0.3">
      <c r="A204" s="4" t="s">
        <v>272</v>
      </c>
      <c r="B204" s="4" t="s">
        <v>47</v>
      </c>
      <c r="C204" s="4" t="s">
        <v>24</v>
      </c>
      <c r="D204" s="5">
        <v>16468.59</v>
      </c>
      <c r="E204" s="6">
        <v>4</v>
      </c>
      <c r="F204" s="5">
        <v>65874.36</v>
      </c>
      <c r="G204" s="1">
        <v>45589</v>
      </c>
      <c r="H204" t="s">
        <v>80</v>
      </c>
      <c r="I204">
        <v>4.5</v>
      </c>
      <c r="J204" t="s">
        <v>45</v>
      </c>
      <c r="K204">
        <v>2024</v>
      </c>
      <c r="L204">
        <v>13174.872000000001</v>
      </c>
      <c r="M204">
        <v>9</v>
      </c>
      <c r="N204" t="s">
        <v>41</v>
      </c>
      <c r="O204" t="s">
        <v>68</v>
      </c>
      <c r="P204">
        <f>FlipkartSales[[#This Row],[Price (INR)]]*FlipkartSales[[#This Row],[Quantity Sold]]</f>
        <v>65874.36</v>
      </c>
      <c r="Q204">
        <f>FlipkartSales[[#This Row],[Total Sales (INR)]]-FlipkartSales[[#This Row],[Calculated Sales]]</f>
        <v>0</v>
      </c>
      <c r="R204" s="9">
        <f t="shared" si="24"/>
        <v>0.2</v>
      </c>
      <c r="S204">
        <f t="shared" si="25"/>
        <v>16468.59</v>
      </c>
      <c r="T204">
        <f t="shared" si="26"/>
        <v>3293.7180000000003</v>
      </c>
      <c r="U204">
        <f t="shared" si="27"/>
        <v>10</v>
      </c>
      <c r="V204" t="str">
        <f t="shared" si="28"/>
        <v>Q4</v>
      </c>
      <c r="W204" t="str">
        <f t="shared" si="29"/>
        <v>Oct-2024</v>
      </c>
      <c r="X204">
        <f t="shared" si="30"/>
        <v>5928.6923999999999</v>
      </c>
      <c r="Y204" s="5">
        <f t="shared" si="31"/>
        <v>59945.667600000001</v>
      </c>
      <c r="Z204" s="21">
        <f>DATE(K204,MATCH(J204,{"January","February","March","April","May","June","July","August","September","October","November","December"},0),1)</f>
        <v>45566</v>
      </c>
    </row>
    <row r="205" spans="1:26" x14ac:dyDescent="0.3">
      <c r="A205" s="4" t="s">
        <v>273</v>
      </c>
      <c r="B205" s="4" t="s">
        <v>39</v>
      </c>
      <c r="C205" s="4" t="s">
        <v>40</v>
      </c>
      <c r="D205" s="5">
        <v>4934.99</v>
      </c>
      <c r="E205" s="6">
        <v>3</v>
      </c>
      <c r="F205" s="5">
        <v>14804.97</v>
      </c>
      <c r="G205" s="1">
        <v>45581</v>
      </c>
      <c r="H205" t="s">
        <v>71</v>
      </c>
      <c r="I205">
        <v>4.5999999999999996</v>
      </c>
      <c r="J205" t="s">
        <v>45</v>
      </c>
      <c r="K205">
        <v>2024</v>
      </c>
      <c r="L205">
        <v>2960.9940000000001</v>
      </c>
      <c r="M205">
        <v>5</v>
      </c>
      <c r="N205" t="s">
        <v>41</v>
      </c>
      <c r="O205" t="s">
        <v>28</v>
      </c>
      <c r="P205">
        <f>FlipkartSales[[#This Row],[Price (INR)]]*FlipkartSales[[#This Row],[Quantity Sold]]</f>
        <v>14804.97</v>
      </c>
      <c r="Q205">
        <f>FlipkartSales[[#This Row],[Total Sales (INR)]]-FlipkartSales[[#This Row],[Calculated Sales]]</f>
        <v>0</v>
      </c>
      <c r="R205" s="9">
        <f t="shared" si="24"/>
        <v>0.2</v>
      </c>
      <c r="S205">
        <f t="shared" si="25"/>
        <v>4934.99</v>
      </c>
      <c r="T205">
        <f t="shared" si="26"/>
        <v>986.99800000000005</v>
      </c>
      <c r="U205">
        <f t="shared" si="27"/>
        <v>10</v>
      </c>
      <c r="V205" t="str">
        <f t="shared" si="28"/>
        <v>Q4</v>
      </c>
      <c r="W205" t="str">
        <f t="shared" si="29"/>
        <v>Oct-2024</v>
      </c>
      <c r="X205">
        <f t="shared" si="30"/>
        <v>740.24849999999992</v>
      </c>
      <c r="Y205" s="5">
        <f t="shared" si="31"/>
        <v>14064.7215</v>
      </c>
      <c r="Z205" s="21">
        <f>DATE(K205,MATCH(J205,{"January","February","March","April","May","June","July","August","September","October","November","December"},0),1)</f>
        <v>45566</v>
      </c>
    </row>
    <row r="206" spans="1:26" x14ac:dyDescent="0.3">
      <c r="A206" s="4" t="s">
        <v>274</v>
      </c>
      <c r="B206" s="4" t="s">
        <v>50</v>
      </c>
      <c r="C206" s="4" t="s">
        <v>40</v>
      </c>
      <c r="D206" s="5">
        <v>5258.29</v>
      </c>
      <c r="E206" s="6">
        <v>5</v>
      </c>
      <c r="F206" s="5">
        <v>26291.45</v>
      </c>
      <c r="G206" s="1">
        <v>45527</v>
      </c>
      <c r="H206" t="s">
        <v>44</v>
      </c>
      <c r="I206">
        <v>2.5</v>
      </c>
      <c r="J206" t="s">
        <v>88</v>
      </c>
      <c r="K206">
        <v>2024</v>
      </c>
      <c r="L206">
        <v>5258.2900000000009</v>
      </c>
      <c r="M206">
        <v>23</v>
      </c>
      <c r="N206" t="s">
        <v>20</v>
      </c>
      <c r="O206" t="s">
        <v>21</v>
      </c>
      <c r="P206">
        <f>FlipkartSales[[#This Row],[Price (INR)]]*FlipkartSales[[#This Row],[Quantity Sold]]</f>
        <v>26291.45</v>
      </c>
      <c r="Q206">
        <f>FlipkartSales[[#This Row],[Total Sales (INR)]]-FlipkartSales[[#This Row],[Calculated Sales]]</f>
        <v>0</v>
      </c>
      <c r="R206" s="9">
        <f t="shared" si="24"/>
        <v>0.20000000000000004</v>
      </c>
      <c r="S206">
        <f t="shared" si="25"/>
        <v>5258.29</v>
      </c>
      <c r="T206">
        <f t="shared" si="26"/>
        <v>1051.6580000000001</v>
      </c>
      <c r="U206">
        <f t="shared" si="27"/>
        <v>8</v>
      </c>
      <c r="V206" t="str">
        <f t="shared" si="28"/>
        <v>Q3</v>
      </c>
      <c r="W206" t="str">
        <f t="shared" si="29"/>
        <v>Aug-2024</v>
      </c>
      <c r="X206">
        <f t="shared" si="30"/>
        <v>6047.0334999999995</v>
      </c>
      <c r="Y206" s="5">
        <f t="shared" si="31"/>
        <v>20244.416499999999</v>
      </c>
      <c r="Z206" s="21">
        <f>DATE(K206,MATCH(J206,{"January","February","March","April","May","June","July","August","September","October","November","December"},0),1)</f>
        <v>45505</v>
      </c>
    </row>
    <row r="207" spans="1:26" x14ac:dyDescent="0.3">
      <c r="A207" s="4" t="s">
        <v>275</v>
      </c>
      <c r="B207" s="4" t="s">
        <v>94</v>
      </c>
      <c r="C207" s="4" t="s">
        <v>31</v>
      </c>
      <c r="D207" s="5">
        <v>32580</v>
      </c>
      <c r="E207" s="6">
        <v>5</v>
      </c>
      <c r="F207" s="5">
        <v>162900</v>
      </c>
      <c r="G207" s="1">
        <v>45378</v>
      </c>
      <c r="H207" t="s">
        <v>64</v>
      </c>
      <c r="I207">
        <v>2.7</v>
      </c>
      <c r="J207" t="s">
        <v>56</v>
      </c>
      <c r="K207">
        <v>2024</v>
      </c>
      <c r="L207">
        <v>32580</v>
      </c>
      <c r="M207">
        <v>14</v>
      </c>
      <c r="N207" t="s">
        <v>20</v>
      </c>
      <c r="O207" t="s">
        <v>21</v>
      </c>
      <c r="P207">
        <f>FlipkartSales[[#This Row],[Price (INR)]]*FlipkartSales[[#This Row],[Quantity Sold]]</f>
        <v>162900</v>
      </c>
      <c r="Q207">
        <f>FlipkartSales[[#This Row],[Total Sales (INR)]]-FlipkartSales[[#This Row],[Calculated Sales]]</f>
        <v>0</v>
      </c>
      <c r="R207" s="9">
        <f t="shared" si="24"/>
        <v>0.2</v>
      </c>
      <c r="S207">
        <f t="shared" si="25"/>
        <v>32580</v>
      </c>
      <c r="T207">
        <f t="shared" si="26"/>
        <v>6516</v>
      </c>
      <c r="U207">
        <f t="shared" si="27"/>
        <v>3</v>
      </c>
      <c r="V207" t="str">
        <f t="shared" si="28"/>
        <v>Q1</v>
      </c>
      <c r="W207" t="str">
        <f t="shared" si="29"/>
        <v>Mar-2024</v>
      </c>
      <c r="X207">
        <f t="shared" si="30"/>
        <v>22806</v>
      </c>
      <c r="Y207" s="5">
        <f t="shared" si="31"/>
        <v>140094</v>
      </c>
      <c r="Z207" s="21">
        <f>DATE(K207,MATCH(J207,{"January","February","March","April","May","June","July","August","September","October","November","December"},0),1)</f>
        <v>45352</v>
      </c>
    </row>
    <row r="208" spans="1:26" x14ac:dyDescent="0.3">
      <c r="A208" s="4" t="s">
        <v>276</v>
      </c>
      <c r="B208" s="4" t="s">
        <v>145</v>
      </c>
      <c r="C208" s="4" t="s">
        <v>40</v>
      </c>
      <c r="D208" s="5">
        <v>40298.9</v>
      </c>
      <c r="E208" s="6">
        <v>1</v>
      </c>
      <c r="F208" s="5">
        <v>40298.9</v>
      </c>
      <c r="G208" s="1">
        <v>45460</v>
      </c>
      <c r="H208" t="s">
        <v>18</v>
      </c>
      <c r="I208">
        <v>1.2</v>
      </c>
      <c r="J208" t="s">
        <v>67</v>
      </c>
      <c r="K208">
        <v>2024</v>
      </c>
      <c r="L208">
        <v>8059.7800000000007</v>
      </c>
      <c r="M208">
        <v>16</v>
      </c>
      <c r="N208" t="s">
        <v>41</v>
      </c>
      <c r="O208" t="s">
        <v>21</v>
      </c>
      <c r="P208">
        <f>FlipkartSales[[#This Row],[Price (INR)]]*FlipkartSales[[#This Row],[Quantity Sold]]</f>
        <v>40298.9</v>
      </c>
      <c r="Q208">
        <f>FlipkartSales[[#This Row],[Total Sales (INR)]]-FlipkartSales[[#This Row],[Calculated Sales]]</f>
        <v>0</v>
      </c>
      <c r="R208" s="9">
        <f t="shared" si="24"/>
        <v>0.2</v>
      </c>
      <c r="S208">
        <f t="shared" si="25"/>
        <v>40298.9</v>
      </c>
      <c r="T208">
        <f t="shared" si="26"/>
        <v>8059.7800000000007</v>
      </c>
      <c r="U208">
        <f t="shared" si="27"/>
        <v>6</v>
      </c>
      <c r="V208" t="str">
        <f t="shared" si="28"/>
        <v>Q2</v>
      </c>
      <c r="W208" t="str">
        <f t="shared" si="29"/>
        <v>Jun-2024</v>
      </c>
      <c r="X208">
        <f t="shared" si="30"/>
        <v>6447.8240000000005</v>
      </c>
      <c r="Y208" s="5">
        <f t="shared" si="31"/>
        <v>33851.076000000001</v>
      </c>
      <c r="Z208" s="21">
        <f>DATE(K208,MATCH(J208,{"January","February","March","April","May","June","July","August","September","October","November","December"},0),1)</f>
        <v>45444</v>
      </c>
    </row>
    <row r="209" spans="1:26" x14ac:dyDescent="0.3">
      <c r="A209" s="4" t="s">
        <v>277</v>
      </c>
      <c r="B209" s="4" t="s">
        <v>55</v>
      </c>
      <c r="C209" s="4" t="s">
        <v>36</v>
      </c>
      <c r="D209" s="5">
        <v>11236.19</v>
      </c>
      <c r="E209" s="6">
        <v>3</v>
      </c>
      <c r="F209" s="5">
        <v>33708.57</v>
      </c>
      <c r="G209" s="1">
        <v>45598</v>
      </c>
      <c r="H209" t="s">
        <v>64</v>
      </c>
      <c r="I209">
        <v>2.6</v>
      </c>
      <c r="J209" t="s">
        <v>37</v>
      </c>
      <c r="K209">
        <v>2024</v>
      </c>
      <c r="L209">
        <v>6741.7139999999999</v>
      </c>
      <c r="M209">
        <v>28</v>
      </c>
      <c r="N209" t="s">
        <v>27</v>
      </c>
      <c r="O209" t="s">
        <v>21</v>
      </c>
      <c r="P209">
        <f>FlipkartSales[[#This Row],[Price (INR)]]*FlipkartSales[[#This Row],[Quantity Sold]]</f>
        <v>33708.57</v>
      </c>
      <c r="Q209">
        <f>FlipkartSales[[#This Row],[Total Sales (INR)]]-FlipkartSales[[#This Row],[Calculated Sales]]</f>
        <v>0</v>
      </c>
      <c r="R209" s="9">
        <f t="shared" si="24"/>
        <v>0.2</v>
      </c>
      <c r="S209">
        <f t="shared" si="25"/>
        <v>11236.19</v>
      </c>
      <c r="T209">
        <f t="shared" si="26"/>
        <v>2247.2379999999998</v>
      </c>
      <c r="U209">
        <f t="shared" si="27"/>
        <v>11</v>
      </c>
      <c r="V209" t="str">
        <f t="shared" si="28"/>
        <v>Q4</v>
      </c>
      <c r="W209" t="str">
        <f t="shared" si="29"/>
        <v>Nov-2024</v>
      </c>
      <c r="X209">
        <f t="shared" si="30"/>
        <v>9438.3995999999988</v>
      </c>
      <c r="Y209" s="5">
        <f t="shared" si="31"/>
        <v>24270.170400000003</v>
      </c>
      <c r="Z209" s="21">
        <f>DATE(K209,MATCH(J209,{"January","February","March","April","May","June","July","August","September","October","November","December"},0),1)</f>
        <v>45597</v>
      </c>
    </row>
    <row r="210" spans="1:26" x14ac:dyDescent="0.3">
      <c r="A210" s="4" t="s">
        <v>278</v>
      </c>
      <c r="B210" s="4" t="s">
        <v>125</v>
      </c>
      <c r="C210" s="4" t="s">
        <v>17</v>
      </c>
      <c r="D210" s="5">
        <v>32537.46</v>
      </c>
      <c r="E210" s="6">
        <v>5</v>
      </c>
      <c r="F210" s="5">
        <v>162687.29999999999</v>
      </c>
      <c r="G210" s="1">
        <v>45593</v>
      </c>
      <c r="H210" t="s">
        <v>25</v>
      </c>
      <c r="I210">
        <v>3.4</v>
      </c>
      <c r="J210" t="s">
        <v>45</v>
      </c>
      <c r="K210">
        <v>2024</v>
      </c>
      <c r="L210">
        <v>32537.46</v>
      </c>
      <c r="M210">
        <v>19</v>
      </c>
      <c r="N210" t="s">
        <v>27</v>
      </c>
      <c r="O210" t="s">
        <v>28</v>
      </c>
      <c r="P210">
        <f>FlipkartSales[[#This Row],[Price (INR)]]*FlipkartSales[[#This Row],[Quantity Sold]]</f>
        <v>162687.29999999999</v>
      </c>
      <c r="Q210">
        <f>FlipkartSales[[#This Row],[Total Sales (INR)]]-FlipkartSales[[#This Row],[Calculated Sales]]</f>
        <v>0</v>
      </c>
      <c r="R210" s="9">
        <f t="shared" si="24"/>
        <v>0.2</v>
      </c>
      <c r="S210">
        <f t="shared" si="25"/>
        <v>32537.46</v>
      </c>
      <c r="T210">
        <f t="shared" si="26"/>
        <v>6507.4920000000002</v>
      </c>
      <c r="U210">
        <f t="shared" si="27"/>
        <v>10</v>
      </c>
      <c r="V210" t="str">
        <f t="shared" si="28"/>
        <v>Q4</v>
      </c>
      <c r="W210" t="str">
        <f t="shared" si="29"/>
        <v>Oct-2024</v>
      </c>
      <c r="X210">
        <f t="shared" si="30"/>
        <v>30910.586999999996</v>
      </c>
      <c r="Y210" s="5">
        <f t="shared" si="31"/>
        <v>131776.71299999999</v>
      </c>
      <c r="Z210" s="21">
        <f>DATE(K210,MATCH(J210,{"January","February","March","April","May","June","July","August","September","October","November","December"},0),1)</f>
        <v>45566</v>
      </c>
    </row>
    <row r="211" spans="1:26" x14ac:dyDescent="0.3">
      <c r="A211" s="4" t="s">
        <v>279</v>
      </c>
      <c r="B211" s="4" t="s">
        <v>23</v>
      </c>
      <c r="C211" s="4" t="s">
        <v>24</v>
      </c>
      <c r="D211" s="5">
        <v>6953.88</v>
      </c>
      <c r="E211" s="6">
        <v>1</v>
      </c>
      <c r="F211" s="5">
        <v>6953.88</v>
      </c>
      <c r="G211" s="1">
        <v>45426</v>
      </c>
      <c r="H211" t="s">
        <v>25</v>
      </c>
      <c r="I211">
        <v>2.9</v>
      </c>
      <c r="J211" t="s">
        <v>32</v>
      </c>
      <c r="K211">
        <v>2024</v>
      </c>
      <c r="L211">
        <v>1390.7760000000001</v>
      </c>
      <c r="M211">
        <v>26</v>
      </c>
      <c r="N211" t="s">
        <v>27</v>
      </c>
      <c r="O211" t="s">
        <v>68</v>
      </c>
      <c r="P211">
        <f>FlipkartSales[[#This Row],[Price (INR)]]*FlipkartSales[[#This Row],[Quantity Sold]]</f>
        <v>6953.88</v>
      </c>
      <c r="Q211">
        <f>FlipkartSales[[#This Row],[Total Sales (INR)]]-FlipkartSales[[#This Row],[Calculated Sales]]</f>
        <v>0</v>
      </c>
      <c r="R211" s="9">
        <f t="shared" si="24"/>
        <v>0.2</v>
      </c>
      <c r="S211">
        <f t="shared" si="25"/>
        <v>6953.88</v>
      </c>
      <c r="T211">
        <f t="shared" si="26"/>
        <v>1390.7760000000001</v>
      </c>
      <c r="U211">
        <f t="shared" si="27"/>
        <v>5</v>
      </c>
      <c r="V211" t="str">
        <f t="shared" si="28"/>
        <v>Q2</v>
      </c>
      <c r="W211" t="str">
        <f t="shared" si="29"/>
        <v>May-2024</v>
      </c>
      <c r="X211">
        <f t="shared" si="30"/>
        <v>1808.0088000000001</v>
      </c>
      <c r="Y211" s="5">
        <f t="shared" si="31"/>
        <v>5145.8711999999996</v>
      </c>
      <c r="Z211" s="21">
        <f>DATE(K211,MATCH(J211,{"January","February","March","April","May","June","July","August","September","October","November","December"},0),1)</f>
        <v>45413</v>
      </c>
    </row>
    <row r="212" spans="1:26" x14ac:dyDescent="0.3">
      <c r="A212" s="4" t="s">
        <v>280</v>
      </c>
      <c r="B212" s="4" t="s">
        <v>84</v>
      </c>
      <c r="C212" s="4" t="s">
        <v>40</v>
      </c>
      <c r="D212" s="5">
        <v>32824.050000000003</v>
      </c>
      <c r="E212" s="6">
        <v>3</v>
      </c>
      <c r="F212" s="5">
        <v>98472.15</v>
      </c>
      <c r="G212" s="1">
        <v>45537</v>
      </c>
      <c r="H212" t="s">
        <v>71</v>
      </c>
      <c r="I212">
        <v>3.6</v>
      </c>
      <c r="J212" t="s">
        <v>19</v>
      </c>
      <c r="K212">
        <v>2024</v>
      </c>
      <c r="L212">
        <v>19694.43</v>
      </c>
      <c r="M212">
        <v>28</v>
      </c>
      <c r="N212" t="s">
        <v>27</v>
      </c>
      <c r="O212" t="s">
        <v>68</v>
      </c>
      <c r="P212">
        <f>FlipkartSales[[#This Row],[Price (INR)]]*FlipkartSales[[#This Row],[Quantity Sold]]</f>
        <v>98472.150000000009</v>
      </c>
      <c r="Q212">
        <f>FlipkartSales[[#This Row],[Total Sales (INR)]]-FlipkartSales[[#This Row],[Calculated Sales]]</f>
        <v>0</v>
      </c>
      <c r="R212" s="9">
        <f t="shared" si="24"/>
        <v>0.2</v>
      </c>
      <c r="S212">
        <f t="shared" si="25"/>
        <v>32824.049999999996</v>
      </c>
      <c r="T212">
        <f t="shared" si="26"/>
        <v>6564.81</v>
      </c>
      <c r="U212">
        <f t="shared" si="27"/>
        <v>9</v>
      </c>
      <c r="V212" t="str">
        <f t="shared" si="28"/>
        <v>Q3</v>
      </c>
      <c r="W212" t="str">
        <f t="shared" si="29"/>
        <v>Sep-2024</v>
      </c>
      <c r="X212">
        <f t="shared" si="30"/>
        <v>27572.201999999997</v>
      </c>
      <c r="Y212" s="5">
        <f t="shared" si="31"/>
        <v>70899.948000000004</v>
      </c>
      <c r="Z212" s="21">
        <f>DATE(K212,MATCH(J212,{"January","February","March","April","May","June","July","August","September","October","November","December"},0),1)</f>
        <v>45536</v>
      </c>
    </row>
    <row r="213" spans="1:26" x14ac:dyDescent="0.3">
      <c r="A213" s="4" t="s">
        <v>281</v>
      </c>
      <c r="B213" s="4" t="s">
        <v>47</v>
      </c>
      <c r="C213" s="4" t="s">
        <v>24</v>
      </c>
      <c r="D213" s="5">
        <v>34459.99</v>
      </c>
      <c r="E213" s="6">
        <v>3</v>
      </c>
      <c r="F213" s="5">
        <v>103379.97</v>
      </c>
      <c r="G213" s="1">
        <v>45570</v>
      </c>
      <c r="H213" t="s">
        <v>18</v>
      </c>
      <c r="I213">
        <v>1.4</v>
      </c>
      <c r="J213" t="s">
        <v>45</v>
      </c>
      <c r="K213">
        <v>2024</v>
      </c>
      <c r="L213">
        <v>20675.994000000002</v>
      </c>
      <c r="M213">
        <v>13</v>
      </c>
      <c r="N213" t="s">
        <v>41</v>
      </c>
      <c r="O213" t="s">
        <v>68</v>
      </c>
      <c r="P213">
        <f>FlipkartSales[[#This Row],[Price (INR)]]*FlipkartSales[[#This Row],[Quantity Sold]]</f>
        <v>103379.97</v>
      </c>
      <c r="Q213">
        <f>FlipkartSales[[#This Row],[Total Sales (INR)]]-FlipkartSales[[#This Row],[Calculated Sales]]</f>
        <v>0</v>
      </c>
      <c r="R213" s="9">
        <f t="shared" si="24"/>
        <v>0.2</v>
      </c>
      <c r="S213">
        <f t="shared" si="25"/>
        <v>34459.99</v>
      </c>
      <c r="T213">
        <f t="shared" si="26"/>
        <v>6891.9980000000005</v>
      </c>
      <c r="U213">
        <f t="shared" si="27"/>
        <v>10</v>
      </c>
      <c r="V213" t="str">
        <f t="shared" si="28"/>
        <v>Q4</v>
      </c>
      <c r="W213" t="str">
        <f t="shared" si="29"/>
        <v>Oct-2024</v>
      </c>
      <c r="X213">
        <f t="shared" si="30"/>
        <v>13439.396100000002</v>
      </c>
      <c r="Y213" s="5">
        <f t="shared" si="31"/>
        <v>89940.573900000003</v>
      </c>
      <c r="Z213" s="21">
        <f>DATE(K213,MATCH(J213,{"January","February","March","April","May","June","July","August","September","October","November","December"},0),1)</f>
        <v>45566</v>
      </c>
    </row>
    <row r="214" spans="1:26" x14ac:dyDescent="0.3">
      <c r="A214" s="4" t="s">
        <v>282</v>
      </c>
      <c r="B214" s="4" t="s">
        <v>16</v>
      </c>
      <c r="C214" s="4" t="s">
        <v>17</v>
      </c>
      <c r="D214" s="5">
        <v>13608.58</v>
      </c>
      <c r="E214" s="6">
        <v>3</v>
      </c>
      <c r="F214" s="5">
        <v>40825.74</v>
      </c>
      <c r="G214" s="1">
        <v>45387</v>
      </c>
      <c r="H214" t="s">
        <v>25</v>
      </c>
      <c r="I214">
        <v>4.5999999999999996</v>
      </c>
      <c r="J214" t="s">
        <v>62</v>
      </c>
      <c r="K214">
        <v>2024</v>
      </c>
      <c r="L214">
        <v>8165.1480000000001</v>
      </c>
      <c r="M214">
        <v>24</v>
      </c>
      <c r="N214" t="s">
        <v>20</v>
      </c>
      <c r="O214" t="s">
        <v>68</v>
      </c>
      <c r="P214">
        <f>FlipkartSales[[#This Row],[Price (INR)]]*FlipkartSales[[#This Row],[Quantity Sold]]</f>
        <v>40825.74</v>
      </c>
      <c r="Q214">
        <f>FlipkartSales[[#This Row],[Total Sales (INR)]]-FlipkartSales[[#This Row],[Calculated Sales]]</f>
        <v>0</v>
      </c>
      <c r="R214" s="9">
        <f t="shared" si="24"/>
        <v>0.2</v>
      </c>
      <c r="S214">
        <f t="shared" si="25"/>
        <v>13608.58</v>
      </c>
      <c r="T214">
        <f t="shared" si="26"/>
        <v>2721.7159999999999</v>
      </c>
      <c r="U214">
        <f t="shared" si="27"/>
        <v>4</v>
      </c>
      <c r="V214" t="str">
        <f t="shared" si="28"/>
        <v>Q2</v>
      </c>
      <c r="W214" t="str">
        <f t="shared" si="29"/>
        <v>Apr-2024</v>
      </c>
      <c r="X214">
        <f t="shared" si="30"/>
        <v>9798.1776000000009</v>
      </c>
      <c r="Y214" s="5">
        <f t="shared" si="31"/>
        <v>31027.562399999995</v>
      </c>
      <c r="Z214" s="21">
        <f>DATE(K214,MATCH(J214,{"January","February","March","April","May","June","July","August","September","October","November","December"},0),1)</f>
        <v>45383</v>
      </c>
    </row>
    <row r="215" spans="1:26" x14ac:dyDescent="0.3">
      <c r="A215" s="4" t="s">
        <v>283</v>
      </c>
      <c r="B215" s="4" t="s">
        <v>43</v>
      </c>
      <c r="C215" s="4" t="s">
        <v>40</v>
      </c>
      <c r="D215" s="5">
        <v>32630.83</v>
      </c>
      <c r="E215" s="6">
        <v>2</v>
      </c>
      <c r="F215" s="5">
        <v>65261.66</v>
      </c>
      <c r="G215" s="1">
        <v>45648</v>
      </c>
      <c r="H215" t="s">
        <v>25</v>
      </c>
      <c r="I215">
        <v>4.7</v>
      </c>
      <c r="J215" t="s">
        <v>26</v>
      </c>
      <c r="K215">
        <v>2024</v>
      </c>
      <c r="L215">
        <v>13052.332000000002</v>
      </c>
      <c r="M215">
        <v>21</v>
      </c>
      <c r="N215" t="s">
        <v>27</v>
      </c>
      <c r="O215" t="s">
        <v>33</v>
      </c>
      <c r="P215">
        <f>FlipkartSales[[#This Row],[Price (INR)]]*FlipkartSales[[#This Row],[Quantity Sold]]</f>
        <v>65261.66</v>
      </c>
      <c r="Q215">
        <f>FlipkartSales[[#This Row],[Total Sales (INR)]]-FlipkartSales[[#This Row],[Calculated Sales]]</f>
        <v>0</v>
      </c>
      <c r="R215" s="9">
        <f t="shared" si="24"/>
        <v>0.2</v>
      </c>
      <c r="S215">
        <f t="shared" si="25"/>
        <v>32630.83</v>
      </c>
      <c r="T215">
        <f t="shared" si="26"/>
        <v>6526.1660000000011</v>
      </c>
      <c r="U215">
        <f t="shared" si="27"/>
        <v>12</v>
      </c>
      <c r="V215" t="str">
        <f t="shared" si="28"/>
        <v>Q4</v>
      </c>
      <c r="W215" t="str">
        <f t="shared" si="29"/>
        <v>Dec-2024</v>
      </c>
      <c r="X215">
        <f t="shared" si="30"/>
        <v>13704.948600000002</v>
      </c>
      <c r="Y215" s="5">
        <f t="shared" si="31"/>
        <v>51556.7114</v>
      </c>
      <c r="Z215" s="21">
        <f>DATE(K215,MATCH(J215,{"January","February","March","April","May","June","July","August","September","October","November","December"},0),1)</f>
        <v>45627</v>
      </c>
    </row>
    <row r="216" spans="1:26" x14ac:dyDescent="0.3">
      <c r="A216" s="4" t="s">
        <v>284</v>
      </c>
      <c r="B216" s="4" t="s">
        <v>96</v>
      </c>
      <c r="C216" s="4" t="s">
        <v>36</v>
      </c>
      <c r="D216" s="5">
        <v>24818.77</v>
      </c>
      <c r="E216" s="6">
        <v>4</v>
      </c>
      <c r="F216" s="5">
        <v>99275.08</v>
      </c>
      <c r="G216" s="1">
        <v>45610</v>
      </c>
      <c r="H216" t="s">
        <v>18</v>
      </c>
      <c r="I216">
        <v>2.2999999999999998</v>
      </c>
      <c r="J216" t="s">
        <v>37</v>
      </c>
      <c r="K216">
        <v>2024</v>
      </c>
      <c r="L216">
        <v>19855.016000000003</v>
      </c>
      <c r="M216">
        <v>21</v>
      </c>
      <c r="N216" t="s">
        <v>41</v>
      </c>
      <c r="O216" t="s">
        <v>68</v>
      </c>
      <c r="P216">
        <f>FlipkartSales[[#This Row],[Price (INR)]]*FlipkartSales[[#This Row],[Quantity Sold]]</f>
        <v>99275.08</v>
      </c>
      <c r="Q216">
        <f>FlipkartSales[[#This Row],[Total Sales (INR)]]-FlipkartSales[[#This Row],[Calculated Sales]]</f>
        <v>0</v>
      </c>
      <c r="R216" s="9">
        <f t="shared" si="24"/>
        <v>0.20000000000000004</v>
      </c>
      <c r="S216">
        <f t="shared" si="25"/>
        <v>24818.77</v>
      </c>
      <c r="T216">
        <f t="shared" si="26"/>
        <v>4963.7540000000008</v>
      </c>
      <c r="U216">
        <f t="shared" si="27"/>
        <v>11</v>
      </c>
      <c r="V216" t="str">
        <f t="shared" si="28"/>
        <v>Q4</v>
      </c>
      <c r="W216" t="str">
        <f t="shared" si="29"/>
        <v>Nov-2024</v>
      </c>
      <c r="X216">
        <f t="shared" si="30"/>
        <v>20847.766799999998</v>
      </c>
      <c r="Y216" s="5">
        <f t="shared" si="31"/>
        <v>78427.313200000004</v>
      </c>
      <c r="Z216" s="21">
        <f>DATE(K216,MATCH(J216,{"January","February","March","April","May","June","July","August","September","October","November","December"},0),1)</f>
        <v>45597</v>
      </c>
    </row>
    <row r="217" spans="1:26" x14ac:dyDescent="0.3">
      <c r="A217" s="4" t="s">
        <v>285</v>
      </c>
      <c r="B217" s="4" t="s">
        <v>74</v>
      </c>
      <c r="C217" s="4" t="s">
        <v>17</v>
      </c>
      <c r="D217" s="5">
        <v>36645.35</v>
      </c>
      <c r="E217" s="6">
        <v>3</v>
      </c>
      <c r="F217" s="5">
        <v>109936.05</v>
      </c>
      <c r="G217" s="1">
        <v>45652</v>
      </c>
      <c r="H217" t="s">
        <v>18</v>
      </c>
      <c r="I217">
        <v>2.5</v>
      </c>
      <c r="J217" t="s">
        <v>26</v>
      </c>
      <c r="K217">
        <v>2024</v>
      </c>
      <c r="L217">
        <v>21987.210000000003</v>
      </c>
      <c r="M217">
        <v>30</v>
      </c>
      <c r="N217" t="s">
        <v>27</v>
      </c>
      <c r="O217" t="s">
        <v>33</v>
      </c>
      <c r="P217">
        <f>FlipkartSales[[#This Row],[Price (INR)]]*FlipkartSales[[#This Row],[Quantity Sold]]</f>
        <v>109936.04999999999</v>
      </c>
      <c r="Q217">
        <f>FlipkartSales[[#This Row],[Total Sales (INR)]]-FlipkartSales[[#This Row],[Calculated Sales]]</f>
        <v>0</v>
      </c>
      <c r="R217" s="9">
        <f t="shared" si="24"/>
        <v>0.2</v>
      </c>
      <c r="S217">
        <f t="shared" si="25"/>
        <v>36645.35</v>
      </c>
      <c r="T217">
        <f t="shared" si="26"/>
        <v>7329.0700000000006</v>
      </c>
      <c r="U217">
        <f t="shared" si="27"/>
        <v>12</v>
      </c>
      <c r="V217" t="str">
        <f t="shared" si="28"/>
        <v>Q4</v>
      </c>
      <c r="W217" t="str">
        <f t="shared" si="29"/>
        <v>Dec-2024</v>
      </c>
      <c r="X217">
        <f t="shared" si="30"/>
        <v>32980.815000000002</v>
      </c>
      <c r="Y217" s="5">
        <f t="shared" si="31"/>
        <v>76955.235000000001</v>
      </c>
      <c r="Z217" s="21">
        <f>DATE(K217,MATCH(J217,{"January","February","March","April","May","June","July","August","September","October","November","December"},0),1)</f>
        <v>45627</v>
      </c>
    </row>
    <row r="218" spans="1:26" x14ac:dyDescent="0.3">
      <c r="A218" s="4" t="s">
        <v>286</v>
      </c>
      <c r="B218" s="4" t="s">
        <v>23</v>
      </c>
      <c r="C218" s="4" t="s">
        <v>24</v>
      </c>
      <c r="D218" s="5">
        <v>25668.959999999999</v>
      </c>
      <c r="E218" s="6">
        <v>3</v>
      </c>
      <c r="F218" s="5">
        <v>77006.880000000005</v>
      </c>
      <c r="G218" s="1">
        <v>45451</v>
      </c>
      <c r="H218" t="s">
        <v>18</v>
      </c>
      <c r="I218">
        <v>4.8</v>
      </c>
      <c r="J218" t="s">
        <v>67</v>
      </c>
      <c r="K218">
        <v>2024</v>
      </c>
      <c r="L218">
        <v>15401.376000000002</v>
      </c>
      <c r="M218">
        <v>24</v>
      </c>
      <c r="N218" t="s">
        <v>27</v>
      </c>
      <c r="O218" t="s">
        <v>33</v>
      </c>
      <c r="P218">
        <f>FlipkartSales[[#This Row],[Price (INR)]]*FlipkartSales[[#This Row],[Quantity Sold]]</f>
        <v>77006.880000000005</v>
      </c>
      <c r="Q218">
        <f>FlipkartSales[[#This Row],[Total Sales (INR)]]-FlipkartSales[[#This Row],[Calculated Sales]]</f>
        <v>0</v>
      </c>
      <c r="R218" s="9">
        <f t="shared" si="24"/>
        <v>0.2</v>
      </c>
      <c r="S218">
        <f t="shared" si="25"/>
        <v>25668.960000000003</v>
      </c>
      <c r="T218">
        <f t="shared" si="26"/>
        <v>5133.7920000000004</v>
      </c>
      <c r="U218">
        <f t="shared" si="27"/>
        <v>6</v>
      </c>
      <c r="V218" t="str">
        <f t="shared" si="28"/>
        <v>Q2</v>
      </c>
      <c r="W218" t="str">
        <f t="shared" si="29"/>
        <v>Jun-2024</v>
      </c>
      <c r="X218">
        <f t="shared" si="30"/>
        <v>18481.6512</v>
      </c>
      <c r="Y218" s="5">
        <f t="shared" si="31"/>
        <v>58525.228800000004</v>
      </c>
      <c r="Z218" s="21">
        <f>DATE(K218,MATCH(J218,{"January","February","March","April","May","June","July","August","September","October","November","December"},0),1)</f>
        <v>45444</v>
      </c>
    </row>
    <row r="219" spans="1:26" x14ac:dyDescent="0.3">
      <c r="A219" s="4" t="s">
        <v>287</v>
      </c>
      <c r="B219" s="4" t="s">
        <v>176</v>
      </c>
      <c r="C219" s="4" t="s">
        <v>24</v>
      </c>
      <c r="D219" s="5">
        <v>44241.68</v>
      </c>
      <c r="E219" s="6">
        <v>4</v>
      </c>
      <c r="F219" s="5">
        <v>176966.72</v>
      </c>
      <c r="G219" s="1">
        <v>45553</v>
      </c>
      <c r="H219" t="s">
        <v>64</v>
      </c>
      <c r="I219">
        <v>1.4</v>
      </c>
      <c r="J219" t="s">
        <v>19</v>
      </c>
      <c r="K219">
        <v>2024</v>
      </c>
      <c r="L219">
        <v>35393.344000000005</v>
      </c>
      <c r="M219">
        <v>16</v>
      </c>
      <c r="N219" t="s">
        <v>41</v>
      </c>
      <c r="O219" t="s">
        <v>21</v>
      </c>
      <c r="P219">
        <f>FlipkartSales[[#This Row],[Price (INR)]]*FlipkartSales[[#This Row],[Quantity Sold]]</f>
        <v>176966.72</v>
      </c>
      <c r="Q219">
        <f>FlipkartSales[[#This Row],[Total Sales (INR)]]-FlipkartSales[[#This Row],[Calculated Sales]]</f>
        <v>0</v>
      </c>
      <c r="R219" s="9">
        <f t="shared" si="24"/>
        <v>0.2</v>
      </c>
      <c r="S219">
        <f t="shared" si="25"/>
        <v>44241.68</v>
      </c>
      <c r="T219">
        <f t="shared" si="26"/>
        <v>8848.3360000000011</v>
      </c>
      <c r="U219">
        <f t="shared" si="27"/>
        <v>9</v>
      </c>
      <c r="V219" t="str">
        <f t="shared" si="28"/>
        <v>Q3</v>
      </c>
      <c r="W219" t="str">
        <f t="shared" si="29"/>
        <v>Sep-2024</v>
      </c>
      <c r="X219">
        <f t="shared" si="30"/>
        <v>28314.675200000001</v>
      </c>
      <c r="Y219" s="5">
        <f t="shared" si="31"/>
        <v>148652.0448</v>
      </c>
      <c r="Z219" s="21">
        <f>DATE(K219,MATCH(J219,{"January","February","March","April","May","June","July","August","September","October","November","December"},0),1)</f>
        <v>45536</v>
      </c>
    </row>
    <row r="220" spans="1:26" x14ac:dyDescent="0.3">
      <c r="A220" s="4" t="s">
        <v>288</v>
      </c>
      <c r="B220" s="4" t="s">
        <v>107</v>
      </c>
      <c r="C220" s="4" t="s">
        <v>36</v>
      </c>
      <c r="D220" s="5">
        <v>39749.19</v>
      </c>
      <c r="E220" s="6">
        <v>1</v>
      </c>
      <c r="F220" s="5">
        <v>39749.19</v>
      </c>
      <c r="G220" s="1">
        <v>45492</v>
      </c>
      <c r="H220" t="s">
        <v>64</v>
      </c>
      <c r="I220">
        <v>3.5</v>
      </c>
      <c r="J220" t="s">
        <v>48</v>
      </c>
      <c r="K220">
        <v>2024</v>
      </c>
      <c r="L220">
        <v>7949.8380000000006</v>
      </c>
      <c r="M220">
        <v>11</v>
      </c>
      <c r="N220" t="s">
        <v>20</v>
      </c>
      <c r="O220" t="s">
        <v>33</v>
      </c>
      <c r="P220">
        <f>FlipkartSales[[#This Row],[Price (INR)]]*FlipkartSales[[#This Row],[Quantity Sold]]</f>
        <v>39749.19</v>
      </c>
      <c r="Q220">
        <f>FlipkartSales[[#This Row],[Total Sales (INR)]]-FlipkartSales[[#This Row],[Calculated Sales]]</f>
        <v>0</v>
      </c>
      <c r="R220" s="9">
        <f t="shared" si="24"/>
        <v>0.2</v>
      </c>
      <c r="S220">
        <f t="shared" si="25"/>
        <v>39749.19</v>
      </c>
      <c r="T220">
        <f t="shared" si="26"/>
        <v>7949.8380000000006</v>
      </c>
      <c r="U220">
        <f t="shared" si="27"/>
        <v>7</v>
      </c>
      <c r="V220" t="str">
        <f t="shared" si="28"/>
        <v>Q3</v>
      </c>
      <c r="W220" t="str">
        <f t="shared" si="29"/>
        <v>Jul-2024</v>
      </c>
      <c r="X220">
        <f t="shared" si="30"/>
        <v>4372.4108999999999</v>
      </c>
      <c r="Y220" s="5">
        <f t="shared" si="31"/>
        <v>35376.7791</v>
      </c>
      <c r="Z220" s="21">
        <f>DATE(K220,MATCH(J220,{"January","February","March","April","May","June","July","August","September","October","November","December"},0),1)</f>
        <v>45474</v>
      </c>
    </row>
    <row r="221" spans="1:26" x14ac:dyDescent="0.3">
      <c r="A221" s="4" t="s">
        <v>289</v>
      </c>
      <c r="B221" s="4" t="s">
        <v>55</v>
      </c>
      <c r="C221" s="4" t="s">
        <v>36</v>
      </c>
      <c r="D221" s="5">
        <v>37578.46</v>
      </c>
      <c r="E221" s="6">
        <v>2</v>
      </c>
      <c r="F221" s="5">
        <v>75156.92</v>
      </c>
      <c r="G221" s="1">
        <v>45451</v>
      </c>
      <c r="H221" t="s">
        <v>80</v>
      </c>
      <c r="I221">
        <v>4.4000000000000004</v>
      </c>
      <c r="J221" t="s">
        <v>67</v>
      </c>
      <c r="K221">
        <v>2024</v>
      </c>
      <c r="L221">
        <v>15031.384</v>
      </c>
      <c r="M221">
        <v>6</v>
      </c>
      <c r="N221" t="s">
        <v>20</v>
      </c>
      <c r="O221" t="s">
        <v>28</v>
      </c>
      <c r="P221">
        <f>FlipkartSales[[#This Row],[Price (INR)]]*FlipkartSales[[#This Row],[Quantity Sold]]</f>
        <v>75156.92</v>
      </c>
      <c r="Q221">
        <f>FlipkartSales[[#This Row],[Total Sales (INR)]]-FlipkartSales[[#This Row],[Calculated Sales]]</f>
        <v>0</v>
      </c>
      <c r="R221" s="9">
        <f t="shared" si="24"/>
        <v>0.2</v>
      </c>
      <c r="S221">
        <f t="shared" si="25"/>
        <v>37578.46</v>
      </c>
      <c r="T221">
        <f t="shared" si="26"/>
        <v>7515.692</v>
      </c>
      <c r="U221">
        <f t="shared" si="27"/>
        <v>6</v>
      </c>
      <c r="V221" t="str">
        <f t="shared" si="28"/>
        <v>Q2</v>
      </c>
      <c r="W221" t="str">
        <f t="shared" si="29"/>
        <v>Jun-2024</v>
      </c>
      <c r="X221">
        <f t="shared" si="30"/>
        <v>4509.4152000000004</v>
      </c>
      <c r="Y221" s="5">
        <f t="shared" si="31"/>
        <v>70647.504799999995</v>
      </c>
      <c r="Z221" s="21">
        <f>DATE(K221,MATCH(J221,{"January","February","March","April","May","June","July","August","September","October","November","December"},0),1)</f>
        <v>45444</v>
      </c>
    </row>
    <row r="222" spans="1:26" x14ac:dyDescent="0.3">
      <c r="A222" s="4" t="s">
        <v>290</v>
      </c>
      <c r="B222" s="4" t="s">
        <v>66</v>
      </c>
      <c r="C222" s="4" t="s">
        <v>36</v>
      </c>
      <c r="D222" s="5">
        <v>37203.65</v>
      </c>
      <c r="E222" s="6">
        <v>4</v>
      </c>
      <c r="F222" s="5">
        <v>148814.6</v>
      </c>
      <c r="G222" s="1">
        <v>45426</v>
      </c>
      <c r="H222" t="s">
        <v>44</v>
      </c>
      <c r="I222">
        <v>3.5</v>
      </c>
      <c r="J222" t="s">
        <v>32</v>
      </c>
      <c r="K222">
        <v>2024</v>
      </c>
      <c r="L222">
        <v>29762.920000000002</v>
      </c>
      <c r="M222">
        <v>7</v>
      </c>
      <c r="N222" t="s">
        <v>41</v>
      </c>
      <c r="O222" t="s">
        <v>33</v>
      </c>
      <c r="P222">
        <f>FlipkartSales[[#This Row],[Price (INR)]]*FlipkartSales[[#This Row],[Quantity Sold]]</f>
        <v>148814.6</v>
      </c>
      <c r="Q222">
        <f>FlipkartSales[[#This Row],[Total Sales (INR)]]-FlipkartSales[[#This Row],[Calculated Sales]]</f>
        <v>0</v>
      </c>
      <c r="R222" s="9">
        <f t="shared" si="24"/>
        <v>0.2</v>
      </c>
      <c r="S222">
        <f t="shared" si="25"/>
        <v>37203.65</v>
      </c>
      <c r="T222">
        <f t="shared" si="26"/>
        <v>7440.7300000000005</v>
      </c>
      <c r="U222">
        <f t="shared" si="27"/>
        <v>5</v>
      </c>
      <c r="V222" t="str">
        <f t="shared" si="28"/>
        <v>Q2</v>
      </c>
      <c r="W222" t="str">
        <f t="shared" si="29"/>
        <v>May-2024</v>
      </c>
      <c r="X222">
        <f t="shared" si="30"/>
        <v>10417.022000000001</v>
      </c>
      <c r="Y222" s="5">
        <f t="shared" si="31"/>
        <v>138397.57800000001</v>
      </c>
      <c r="Z222" s="21">
        <f>DATE(K222,MATCH(J222,{"January","February","March","April","May","June","July","August","September","October","November","December"},0),1)</f>
        <v>45413</v>
      </c>
    </row>
    <row r="223" spans="1:26" x14ac:dyDescent="0.3">
      <c r="A223" s="4" t="s">
        <v>291</v>
      </c>
      <c r="B223" s="4" t="s">
        <v>125</v>
      </c>
      <c r="C223" s="4" t="s">
        <v>17</v>
      </c>
      <c r="D223" s="5">
        <v>22851.63</v>
      </c>
      <c r="E223" s="6">
        <v>1</v>
      </c>
      <c r="F223" s="5">
        <v>22851.63</v>
      </c>
      <c r="G223" s="1">
        <v>45426</v>
      </c>
      <c r="H223" t="s">
        <v>44</v>
      </c>
      <c r="I223">
        <v>1</v>
      </c>
      <c r="J223" t="s">
        <v>32</v>
      </c>
      <c r="K223">
        <v>2024</v>
      </c>
      <c r="L223">
        <v>4570.326</v>
      </c>
      <c r="M223">
        <v>21</v>
      </c>
      <c r="N223" t="s">
        <v>20</v>
      </c>
      <c r="O223" t="s">
        <v>21</v>
      </c>
      <c r="P223">
        <f>FlipkartSales[[#This Row],[Price (INR)]]*FlipkartSales[[#This Row],[Quantity Sold]]</f>
        <v>22851.63</v>
      </c>
      <c r="Q223">
        <f>FlipkartSales[[#This Row],[Total Sales (INR)]]-FlipkartSales[[#This Row],[Calculated Sales]]</f>
        <v>0</v>
      </c>
      <c r="R223" s="9">
        <f t="shared" si="24"/>
        <v>0.19999999999999998</v>
      </c>
      <c r="S223">
        <f t="shared" si="25"/>
        <v>22851.63</v>
      </c>
      <c r="T223">
        <f t="shared" si="26"/>
        <v>4570.326</v>
      </c>
      <c r="U223">
        <f t="shared" si="27"/>
        <v>5</v>
      </c>
      <c r="V223" t="str">
        <f t="shared" si="28"/>
        <v>Q2</v>
      </c>
      <c r="W223" t="str">
        <f t="shared" si="29"/>
        <v>May-2024</v>
      </c>
      <c r="X223">
        <f t="shared" si="30"/>
        <v>4798.8423000000003</v>
      </c>
      <c r="Y223" s="5">
        <f t="shared" si="31"/>
        <v>18052.787700000001</v>
      </c>
      <c r="Z223" s="21">
        <f>DATE(K223,MATCH(J223,{"January","February","March","April","May","June","July","August","September","October","November","December"},0),1)</f>
        <v>45413</v>
      </c>
    </row>
    <row r="224" spans="1:26" x14ac:dyDescent="0.3">
      <c r="A224" s="4" t="s">
        <v>292</v>
      </c>
      <c r="B224" s="4" t="s">
        <v>94</v>
      </c>
      <c r="C224" s="4" t="s">
        <v>31</v>
      </c>
      <c r="D224" s="5">
        <v>27627.84</v>
      </c>
      <c r="E224" s="6">
        <v>4</v>
      </c>
      <c r="F224" s="5">
        <v>110511.36</v>
      </c>
      <c r="G224" s="1">
        <v>45381</v>
      </c>
      <c r="H224" t="s">
        <v>25</v>
      </c>
      <c r="I224">
        <v>1.8</v>
      </c>
      <c r="J224" t="s">
        <v>56</v>
      </c>
      <c r="K224">
        <v>2024</v>
      </c>
      <c r="L224">
        <v>22102.272000000001</v>
      </c>
      <c r="M224">
        <v>9</v>
      </c>
      <c r="N224" t="s">
        <v>41</v>
      </c>
      <c r="O224" t="s">
        <v>33</v>
      </c>
      <c r="P224">
        <f>FlipkartSales[[#This Row],[Price (INR)]]*FlipkartSales[[#This Row],[Quantity Sold]]</f>
        <v>110511.36</v>
      </c>
      <c r="Q224">
        <f>FlipkartSales[[#This Row],[Total Sales (INR)]]-FlipkartSales[[#This Row],[Calculated Sales]]</f>
        <v>0</v>
      </c>
      <c r="R224" s="9">
        <f t="shared" si="24"/>
        <v>0.2</v>
      </c>
      <c r="S224">
        <f t="shared" si="25"/>
        <v>27627.84</v>
      </c>
      <c r="T224">
        <f t="shared" si="26"/>
        <v>5525.5680000000002</v>
      </c>
      <c r="U224">
        <f t="shared" si="27"/>
        <v>3</v>
      </c>
      <c r="V224" t="str">
        <f t="shared" si="28"/>
        <v>Q1</v>
      </c>
      <c r="W224" t="str">
        <f t="shared" si="29"/>
        <v>Mar-2024</v>
      </c>
      <c r="X224">
        <f t="shared" si="30"/>
        <v>9946.0223999999998</v>
      </c>
      <c r="Y224" s="5">
        <f t="shared" si="31"/>
        <v>100565.3376</v>
      </c>
      <c r="Z224" s="21">
        <f>DATE(K224,MATCH(J224,{"January","February","March","April","May","June","July","August","September","October","November","December"},0),1)</f>
        <v>45352</v>
      </c>
    </row>
    <row r="225" spans="1:26" x14ac:dyDescent="0.3">
      <c r="A225" s="4" t="s">
        <v>293</v>
      </c>
      <c r="B225" s="4" t="s">
        <v>125</v>
      </c>
      <c r="C225" s="4" t="s">
        <v>17</v>
      </c>
      <c r="D225" s="5">
        <v>31333.95</v>
      </c>
      <c r="E225" s="6">
        <v>3</v>
      </c>
      <c r="F225" s="5">
        <v>94001.85</v>
      </c>
      <c r="G225" s="1">
        <v>45525</v>
      </c>
      <c r="H225" t="s">
        <v>18</v>
      </c>
      <c r="I225">
        <v>1.7</v>
      </c>
      <c r="J225" t="s">
        <v>88</v>
      </c>
      <c r="K225">
        <v>2024</v>
      </c>
      <c r="L225">
        <v>18800.370000000003</v>
      </c>
      <c r="M225">
        <v>21</v>
      </c>
      <c r="N225" t="s">
        <v>41</v>
      </c>
      <c r="O225" t="s">
        <v>28</v>
      </c>
      <c r="P225">
        <f>FlipkartSales[[#This Row],[Price (INR)]]*FlipkartSales[[#This Row],[Quantity Sold]]</f>
        <v>94001.85</v>
      </c>
      <c r="Q225">
        <f>FlipkartSales[[#This Row],[Total Sales (INR)]]-FlipkartSales[[#This Row],[Calculated Sales]]</f>
        <v>0</v>
      </c>
      <c r="R225" s="9">
        <f t="shared" si="24"/>
        <v>0.2</v>
      </c>
      <c r="S225">
        <f t="shared" si="25"/>
        <v>31333.95</v>
      </c>
      <c r="T225">
        <f t="shared" si="26"/>
        <v>6266.7900000000009</v>
      </c>
      <c r="U225">
        <f t="shared" si="27"/>
        <v>8</v>
      </c>
      <c r="V225" t="str">
        <f t="shared" si="28"/>
        <v>Q3</v>
      </c>
      <c r="W225" t="str">
        <f t="shared" si="29"/>
        <v>Aug-2024</v>
      </c>
      <c r="X225">
        <f t="shared" si="30"/>
        <v>19740.388500000001</v>
      </c>
      <c r="Y225" s="5">
        <f t="shared" si="31"/>
        <v>74261.461500000005</v>
      </c>
      <c r="Z225" s="21">
        <f>DATE(K225,MATCH(J225,{"January","February","March","April","May","June","July","August","September","October","November","December"},0),1)</f>
        <v>45505</v>
      </c>
    </row>
    <row r="226" spans="1:26" x14ac:dyDescent="0.3">
      <c r="A226" s="4" t="s">
        <v>294</v>
      </c>
      <c r="B226" s="4" t="s">
        <v>84</v>
      </c>
      <c r="C226" s="4" t="s">
        <v>40</v>
      </c>
      <c r="D226" s="5">
        <v>30911.439999999999</v>
      </c>
      <c r="E226" s="6">
        <v>5</v>
      </c>
      <c r="F226" s="5">
        <v>154557.20000000001</v>
      </c>
      <c r="G226" s="1">
        <v>45388</v>
      </c>
      <c r="H226" t="s">
        <v>18</v>
      </c>
      <c r="I226">
        <v>3</v>
      </c>
      <c r="J226" t="s">
        <v>62</v>
      </c>
      <c r="K226">
        <v>2024</v>
      </c>
      <c r="L226">
        <v>30911.440000000002</v>
      </c>
      <c r="M226">
        <v>28</v>
      </c>
      <c r="N226" t="s">
        <v>41</v>
      </c>
      <c r="O226" t="s">
        <v>28</v>
      </c>
      <c r="P226">
        <f>FlipkartSales[[#This Row],[Price (INR)]]*FlipkartSales[[#This Row],[Quantity Sold]]</f>
        <v>154557.19999999998</v>
      </c>
      <c r="Q226">
        <f>FlipkartSales[[#This Row],[Total Sales (INR)]]-FlipkartSales[[#This Row],[Calculated Sales]]</f>
        <v>0</v>
      </c>
      <c r="R226" s="9">
        <f t="shared" si="24"/>
        <v>0.2</v>
      </c>
      <c r="S226">
        <f t="shared" si="25"/>
        <v>30911.440000000002</v>
      </c>
      <c r="T226">
        <f t="shared" si="26"/>
        <v>6182.2880000000005</v>
      </c>
      <c r="U226">
        <f t="shared" si="27"/>
        <v>4</v>
      </c>
      <c r="V226" t="str">
        <f t="shared" si="28"/>
        <v>Q2</v>
      </c>
      <c r="W226" t="str">
        <f t="shared" si="29"/>
        <v>Apr-2024</v>
      </c>
      <c r="X226">
        <f t="shared" si="30"/>
        <v>43276.016000000003</v>
      </c>
      <c r="Y226" s="5">
        <f t="shared" si="31"/>
        <v>111281.18400000001</v>
      </c>
      <c r="Z226" s="21">
        <f>DATE(K226,MATCH(J226,{"January","February","March","April","May","June","July","August","September","October","November","December"},0),1)</f>
        <v>45383</v>
      </c>
    </row>
    <row r="227" spans="1:26" x14ac:dyDescent="0.3">
      <c r="A227" s="4" t="s">
        <v>295</v>
      </c>
      <c r="B227" s="4" t="s">
        <v>96</v>
      </c>
      <c r="C227" s="4" t="s">
        <v>36</v>
      </c>
      <c r="D227" s="5">
        <v>11518.23</v>
      </c>
      <c r="E227" s="6">
        <v>1</v>
      </c>
      <c r="F227" s="5">
        <v>11518.23</v>
      </c>
      <c r="G227" s="1">
        <v>45687</v>
      </c>
      <c r="H227" t="s">
        <v>18</v>
      </c>
      <c r="I227">
        <v>4.4000000000000004</v>
      </c>
      <c r="J227" t="s">
        <v>53</v>
      </c>
      <c r="K227">
        <v>2025</v>
      </c>
      <c r="L227">
        <v>2303.6460000000002</v>
      </c>
      <c r="M227">
        <v>21</v>
      </c>
      <c r="N227" t="s">
        <v>20</v>
      </c>
      <c r="O227" t="s">
        <v>28</v>
      </c>
      <c r="P227">
        <f>FlipkartSales[[#This Row],[Price (INR)]]*FlipkartSales[[#This Row],[Quantity Sold]]</f>
        <v>11518.23</v>
      </c>
      <c r="Q227">
        <f>FlipkartSales[[#This Row],[Total Sales (INR)]]-FlipkartSales[[#This Row],[Calculated Sales]]</f>
        <v>0</v>
      </c>
      <c r="R227" s="9">
        <f t="shared" si="24"/>
        <v>0.2</v>
      </c>
      <c r="S227">
        <f t="shared" si="25"/>
        <v>11518.23</v>
      </c>
      <c r="T227">
        <f t="shared" si="26"/>
        <v>2303.6460000000002</v>
      </c>
      <c r="U227">
        <f t="shared" si="27"/>
        <v>1</v>
      </c>
      <c r="V227" t="str">
        <f t="shared" si="28"/>
        <v>Q1</v>
      </c>
      <c r="W227" t="str">
        <f t="shared" si="29"/>
        <v>Jan-2025</v>
      </c>
      <c r="X227">
        <f t="shared" si="30"/>
        <v>2418.8282999999997</v>
      </c>
      <c r="Y227" s="5">
        <f t="shared" si="31"/>
        <v>9099.4017000000003</v>
      </c>
      <c r="Z227" s="21">
        <f>DATE(K227,MATCH(J227,{"January","February","March","April","May","June","July","August","September","October","November","December"},0),1)</f>
        <v>45658</v>
      </c>
    </row>
    <row r="228" spans="1:26" x14ac:dyDescent="0.3">
      <c r="A228" s="4" t="s">
        <v>296</v>
      </c>
      <c r="B228" s="4" t="s">
        <v>23</v>
      </c>
      <c r="C228" s="4" t="s">
        <v>24</v>
      </c>
      <c r="D228" s="5">
        <v>43304.55</v>
      </c>
      <c r="E228" s="6">
        <v>5</v>
      </c>
      <c r="F228" s="5">
        <v>216522.75</v>
      </c>
      <c r="G228" s="1">
        <v>45654</v>
      </c>
      <c r="H228" t="s">
        <v>25</v>
      </c>
      <c r="I228">
        <v>2.6</v>
      </c>
      <c r="J228" t="s">
        <v>26</v>
      </c>
      <c r="K228">
        <v>2024</v>
      </c>
      <c r="L228">
        <v>43304.55</v>
      </c>
      <c r="M228">
        <v>21</v>
      </c>
      <c r="N228" t="s">
        <v>41</v>
      </c>
      <c r="O228" t="s">
        <v>21</v>
      </c>
      <c r="P228">
        <f>FlipkartSales[[#This Row],[Price (INR)]]*FlipkartSales[[#This Row],[Quantity Sold]]</f>
        <v>216522.75</v>
      </c>
      <c r="Q228">
        <f>FlipkartSales[[#This Row],[Total Sales (INR)]]-FlipkartSales[[#This Row],[Calculated Sales]]</f>
        <v>0</v>
      </c>
      <c r="R228" s="9">
        <f t="shared" si="24"/>
        <v>0.2</v>
      </c>
      <c r="S228">
        <f t="shared" si="25"/>
        <v>43304.55</v>
      </c>
      <c r="T228">
        <f t="shared" si="26"/>
        <v>8660.91</v>
      </c>
      <c r="U228">
        <f t="shared" si="27"/>
        <v>12</v>
      </c>
      <c r="V228" t="str">
        <f t="shared" si="28"/>
        <v>Q4</v>
      </c>
      <c r="W228" t="str">
        <f t="shared" si="29"/>
        <v>Dec-2024</v>
      </c>
      <c r="X228">
        <f t="shared" si="30"/>
        <v>45469.777499999997</v>
      </c>
      <c r="Y228" s="5">
        <f t="shared" si="31"/>
        <v>171052.9725</v>
      </c>
      <c r="Z228" s="21">
        <f>DATE(K228,MATCH(J228,{"January","February","March","April","May","June","July","August","September","October","November","December"},0),1)</f>
        <v>45627</v>
      </c>
    </row>
    <row r="229" spans="1:26" x14ac:dyDescent="0.3">
      <c r="A229" s="4" t="s">
        <v>297</v>
      </c>
      <c r="B229" s="4" t="s">
        <v>125</v>
      </c>
      <c r="C229" s="4" t="s">
        <v>17</v>
      </c>
      <c r="D229" s="5">
        <v>3710.07</v>
      </c>
      <c r="E229" s="6">
        <v>3</v>
      </c>
      <c r="F229" s="5">
        <v>11130.21</v>
      </c>
      <c r="G229" s="1">
        <v>45342</v>
      </c>
      <c r="H229" t="s">
        <v>71</v>
      </c>
      <c r="I229">
        <v>4.2</v>
      </c>
      <c r="J229" t="s">
        <v>59</v>
      </c>
      <c r="K229">
        <v>2024</v>
      </c>
      <c r="L229">
        <v>2226.0419999999999</v>
      </c>
      <c r="M229">
        <v>6</v>
      </c>
      <c r="N229" t="s">
        <v>27</v>
      </c>
      <c r="O229" t="s">
        <v>21</v>
      </c>
      <c r="P229">
        <f>FlipkartSales[[#This Row],[Price (INR)]]*FlipkartSales[[#This Row],[Quantity Sold]]</f>
        <v>11130.210000000001</v>
      </c>
      <c r="Q229">
        <f>FlipkartSales[[#This Row],[Total Sales (INR)]]-FlipkartSales[[#This Row],[Calculated Sales]]</f>
        <v>0</v>
      </c>
      <c r="R229" s="9">
        <f t="shared" si="24"/>
        <v>0.2</v>
      </c>
      <c r="S229">
        <f t="shared" si="25"/>
        <v>3710.0699999999997</v>
      </c>
      <c r="T229">
        <f t="shared" si="26"/>
        <v>742.01400000000001</v>
      </c>
      <c r="U229">
        <f t="shared" si="27"/>
        <v>2</v>
      </c>
      <c r="V229" t="str">
        <f t="shared" si="28"/>
        <v>Q1</v>
      </c>
      <c r="W229" t="str">
        <f t="shared" si="29"/>
        <v>Feb-2024</v>
      </c>
      <c r="X229">
        <f t="shared" si="30"/>
        <v>667.81259999999997</v>
      </c>
      <c r="Y229" s="5">
        <f t="shared" si="31"/>
        <v>10462.3974</v>
      </c>
      <c r="Z229" s="21">
        <f>DATE(K229,MATCH(J229,{"January","February","March","April","May","June","July","August","September","October","November","December"},0),1)</f>
        <v>45323</v>
      </c>
    </row>
    <row r="230" spans="1:26" x14ac:dyDescent="0.3">
      <c r="A230" s="4" t="s">
        <v>298</v>
      </c>
      <c r="B230" s="4" t="s">
        <v>58</v>
      </c>
      <c r="C230" s="4" t="s">
        <v>31</v>
      </c>
      <c r="D230" s="5">
        <v>34621.21</v>
      </c>
      <c r="E230" s="6">
        <v>2</v>
      </c>
      <c r="F230" s="5">
        <v>69242.42</v>
      </c>
      <c r="G230" s="1">
        <v>45663</v>
      </c>
      <c r="H230" t="s">
        <v>44</v>
      </c>
      <c r="I230">
        <v>1.8</v>
      </c>
      <c r="J230" t="s">
        <v>53</v>
      </c>
      <c r="K230">
        <v>2025</v>
      </c>
      <c r="L230">
        <v>13848.484</v>
      </c>
      <c r="M230">
        <v>6</v>
      </c>
      <c r="N230" t="s">
        <v>20</v>
      </c>
      <c r="O230" t="s">
        <v>68</v>
      </c>
      <c r="P230">
        <f>FlipkartSales[[#This Row],[Price (INR)]]*FlipkartSales[[#This Row],[Quantity Sold]]</f>
        <v>69242.42</v>
      </c>
      <c r="Q230">
        <f>FlipkartSales[[#This Row],[Total Sales (INR)]]-FlipkartSales[[#This Row],[Calculated Sales]]</f>
        <v>0</v>
      </c>
      <c r="R230" s="9">
        <f t="shared" si="24"/>
        <v>0.2</v>
      </c>
      <c r="S230">
        <f t="shared" si="25"/>
        <v>34621.21</v>
      </c>
      <c r="T230">
        <f t="shared" si="26"/>
        <v>6924.2420000000002</v>
      </c>
      <c r="U230">
        <f t="shared" si="27"/>
        <v>1</v>
      </c>
      <c r="V230" t="str">
        <f t="shared" si="28"/>
        <v>Q1</v>
      </c>
      <c r="W230" t="str">
        <f t="shared" si="29"/>
        <v>Jan-2025</v>
      </c>
      <c r="X230">
        <f t="shared" si="30"/>
        <v>4154.5452000000005</v>
      </c>
      <c r="Y230" s="5">
        <f t="shared" si="31"/>
        <v>65087.874799999998</v>
      </c>
      <c r="Z230" s="21">
        <f>DATE(K230,MATCH(J230,{"January","February","March","April","May","June","July","August","September","October","November","December"},0),1)</f>
        <v>45658</v>
      </c>
    </row>
    <row r="231" spans="1:26" x14ac:dyDescent="0.3">
      <c r="A231" s="4" t="s">
        <v>299</v>
      </c>
      <c r="B231" s="4" t="s">
        <v>107</v>
      </c>
      <c r="C231" s="4" t="s">
        <v>36</v>
      </c>
      <c r="D231" s="5">
        <v>41742.29</v>
      </c>
      <c r="E231" s="6">
        <v>5</v>
      </c>
      <c r="F231" s="5">
        <v>208711.45</v>
      </c>
      <c r="G231" s="1">
        <v>45488</v>
      </c>
      <c r="H231" t="s">
        <v>64</v>
      </c>
      <c r="I231">
        <v>2.6</v>
      </c>
      <c r="J231" t="s">
        <v>48</v>
      </c>
      <c r="K231">
        <v>2024</v>
      </c>
      <c r="L231">
        <v>41742.290000000008</v>
      </c>
      <c r="M231">
        <v>26</v>
      </c>
      <c r="N231" t="s">
        <v>20</v>
      </c>
      <c r="O231" t="s">
        <v>21</v>
      </c>
      <c r="P231">
        <f>FlipkartSales[[#This Row],[Price (INR)]]*FlipkartSales[[#This Row],[Quantity Sold]]</f>
        <v>208711.45</v>
      </c>
      <c r="Q231">
        <f>FlipkartSales[[#This Row],[Total Sales (INR)]]-FlipkartSales[[#This Row],[Calculated Sales]]</f>
        <v>0</v>
      </c>
      <c r="R231" s="9">
        <f t="shared" si="24"/>
        <v>0.20000000000000004</v>
      </c>
      <c r="S231">
        <f t="shared" si="25"/>
        <v>41742.29</v>
      </c>
      <c r="T231">
        <f t="shared" si="26"/>
        <v>8348.4580000000024</v>
      </c>
      <c r="U231">
        <f t="shared" si="27"/>
        <v>7</v>
      </c>
      <c r="V231" t="str">
        <f t="shared" si="28"/>
        <v>Q3</v>
      </c>
      <c r="W231" t="str">
        <f t="shared" si="29"/>
        <v>Jul-2024</v>
      </c>
      <c r="X231">
        <f t="shared" si="30"/>
        <v>54264.976999999999</v>
      </c>
      <c r="Y231" s="5">
        <f t="shared" si="31"/>
        <v>154446.473</v>
      </c>
      <c r="Z231" s="21">
        <f>DATE(K231,MATCH(J231,{"January","February","March","April","May","June","July","August","September","October","November","December"},0),1)</f>
        <v>45474</v>
      </c>
    </row>
    <row r="232" spans="1:26" x14ac:dyDescent="0.3">
      <c r="A232" s="4" t="s">
        <v>300</v>
      </c>
      <c r="B232" s="4" t="s">
        <v>84</v>
      </c>
      <c r="C232" s="4" t="s">
        <v>40</v>
      </c>
      <c r="D232" s="5">
        <v>46858.63</v>
      </c>
      <c r="E232" s="6">
        <v>1</v>
      </c>
      <c r="F232" s="5">
        <v>46858.63</v>
      </c>
      <c r="G232" s="1">
        <v>45598</v>
      </c>
      <c r="H232" t="s">
        <v>18</v>
      </c>
      <c r="I232">
        <v>3.5</v>
      </c>
      <c r="J232" t="s">
        <v>37</v>
      </c>
      <c r="K232">
        <v>2024</v>
      </c>
      <c r="L232">
        <v>9371.7260000000006</v>
      </c>
      <c r="M232">
        <v>27</v>
      </c>
      <c r="N232" t="s">
        <v>20</v>
      </c>
      <c r="O232" t="s">
        <v>28</v>
      </c>
      <c r="P232">
        <f>FlipkartSales[[#This Row],[Price (INR)]]*FlipkartSales[[#This Row],[Quantity Sold]]</f>
        <v>46858.63</v>
      </c>
      <c r="Q232">
        <f>FlipkartSales[[#This Row],[Total Sales (INR)]]-FlipkartSales[[#This Row],[Calculated Sales]]</f>
        <v>0</v>
      </c>
      <c r="R232" s="9">
        <f t="shared" si="24"/>
        <v>0.2</v>
      </c>
      <c r="S232">
        <f t="shared" si="25"/>
        <v>46858.63</v>
      </c>
      <c r="T232">
        <f t="shared" si="26"/>
        <v>9371.7260000000006</v>
      </c>
      <c r="U232">
        <f t="shared" si="27"/>
        <v>11</v>
      </c>
      <c r="V232" t="str">
        <f t="shared" si="28"/>
        <v>Q4</v>
      </c>
      <c r="W232" t="str">
        <f t="shared" si="29"/>
        <v>Nov-2024</v>
      </c>
      <c r="X232">
        <f t="shared" si="30"/>
        <v>12651.830099999999</v>
      </c>
      <c r="Y232" s="5">
        <f t="shared" si="31"/>
        <v>34206.799899999998</v>
      </c>
      <c r="Z232" s="21">
        <f>DATE(K232,MATCH(J232,{"January","February","March","April","May","June","July","August","September","October","November","December"},0),1)</f>
        <v>45597</v>
      </c>
    </row>
    <row r="233" spans="1:26" x14ac:dyDescent="0.3">
      <c r="A233" s="4" t="s">
        <v>301</v>
      </c>
      <c r="B233" s="4" t="s">
        <v>35</v>
      </c>
      <c r="C233" s="4" t="s">
        <v>36</v>
      </c>
      <c r="D233" s="5">
        <v>5413.09</v>
      </c>
      <c r="E233" s="6">
        <v>1</v>
      </c>
      <c r="F233" s="5">
        <v>5413.09</v>
      </c>
      <c r="G233" s="1">
        <v>45432</v>
      </c>
      <c r="H233" t="s">
        <v>25</v>
      </c>
      <c r="I233">
        <v>3.4</v>
      </c>
      <c r="J233" t="s">
        <v>32</v>
      </c>
      <c r="K233">
        <v>2024</v>
      </c>
      <c r="L233">
        <v>1082.6180000000002</v>
      </c>
      <c r="M233">
        <v>9</v>
      </c>
      <c r="N233" t="s">
        <v>20</v>
      </c>
      <c r="O233" t="s">
        <v>28</v>
      </c>
      <c r="P233">
        <f>FlipkartSales[[#This Row],[Price (INR)]]*FlipkartSales[[#This Row],[Quantity Sold]]</f>
        <v>5413.09</v>
      </c>
      <c r="Q233">
        <f>FlipkartSales[[#This Row],[Total Sales (INR)]]-FlipkartSales[[#This Row],[Calculated Sales]]</f>
        <v>0</v>
      </c>
      <c r="R233" s="9">
        <f t="shared" si="24"/>
        <v>0.20000000000000004</v>
      </c>
      <c r="S233">
        <f t="shared" si="25"/>
        <v>5413.09</v>
      </c>
      <c r="T233">
        <f t="shared" si="26"/>
        <v>1082.6180000000002</v>
      </c>
      <c r="U233">
        <f t="shared" si="27"/>
        <v>5</v>
      </c>
      <c r="V233" t="str">
        <f t="shared" si="28"/>
        <v>Q2</v>
      </c>
      <c r="W233" t="str">
        <f t="shared" si="29"/>
        <v>May-2024</v>
      </c>
      <c r="X233">
        <f t="shared" si="30"/>
        <v>487.17809999999997</v>
      </c>
      <c r="Y233" s="5">
        <f t="shared" si="31"/>
        <v>4925.9119000000001</v>
      </c>
      <c r="Z233" s="21">
        <f>DATE(K233,MATCH(J233,{"January","February","March","April","May","June","July","August","September","October","November","December"},0),1)</f>
        <v>45413</v>
      </c>
    </row>
    <row r="234" spans="1:26" x14ac:dyDescent="0.3">
      <c r="A234" s="4" t="s">
        <v>302</v>
      </c>
      <c r="B234" s="4" t="s">
        <v>96</v>
      </c>
      <c r="C234" s="4" t="s">
        <v>36</v>
      </c>
      <c r="D234" s="5">
        <v>5880.45</v>
      </c>
      <c r="E234" s="6">
        <v>1</v>
      </c>
      <c r="F234" s="5">
        <v>5880.45</v>
      </c>
      <c r="G234" s="1">
        <v>45544</v>
      </c>
      <c r="H234" t="s">
        <v>80</v>
      </c>
      <c r="I234">
        <v>2</v>
      </c>
      <c r="J234" t="s">
        <v>19</v>
      </c>
      <c r="K234">
        <v>2024</v>
      </c>
      <c r="L234">
        <v>1176.0899999999999</v>
      </c>
      <c r="M234">
        <v>5</v>
      </c>
      <c r="N234" t="s">
        <v>27</v>
      </c>
      <c r="O234" t="s">
        <v>21</v>
      </c>
      <c r="P234">
        <f>FlipkartSales[[#This Row],[Price (INR)]]*FlipkartSales[[#This Row],[Quantity Sold]]</f>
        <v>5880.45</v>
      </c>
      <c r="Q234">
        <f>FlipkartSales[[#This Row],[Total Sales (INR)]]-FlipkartSales[[#This Row],[Calculated Sales]]</f>
        <v>0</v>
      </c>
      <c r="R234" s="9">
        <f t="shared" si="24"/>
        <v>0.19999999999999998</v>
      </c>
      <c r="S234">
        <f t="shared" si="25"/>
        <v>5880.45</v>
      </c>
      <c r="T234">
        <f t="shared" si="26"/>
        <v>1176.0899999999999</v>
      </c>
      <c r="U234">
        <f t="shared" si="27"/>
        <v>9</v>
      </c>
      <c r="V234" t="str">
        <f t="shared" si="28"/>
        <v>Q3</v>
      </c>
      <c r="W234" t="str">
        <f t="shared" si="29"/>
        <v>Sep-2024</v>
      </c>
      <c r="X234">
        <f t="shared" si="30"/>
        <v>294.02249999999998</v>
      </c>
      <c r="Y234" s="5">
        <f t="shared" si="31"/>
        <v>5586.4274999999998</v>
      </c>
      <c r="Z234" s="21">
        <f>DATE(K234,MATCH(J234,{"January","February","March","April","May","June","July","August","September","October","November","December"},0),1)</f>
        <v>45536</v>
      </c>
    </row>
    <row r="235" spans="1:26" x14ac:dyDescent="0.3">
      <c r="A235" s="4" t="s">
        <v>303</v>
      </c>
      <c r="B235" s="4" t="s">
        <v>70</v>
      </c>
      <c r="C235" s="4" t="s">
        <v>17</v>
      </c>
      <c r="D235" s="5">
        <v>35665.26</v>
      </c>
      <c r="E235" s="6">
        <v>3</v>
      </c>
      <c r="F235" s="5">
        <v>106995.78</v>
      </c>
      <c r="G235" s="1">
        <v>45381</v>
      </c>
      <c r="H235" t="s">
        <v>44</v>
      </c>
      <c r="I235">
        <v>1.2</v>
      </c>
      <c r="J235" t="s">
        <v>56</v>
      </c>
      <c r="K235">
        <v>2024</v>
      </c>
      <c r="L235">
        <v>21399.156000000003</v>
      </c>
      <c r="M235">
        <v>5</v>
      </c>
      <c r="N235" t="s">
        <v>20</v>
      </c>
      <c r="O235" t="s">
        <v>33</v>
      </c>
      <c r="P235">
        <f>FlipkartSales[[#This Row],[Price (INR)]]*FlipkartSales[[#This Row],[Quantity Sold]]</f>
        <v>106995.78</v>
      </c>
      <c r="Q235">
        <f>FlipkartSales[[#This Row],[Total Sales (INR)]]-FlipkartSales[[#This Row],[Calculated Sales]]</f>
        <v>0</v>
      </c>
      <c r="R235" s="9">
        <f t="shared" si="24"/>
        <v>0.20000000000000004</v>
      </c>
      <c r="S235">
        <f t="shared" si="25"/>
        <v>35665.26</v>
      </c>
      <c r="T235">
        <f t="shared" si="26"/>
        <v>7133.0520000000006</v>
      </c>
      <c r="U235">
        <f t="shared" si="27"/>
        <v>3</v>
      </c>
      <c r="V235" t="str">
        <f t="shared" si="28"/>
        <v>Q1</v>
      </c>
      <c r="W235" t="str">
        <f t="shared" si="29"/>
        <v>Mar-2024</v>
      </c>
      <c r="X235">
        <f t="shared" si="30"/>
        <v>5349.7890000000007</v>
      </c>
      <c r="Y235" s="5">
        <f t="shared" si="31"/>
        <v>101645.99099999999</v>
      </c>
      <c r="Z235" s="21">
        <f>DATE(K235,MATCH(J235,{"January","February","March","April","May","June","July","August","September","October","November","December"},0),1)</f>
        <v>45352</v>
      </c>
    </row>
    <row r="236" spans="1:26" x14ac:dyDescent="0.3">
      <c r="A236" s="4" t="s">
        <v>304</v>
      </c>
      <c r="B236" s="4" t="s">
        <v>107</v>
      </c>
      <c r="C236" s="4" t="s">
        <v>36</v>
      </c>
      <c r="D236" s="5">
        <v>42981.89</v>
      </c>
      <c r="E236" s="6">
        <v>5</v>
      </c>
      <c r="F236" s="5">
        <v>214909.45</v>
      </c>
      <c r="G236" s="1">
        <v>45659</v>
      </c>
      <c r="H236" t="s">
        <v>71</v>
      </c>
      <c r="I236">
        <v>1.8</v>
      </c>
      <c r="J236" t="s">
        <v>53</v>
      </c>
      <c r="K236">
        <v>2025</v>
      </c>
      <c r="L236">
        <v>42981.890000000007</v>
      </c>
      <c r="M236">
        <v>23</v>
      </c>
      <c r="N236" t="s">
        <v>20</v>
      </c>
      <c r="O236" t="s">
        <v>21</v>
      </c>
      <c r="P236">
        <f>FlipkartSales[[#This Row],[Price (INR)]]*FlipkartSales[[#This Row],[Quantity Sold]]</f>
        <v>214909.45</v>
      </c>
      <c r="Q236">
        <f>FlipkartSales[[#This Row],[Total Sales (INR)]]-FlipkartSales[[#This Row],[Calculated Sales]]</f>
        <v>0</v>
      </c>
      <c r="R236" s="9">
        <f t="shared" si="24"/>
        <v>0.2</v>
      </c>
      <c r="S236">
        <f t="shared" si="25"/>
        <v>42981.89</v>
      </c>
      <c r="T236">
        <f t="shared" si="26"/>
        <v>8596.3780000000006</v>
      </c>
      <c r="U236">
        <f t="shared" si="27"/>
        <v>1</v>
      </c>
      <c r="V236" t="str">
        <f t="shared" si="28"/>
        <v>Q1</v>
      </c>
      <c r="W236" t="str">
        <f t="shared" si="29"/>
        <v>Jan-2025</v>
      </c>
      <c r="X236">
        <f t="shared" si="30"/>
        <v>49429.173500000004</v>
      </c>
      <c r="Y236" s="5">
        <f t="shared" si="31"/>
        <v>165480.27650000001</v>
      </c>
      <c r="Z236" s="21">
        <f>DATE(K236,MATCH(J236,{"January","February","March","April","May","June","July","August","September","October","November","December"},0),1)</f>
        <v>45658</v>
      </c>
    </row>
    <row r="237" spans="1:26" x14ac:dyDescent="0.3">
      <c r="A237" s="4" t="s">
        <v>305</v>
      </c>
      <c r="B237" s="4" t="s">
        <v>70</v>
      </c>
      <c r="C237" s="4" t="s">
        <v>17</v>
      </c>
      <c r="D237" s="5">
        <v>25629.88</v>
      </c>
      <c r="E237" s="6">
        <v>3</v>
      </c>
      <c r="F237" s="5">
        <v>76889.64</v>
      </c>
      <c r="G237" s="1">
        <v>45538</v>
      </c>
      <c r="H237" t="s">
        <v>18</v>
      </c>
      <c r="I237">
        <v>2.9</v>
      </c>
      <c r="J237" t="s">
        <v>19</v>
      </c>
      <c r="K237">
        <v>2024</v>
      </c>
      <c r="L237">
        <v>15377.928</v>
      </c>
      <c r="M237">
        <v>6</v>
      </c>
      <c r="N237" t="s">
        <v>41</v>
      </c>
      <c r="O237" t="s">
        <v>21</v>
      </c>
      <c r="P237">
        <f>FlipkartSales[[#This Row],[Price (INR)]]*FlipkartSales[[#This Row],[Quantity Sold]]</f>
        <v>76889.64</v>
      </c>
      <c r="Q237">
        <f>FlipkartSales[[#This Row],[Total Sales (INR)]]-FlipkartSales[[#This Row],[Calculated Sales]]</f>
        <v>0</v>
      </c>
      <c r="R237" s="9">
        <f t="shared" si="24"/>
        <v>0.2</v>
      </c>
      <c r="S237">
        <f t="shared" si="25"/>
        <v>25629.88</v>
      </c>
      <c r="T237">
        <f t="shared" si="26"/>
        <v>5125.9759999999997</v>
      </c>
      <c r="U237">
        <f t="shared" si="27"/>
        <v>9</v>
      </c>
      <c r="V237" t="str">
        <f t="shared" si="28"/>
        <v>Q3</v>
      </c>
      <c r="W237" t="str">
        <f t="shared" si="29"/>
        <v>Sep-2024</v>
      </c>
      <c r="X237">
        <f t="shared" si="30"/>
        <v>4613.3783999999996</v>
      </c>
      <c r="Y237" s="5">
        <f t="shared" si="31"/>
        <v>72276.261599999998</v>
      </c>
      <c r="Z237" s="21">
        <f>DATE(K237,MATCH(J237,{"January","February","March","April","May","June","July","August","September","October","November","December"},0),1)</f>
        <v>45536</v>
      </c>
    </row>
    <row r="238" spans="1:26" x14ac:dyDescent="0.3">
      <c r="A238" s="4" t="s">
        <v>306</v>
      </c>
      <c r="B238" s="4" t="s">
        <v>58</v>
      </c>
      <c r="C238" s="4" t="s">
        <v>31</v>
      </c>
      <c r="D238" s="5">
        <v>22475.94</v>
      </c>
      <c r="E238" s="6">
        <v>4</v>
      </c>
      <c r="F238" s="5">
        <v>89903.76</v>
      </c>
      <c r="G238" s="1">
        <v>45335</v>
      </c>
      <c r="H238" t="s">
        <v>18</v>
      </c>
      <c r="I238">
        <v>3.5</v>
      </c>
      <c r="J238" t="s">
        <v>59</v>
      </c>
      <c r="K238">
        <v>2024</v>
      </c>
      <c r="L238">
        <v>17980.752</v>
      </c>
      <c r="M238">
        <v>25</v>
      </c>
      <c r="N238" t="s">
        <v>20</v>
      </c>
      <c r="O238" t="s">
        <v>28</v>
      </c>
      <c r="P238">
        <f>FlipkartSales[[#This Row],[Price (INR)]]*FlipkartSales[[#This Row],[Quantity Sold]]</f>
        <v>89903.76</v>
      </c>
      <c r="Q238">
        <f>FlipkartSales[[#This Row],[Total Sales (INR)]]-FlipkartSales[[#This Row],[Calculated Sales]]</f>
        <v>0</v>
      </c>
      <c r="R238" s="9">
        <f t="shared" si="24"/>
        <v>0.2</v>
      </c>
      <c r="S238">
        <f t="shared" si="25"/>
        <v>22475.94</v>
      </c>
      <c r="T238">
        <f t="shared" si="26"/>
        <v>4495.1880000000001</v>
      </c>
      <c r="U238">
        <f t="shared" si="27"/>
        <v>2</v>
      </c>
      <c r="V238" t="str">
        <f t="shared" si="28"/>
        <v>Q1</v>
      </c>
      <c r="W238" t="str">
        <f t="shared" si="29"/>
        <v>Feb-2024</v>
      </c>
      <c r="X238">
        <f t="shared" si="30"/>
        <v>22475.94</v>
      </c>
      <c r="Y238" s="5">
        <f t="shared" si="31"/>
        <v>67427.819999999992</v>
      </c>
      <c r="Z238" s="21">
        <f>DATE(K238,MATCH(J238,{"January","February","March","April","May","June","July","August","September","October","November","December"},0),1)</f>
        <v>45323</v>
      </c>
    </row>
    <row r="239" spans="1:26" x14ac:dyDescent="0.3">
      <c r="A239" s="4" t="s">
        <v>307</v>
      </c>
      <c r="B239" s="4" t="s">
        <v>145</v>
      </c>
      <c r="C239" s="4" t="s">
        <v>40</v>
      </c>
      <c r="D239" s="5">
        <v>33250.699999999997</v>
      </c>
      <c r="E239" s="6">
        <v>5</v>
      </c>
      <c r="F239" s="5">
        <v>166253.5</v>
      </c>
      <c r="G239" s="1">
        <v>45584</v>
      </c>
      <c r="H239" t="s">
        <v>44</v>
      </c>
      <c r="I239">
        <v>4.3</v>
      </c>
      <c r="J239" t="s">
        <v>45</v>
      </c>
      <c r="K239">
        <v>2024</v>
      </c>
      <c r="L239">
        <v>33250.700000000004</v>
      </c>
      <c r="M239">
        <v>16</v>
      </c>
      <c r="N239" t="s">
        <v>27</v>
      </c>
      <c r="O239" t="s">
        <v>68</v>
      </c>
      <c r="P239">
        <f>FlipkartSales[[#This Row],[Price (INR)]]*FlipkartSales[[#This Row],[Quantity Sold]]</f>
        <v>166253.5</v>
      </c>
      <c r="Q239">
        <f>FlipkartSales[[#This Row],[Total Sales (INR)]]-FlipkartSales[[#This Row],[Calculated Sales]]</f>
        <v>0</v>
      </c>
      <c r="R239" s="9">
        <f t="shared" si="24"/>
        <v>0.20000000000000004</v>
      </c>
      <c r="S239">
        <f t="shared" si="25"/>
        <v>33250.699999999997</v>
      </c>
      <c r="T239">
        <f t="shared" si="26"/>
        <v>6650.1400000000012</v>
      </c>
      <c r="U239">
        <f t="shared" si="27"/>
        <v>10</v>
      </c>
      <c r="V239" t="str">
        <f t="shared" si="28"/>
        <v>Q4</v>
      </c>
      <c r="W239" t="str">
        <f t="shared" si="29"/>
        <v>Oct-2024</v>
      </c>
      <c r="X239">
        <f t="shared" si="30"/>
        <v>26600.560000000001</v>
      </c>
      <c r="Y239" s="5">
        <f t="shared" si="31"/>
        <v>139652.94</v>
      </c>
      <c r="Z239" s="21">
        <f>DATE(K239,MATCH(J239,{"January","February","March","April","May","June","July","August","September","October","November","December"},0),1)</f>
        <v>45566</v>
      </c>
    </row>
    <row r="240" spans="1:26" x14ac:dyDescent="0.3">
      <c r="A240" s="4" t="s">
        <v>308</v>
      </c>
      <c r="B240" s="4" t="s">
        <v>74</v>
      </c>
      <c r="C240" s="4" t="s">
        <v>17</v>
      </c>
      <c r="D240" s="5">
        <v>45045.03</v>
      </c>
      <c r="E240" s="6">
        <v>5</v>
      </c>
      <c r="F240" s="5">
        <v>225225.15</v>
      </c>
      <c r="G240" s="1">
        <v>45659</v>
      </c>
      <c r="H240" t="s">
        <v>80</v>
      </c>
      <c r="I240">
        <v>3.8</v>
      </c>
      <c r="J240" t="s">
        <v>53</v>
      </c>
      <c r="K240">
        <v>2025</v>
      </c>
      <c r="L240">
        <v>45045.03</v>
      </c>
      <c r="M240">
        <v>30</v>
      </c>
      <c r="N240" t="s">
        <v>27</v>
      </c>
      <c r="O240" t="s">
        <v>28</v>
      </c>
      <c r="P240">
        <f>FlipkartSales[[#This Row],[Price (INR)]]*FlipkartSales[[#This Row],[Quantity Sold]]</f>
        <v>225225.15</v>
      </c>
      <c r="Q240">
        <f>FlipkartSales[[#This Row],[Total Sales (INR)]]-FlipkartSales[[#This Row],[Calculated Sales]]</f>
        <v>0</v>
      </c>
      <c r="R240" s="9">
        <f t="shared" si="24"/>
        <v>0.2</v>
      </c>
      <c r="S240">
        <f t="shared" si="25"/>
        <v>45045.03</v>
      </c>
      <c r="T240">
        <f t="shared" si="26"/>
        <v>9009.0059999999994</v>
      </c>
      <c r="U240">
        <f t="shared" si="27"/>
        <v>1</v>
      </c>
      <c r="V240" t="str">
        <f t="shared" si="28"/>
        <v>Q1</v>
      </c>
      <c r="W240" t="str">
        <f t="shared" si="29"/>
        <v>Jan-2025</v>
      </c>
      <c r="X240">
        <f t="shared" si="30"/>
        <v>67567.544999999998</v>
      </c>
      <c r="Y240" s="5">
        <f t="shared" si="31"/>
        <v>157657.60499999998</v>
      </c>
      <c r="Z240" s="21">
        <f>DATE(K240,MATCH(J240,{"January","February","March","April","May","June","July","August","September","October","November","December"},0),1)</f>
        <v>45658</v>
      </c>
    </row>
    <row r="241" spans="1:26" x14ac:dyDescent="0.3">
      <c r="A241" s="4" t="s">
        <v>309</v>
      </c>
      <c r="B241" s="4" t="s">
        <v>84</v>
      </c>
      <c r="C241" s="4" t="s">
        <v>40</v>
      </c>
      <c r="D241" s="5">
        <v>3955.86</v>
      </c>
      <c r="E241" s="6">
        <v>5</v>
      </c>
      <c r="F241" s="5">
        <v>19779.3</v>
      </c>
      <c r="G241" s="1">
        <v>45461</v>
      </c>
      <c r="H241" t="s">
        <v>80</v>
      </c>
      <c r="I241">
        <v>4.7</v>
      </c>
      <c r="J241" t="s">
        <v>67</v>
      </c>
      <c r="K241">
        <v>2024</v>
      </c>
      <c r="L241">
        <v>3955.86</v>
      </c>
      <c r="M241">
        <v>10</v>
      </c>
      <c r="N241" t="s">
        <v>27</v>
      </c>
      <c r="O241" t="s">
        <v>68</v>
      </c>
      <c r="P241">
        <f>FlipkartSales[[#This Row],[Price (INR)]]*FlipkartSales[[#This Row],[Quantity Sold]]</f>
        <v>19779.3</v>
      </c>
      <c r="Q241">
        <f>FlipkartSales[[#This Row],[Total Sales (INR)]]-FlipkartSales[[#This Row],[Calculated Sales]]</f>
        <v>0</v>
      </c>
      <c r="R241" s="9">
        <f t="shared" si="24"/>
        <v>0.2</v>
      </c>
      <c r="S241">
        <f t="shared" si="25"/>
        <v>3955.8599999999997</v>
      </c>
      <c r="T241">
        <f t="shared" si="26"/>
        <v>791.17200000000003</v>
      </c>
      <c r="U241">
        <f t="shared" si="27"/>
        <v>6</v>
      </c>
      <c r="V241" t="str">
        <f t="shared" si="28"/>
        <v>Q2</v>
      </c>
      <c r="W241" t="str">
        <f t="shared" si="29"/>
        <v>Jun-2024</v>
      </c>
      <c r="X241">
        <f t="shared" si="30"/>
        <v>1977.93</v>
      </c>
      <c r="Y241" s="5">
        <f t="shared" si="31"/>
        <v>17801.37</v>
      </c>
      <c r="Z241" s="21">
        <f>DATE(K241,MATCH(J241,{"January","February","March","April","May","June","July","August","September","October","November","December"},0),1)</f>
        <v>45444</v>
      </c>
    </row>
    <row r="242" spans="1:26" x14ac:dyDescent="0.3">
      <c r="A242" s="4" t="s">
        <v>310</v>
      </c>
      <c r="B242" s="4" t="s">
        <v>58</v>
      </c>
      <c r="C242" s="4" t="s">
        <v>31</v>
      </c>
      <c r="D242" s="5">
        <v>28169.11</v>
      </c>
      <c r="E242" s="6">
        <v>5</v>
      </c>
      <c r="F242" s="5">
        <v>140845.54999999999</v>
      </c>
      <c r="G242" s="1">
        <v>45416</v>
      </c>
      <c r="H242" t="s">
        <v>25</v>
      </c>
      <c r="I242">
        <v>2.7</v>
      </c>
      <c r="J242" t="s">
        <v>32</v>
      </c>
      <c r="K242">
        <v>2024</v>
      </c>
      <c r="L242">
        <v>28169.11</v>
      </c>
      <c r="M242">
        <v>27</v>
      </c>
      <c r="N242" t="s">
        <v>27</v>
      </c>
      <c r="O242" t="s">
        <v>28</v>
      </c>
      <c r="P242">
        <f>FlipkartSales[[#This Row],[Price (INR)]]*FlipkartSales[[#This Row],[Quantity Sold]]</f>
        <v>140845.54999999999</v>
      </c>
      <c r="Q242">
        <f>FlipkartSales[[#This Row],[Total Sales (INR)]]-FlipkartSales[[#This Row],[Calculated Sales]]</f>
        <v>0</v>
      </c>
      <c r="R242" s="9">
        <f t="shared" si="24"/>
        <v>0.2</v>
      </c>
      <c r="S242">
        <f t="shared" si="25"/>
        <v>28169.109999999997</v>
      </c>
      <c r="T242">
        <f t="shared" si="26"/>
        <v>5633.8220000000001</v>
      </c>
      <c r="U242">
        <f t="shared" si="27"/>
        <v>5</v>
      </c>
      <c r="V242" t="str">
        <f t="shared" si="28"/>
        <v>Q2</v>
      </c>
      <c r="W242" t="str">
        <f t="shared" si="29"/>
        <v>May-2024</v>
      </c>
      <c r="X242">
        <f t="shared" si="30"/>
        <v>38028.298499999997</v>
      </c>
      <c r="Y242" s="5">
        <f t="shared" si="31"/>
        <v>102817.25149999998</v>
      </c>
      <c r="Z242" s="21">
        <f>DATE(K242,MATCH(J242,{"January","February","March","April","May","June","July","August","September","October","November","December"},0),1)</f>
        <v>45413</v>
      </c>
    </row>
    <row r="243" spans="1:26" x14ac:dyDescent="0.3">
      <c r="A243" s="4" t="s">
        <v>311</v>
      </c>
      <c r="B243" s="4" t="s">
        <v>30</v>
      </c>
      <c r="C243" s="4" t="s">
        <v>31</v>
      </c>
      <c r="D243" s="5">
        <v>42785.51</v>
      </c>
      <c r="E243" s="6">
        <v>4</v>
      </c>
      <c r="F243" s="5">
        <v>171142.04</v>
      </c>
      <c r="G243" s="1">
        <v>45609</v>
      </c>
      <c r="H243" t="s">
        <v>64</v>
      </c>
      <c r="I243">
        <v>1.7</v>
      </c>
      <c r="J243" t="s">
        <v>37</v>
      </c>
      <c r="K243">
        <v>2024</v>
      </c>
      <c r="L243">
        <v>34228.408000000003</v>
      </c>
      <c r="M243">
        <v>8</v>
      </c>
      <c r="N243" t="s">
        <v>20</v>
      </c>
      <c r="O243" t="s">
        <v>21</v>
      </c>
      <c r="P243">
        <f>FlipkartSales[[#This Row],[Price (INR)]]*FlipkartSales[[#This Row],[Quantity Sold]]</f>
        <v>171142.04</v>
      </c>
      <c r="Q243">
        <f>FlipkartSales[[#This Row],[Total Sales (INR)]]-FlipkartSales[[#This Row],[Calculated Sales]]</f>
        <v>0</v>
      </c>
      <c r="R243" s="9">
        <f t="shared" si="24"/>
        <v>0.2</v>
      </c>
      <c r="S243">
        <f t="shared" si="25"/>
        <v>42785.51</v>
      </c>
      <c r="T243">
        <f t="shared" si="26"/>
        <v>8557.1020000000008</v>
      </c>
      <c r="U243">
        <f t="shared" si="27"/>
        <v>11</v>
      </c>
      <c r="V243" t="str">
        <f t="shared" si="28"/>
        <v>Q4</v>
      </c>
      <c r="W243" t="str">
        <f t="shared" si="29"/>
        <v>Nov-2024</v>
      </c>
      <c r="X243">
        <f t="shared" si="30"/>
        <v>13691.3632</v>
      </c>
      <c r="Y243" s="5">
        <f t="shared" si="31"/>
        <v>157450.67680000002</v>
      </c>
      <c r="Z243" s="21">
        <f>DATE(K243,MATCH(J243,{"January","February","March","April","May","June","July","August","September","October","November","December"},0),1)</f>
        <v>45597</v>
      </c>
    </row>
    <row r="244" spans="1:26" x14ac:dyDescent="0.3">
      <c r="A244" s="4" t="s">
        <v>312</v>
      </c>
      <c r="B244" s="4" t="s">
        <v>66</v>
      </c>
      <c r="C244" s="4" t="s">
        <v>36</v>
      </c>
      <c r="D244" s="5">
        <v>25614.35</v>
      </c>
      <c r="E244" s="6">
        <v>2</v>
      </c>
      <c r="F244" s="5">
        <v>51228.7</v>
      </c>
      <c r="G244" s="1">
        <v>45516</v>
      </c>
      <c r="H244" t="s">
        <v>44</v>
      </c>
      <c r="I244">
        <v>3.5</v>
      </c>
      <c r="J244" t="s">
        <v>88</v>
      </c>
      <c r="K244">
        <v>2024</v>
      </c>
      <c r="L244">
        <v>10245.74</v>
      </c>
      <c r="M244">
        <v>27</v>
      </c>
      <c r="N244" t="s">
        <v>20</v>
      </c>
      <c r="O244" t="s">
        <v>28</v>
      </c>
      <c r="P244">
        <f>FlipkartSales[[#This Row],[Price (INR)]]*FlipkartSales[[#This Row],[Quantity Sold]]</f>
        <v>51228.7</v>
      </c>
      <c r="Q244">
        <f>FlipkartSales[[#This Row],[Total Sales (INR)]]-FlipkartSales[[#This Row],[Calculated Sales]]</f>
        <v>0</v>
      </c>
      <c r="R244" s="9">
        <f t="shared" si="24"/>
        <v>0.2</v>
      </c>
      <c r="S244">
        <f t="shared" si="25"/>
        <v>25614.35</v>
      </c>
      <c r="T244">
        <f t="shared" si="26"/>
        <v>5122.87</v>
      </c>
      <c r="U244">
        <f t="shared" si="27"/>
        <v>8</v>
      </c>
      <c r="V244" t="str">
        <f t="shared" si="28"/>
        <v>Q3</v>
      </c>
      <c r="W244" t="str">
        <f t="shared" si="29"/>
        <v>Aug-2024</v>
      </c>
      <c r="X244">
        <f t="shared" si="30"/>
        <v>13831.749</v>
      </c>
      <c r="Y244" s="5">
        <f t="shared" si="31"/>
        <v>37396.951000000001</v>
      </c>
      <c r="Z244" s="21">
        <f>DATE(K244,MATCH(J244,{"January","February","March","April","May","June","July","August","September","October","November","December"},0),1)</f>
        <v>45505</v>
      </c>
    </row>
    <row r="245" spans="1:26" x14ac:dyDescent="0.3">
      <c r="A245" s="4" t="s">
        <v>313</v>
      </c>
      <c r="B245" s="4" t="s">
        <v>43</v>
      </c>
      <c r="C245" s="4" t="s">
        <v>40</v>
      </c>
      <c r="D245" s="5">
        <v>7771.58</v>
      </c>
      <c r="E245" s="6">
        <v>5</v>
      </c>
      <c r="F245" s="5">
        <v>38857.9</v>
      </c>
      <c r="G245" s="1">
        <v>45521</v>
      </c>
      <c r="H245" t="s">
        <v>18</v>
      </c>
      <c r="I245">
        <v>3.6</v>
      </c>
      <c r="J245" t="s">
        <v>88</v>
      </c>
      <c r="K245">
        <v>2024</v>
      </c>
      <c r="L245">
        <v>7771.5800000000008</v>
      </c>
      <c r="M245">
        <v>15</v>
      </c>
      <c r="N245" t="s">
        <v>27</v>
      </c>
      <c r="O245" t="s">
        <v>28</v>
      </c>
      <c r="P245">
        <f>FlipkartSales[[#This Row],[Price (INR)]]*FlipkartSales[[#This Row],[Quantity Sold]]</f>
        <v>38857.9</v>
      </c>
      <c r="Q245">
        <f>FlipkartSales[[#This Row],[Total Sales (INR)]]-FlipkartSales[[#This Row],[Calculated Sales]]</f>
        <v>0</v>
      </c>
      <c r="R245" s="9">
        <f t="shared" si="24"/>
        <v>0.2</v>
      </c>
      <c r="S245">
        <f t="shared" si="25"/>
        <v>7771.58</v>
      </c>
      <c r="T245">
        <f t="shared" si="26"/>
        <v>1554.3160000000003</v>
      </c>
      <c r="U245">
        <f t="shared" si="27"/>
        <v>8</v>
      </c>
      <c r="V245" t="str">
        <f t="shared" si="28"/>
        <v>Q3</v>
      </c>
      <c r="W245" t="str">
        <f t="shared" si="29"/>
        <v>Aug-2024</v>
      </c>
      <c r="X245">
        <f t="shared" si="30"/>
        <v>5828.6850000000004</v>
      </c>
      <c r="Y245" s="5">
        <f t="shared" si="31"/>
        <v>33029.215000000004</v>
      </c>
      <c r="Z245" s="21">
        <f>DATE(K245,MATCH(J245,{"January","February","March","April","May","June","July","August","September","October","November","December"},0),1)</f>
        <v>45505</v>
      </c>
    </row>
    <row r="246" spans="1:26" x14ac:dyDescent="0.3">
      <c r="A246" s="4" t="s">
        <v>314</v>
      </c>
      <c r="B246" s="4" t="s">
        <v>74</v>
      </c>
      <c r="C246" s="4" t="s">
        <v>17</v>
      </c>
      <c r="D246" s="5">
        <v>31059.47</v>
      </c>
      <c r="E246" s="6">
        <v>3</v>
      </c>
      <c r="F246" s="5">
        <v>93178.41</v>
      </c>
      <c r="G246" s="1">
        <v>45427</v>
      </c>
      <c r="H246" t="s">
        <v>44</v>
      </c>
      <c r="I246">
        <v>4.8</v>
      </c>
      <c r="J246" t="s">
        <v>32</v>
      </c>
      <c r="K246">
        <v>2024</v>
      </c>
      <c r="L246">
        <v>18635.682000000001</v>
      </c>
      <c r="M246">
        <v>28</v>
      </c>
      <c r="N246" t="s">
        <v>27</v>
      </c>
      <c r="O246" t="s">
        <v>28</v>
      </c>
      <c r="P246">
        <f>FlipkartSales[[#This Row],[Price (INR)]]*FlipkartSales[[#This Row],[Quantity Sold]]</f>
        <v>93178.41</v>
      </c>
      <c r="Q246">
        <f>FlipkartSales[[#This Row],[Total Sales (INR)]]-FlipkartSales[[#This Row],[Calculated Sales]]</f>
        <v>0</v>
      </c>
      <c r="R246" s="9">
        <f t="shared" si="24"/>
        <v>0.2</v>
      </c>
      <c r="S246">
        <f t="shared" si="25"/>
        <v>31059.47</v>
      </c>
      <c r="T246">
        <f t="shared" si="26"/>
        <v>6211.8940000000002</v>
      </c>
      <c r="U246">
        <f t="shared" si="27"/>
        <v>5</v>
      </c>
      <c r="V246" t="str">
        <f t="shared" si="28"/>
        <v>Q2</v>
      </c>
      <c r="W246" t="str">
        <f t="shared" si="29"/>
        <v>May-2024</v>
      </c>
      <c r="X246">
        <f t="shared" si="30"/>
        <v>26089.9548</v>
      </c>
      <c r="Y246" s="5">
        <f t="shared" si="31"/>
        <v>67088.455199999997</v>
      </c>
      <c r="Z246" s="21">
        <f>DATE(K246,MATCH(J246,{"January","February","March","April","May","June","July","August","September","October","November","December"},0),1)</f>
        <v>45413</v>
      </c>
    </row>
    <row r="247" spans="1:26" x14ac:dyDescent="0.3">
      <c r="A247" s="4" t="s">
        <v>315</v>
      </c>
      <c r="B247" s="4" t="s">
        <v>16</v>
      </c>
      <c r="C247" s="4" t="s">
        <v>17</v>
      </c>
      <c r="D247" s="5">
        <v>14506.11</v>
      </c>
      <c r="E247" s="6">
        <v>5</v>
      </c>
      <c r="F247" s="5">
        <v>72530.55</v>
      </c>
      <c r="G247" s="1">
        <v>45459</v>
      </c>
      <c r="H247" t="s">
        <v>18</v>
      </c>
      <c r="I247">
        <v>3.5</v>
      </c>
      <c r="J247" t="s">
        <v>67</v>
      </c>
      <c r="K247">
        <v>2024</v>
      </c>
      <c r="L247">
        <v>14506.11</v>
      </c>
      <c r="M247">
        <v>21</v>
      </c>
      <c r="N247" t="s">
        <v>20</v>
      </c>
      <c r="O247" t="s">
        <v>21</v>
      </c>
      <c r="P247">
        <f>FlipkartSales[[#This Row],[Price (INR)]]*FlipkartSales[[#This Row],[Quantity Sold]]</f>
        <v>72530.55</v>
      </c>
      <c r="Q247">
        <f>FlipkartSales[[#This Row],[Total Sales (INR)]]-FlipkartSales[[#This Row],[Calculated Sales]]</f>
        <v>0</v>
      </c>
      <c r="R247" s="9">
        <f t="shared" si="24"/>
        <v>0.2</v>
      </c>
      <c r="S247">
        <f t="shared" si="25"/>
        <v>14506.11</v>
      </c>
      <c r="T247">
        <f t="shared" si="26"/>
        <v>2901.2220000000002</v>
      </c>
      <c r="U247">
        <f t="shared" si="27"/>
        <v>6</v>
      </c>
      <c r="V247" t="str">
        <f t="shared" si="28"/>
        <v>Q2</v>
      </c>
      <c r="W247" t="str">
        <f t="shared" si="29"/>
        <v>Jun-2024</v>
      </c>
      <c r="X247">
        <f t="shared" si="30"/>
        <v>15231.415500000001</v>
      </c>
      <c r="Y247" s="5">
        <f t="shared" si="31"/>
        <v>57299.1345</v>
      </c>
      <c r="Z247" s="21">
        <f>DATE(K247,MATCH(J247,{"January","February","March","April","May","June","July","August","September","October","November","December"},0),1)</f>
        <v>45444</v>
      </c>
    </row>
    <row r="248" spans="1:26" x14ac:dyDescent="0.3">
      <c r="A248" s="4" t="s">
        <v>316</v>
      </c>
      <c r="B248" s="4" t="s">
        <v>35</v>
      </c>
      <c r="C248" s="4" t="s">
        <v>36</v>
      </c>
      <c r="D248" s="5">
        <v>16272.38</v>
      </c>
      <c r="E248" s="6">
        <v>3</v>
      </c>
      <c r="F248" s="5">
        <v>48817.14</v>
      </c>
      <c r="G248" s="1">
        <v>45458</v>
      </c>
      <c r="H248" t="s">
        <v>18</v>
      </c>
      <c r="I248">
        <v>1.4</v>
      </c>
      <c r="J248" t="s">
        <v>67</v>
      </c>
      <c r="K248">
        <v>2024</v>
      </c>
      <c r="L248">
        <v>9763.4279999999999</v>
      </c>
      <c r="M248">
        <v>10</v>
      </c>
      <c r="N248" t="s">
        <v>27</v>
      </c>
      <c r="O248" t="s">
        <v>21</v>
      </c>
      <c r="P248">
        <f>FlipkartSales[[#This Row],[Price (INR)]]*FlipkartSales[[#This Row],[Quantity Sold]]</f>
        <v>48817.14</v>
      </c>
      <c r="Q248">
        <f>FlipkartSales[[#This Row],[Total Sales (INR)]]-FlipkartSales[[#This Row],[Calculated Sales]]</f>
        <v>0</v>
      </c>
      <c r="R248" s="9">
        <f t="shared" si="24"/>
        <v>0.2</v>
      </c>
      <c r="S248">
        <f t="shared" si="25"/>
        <v>16272.38</v>
      </c>
      <c r="T248">
        <f t="shared" si="26"/>
        <v>3254.4760000000001</v>
      </c>
      <c r="U248">
        <f t="shared" si="27"/>
        <v>6</v>
      </c>
      <c r="V248" t="str">
        <f t="shared" si="28"/>
        <v>Q2</v>
      </c>
      <c r="W248" t="str">
        <f t="shared" si="29"/>
        <v>Jun-2024</v>
      </c>
      <c r="X248">
        <f t="shared" si="30"/>
        <v>4881.7139999999999</v>
      </c>
      <c r="Y248" s="5">
        <f t="shared" si="31"/>
        <v>43935.425999999999</v>
      </c>
      <c r="Z248" s="21">
        <f>DATE(K248,MATCH(J248,{"January","February","March","April","May","June","July","August","September","October","November","December"},0),1)</f>
        <v>45444</v>
      </c>
    </row>
    <row r="249" spans="1:26" x14ac:dyDescent="0.3">
      <c r="A249" s="4" t="s">
        <v>317</v>
      </c>
      <c r="B249" s="4" t="s">
        <v>78</v>
      </c>
      <c r="C249" s="4" t="s">
        <v>24</v>
      </c>
      <c r="D249" s="5">
        <v>29222.92</v>
      </c>
      <c r="E249" s="6">
        <v>3</v>
      </c>
      <c r="F249" s="5">
        <v>87668.76</v>
      </c>
      <c r="G249" s="1">
        <v>45581</v>
      </c>
      <c r="H249" t="s">
        <v>18</v>
      </c>
      <c r="I249">
        <v>2.7</v>
      </c>
      <c r="J249" t="s">
        <v>45</v>
      </c>
      <c r="K249">
        <v>2024</v>
      </c>
      <c r="L249">
        <v>17533.752</v>
      </c>
      <c r="M249">
        <v>28</v>
      </c>
      <c r="N249" t="s">
        <v>41</v>
      </c>
      <c r="O249" t="s">
        <v>21</v>
      </c>
      <c r="P249">
        <f>FlipkartSales[[#This Row],[Price (INR)]]*FlipkartSales[[#This Row],[Quantity Sold]]</f>
        <v>87668.76</v>
      </c>
      <c r="Q249">
        <f>FlipkartSales[[#This Row],[Total Sales (INR)]]-FlipkartSales[[#This Row],[Calculated Sales]]</f>
        <v>0</v>
      </c>
      <c r="R249" s="9">
        <f t="shared" si="24"/>
        <v>0.2</v>
      </c>
      <c r="S249">
        <f t="shared" si="25"/>
        <v>29222.92</v>
      </c>
      <c r="T249">
        <f t="shared" si="26"/>
        <v>5844.5839999999998</v>
      </c>
      <c r="U249">
        <f t="shared" si="27"/>
        <v>10</v>
      </c>
      <c r="V249" t="str">
        <f t="shared" si="28"/>
        <v>Q4</v>
      </c>
      <c r="W249" t="str">
        <f t="shared" si="29"/>
        <v>Oct-2024</v>
      </c>
      <c r="X249">
        <f t="shared" si="30"/>
        <v>24547.252799999998</v>
      </c>
      <c r="Y249" s="5">
        <f t="shared" si="31"/>
        <v>63121.507199999993</v>
      </c>
      <c r="Z249" s="21">
        <f>DATE(K249,MATCH(J249,{"January","February","March","April","May","June","July","August","September","October","November","December"},0),1)</f>
        <v>45566</v>
      </c>
    </row>
    <row r="250" spans="1:26" x14ac:dyDescent="0.3">
      <c r="A250" s="4" t="s">
        <v>318</v>
      </c>
      <c r="B250" s="4" t="s">
        <v>16</v>
      </c>
      <c r="C250" s="4" t="s">
        <v>17</v>
      </c>
      <c r="D250" s="5">
        <v>1483.5</v>
      </c>
      <c r="E250" s="6">
        <v>5</v>
      </c>
      <c r="F250" s="5">
        <v>7417.5</v>
      </c>
      <c r="G250" s="1">
        <v>45600</v>
      </c>
      <c r="H250" t="s">
        <v>18</v>
      </c>
      <c r="I250">
        <v>4.3</v>
      </c>
      <c r="J250" t="s">
        <v>37</v>
      </c>
      <c r="K250">
        <v>2024</v>
      </c>
      <c r="L250">
        <v>1483.5</v>
      </c>
      <c r="M250">
        <v>9</v>
      </c>
      <c r="N250" t="s">
        <v>27</v>
      </c>
      <c r="O250" t="s">
        <v>21</v>
      </c>
      <c r="P250">
        <f>FlipkartSales[[#This Row],[Price (INR)]]*FlipkartSales[[#This Row],[Quantity Sold]]</f>
        <v>7417.5</v>
      </c>
      <c r="Q250">
        <f>FlipkartSales[[#This Row],[Total Sales (INR)]]-FlipkartSales[[#This Row],[Calculated Sales]]</f>
        <v>0</v>
      </c>
      <c r="R250" s="9">
        <f t="shared" si="24"/>
        <v>0.2</v>
      </c>
      <c r="S250">
        <f t="shared" si="25"/>
        <v>1483.5</v>
      </c>
      <c r="T250">
        <f t="shared" si="26"/>
        <v>296.7</v>
      </c>
      <c r="U250">
        <f t="shared" si="27"/>
        <v>11</v>
      </c>
      <c r="V250" t="str">
        <f t="shared" si="28"/>
        <v>Q4</v>
      </c>
      <c r="W250" t="str">
        <f t="shared" si="29"/>
        <v>Nov-2024</v>
      </c>
      <c r="X250">
        <f t="shared" si="30"/>
        <v>667.57500000000005</v>
      </c>
      <c r="Y250" s="5">
        <f t="shared" si="31"/>
        <v>6749.9250000000002</v>
      </c>
      <c r="Z250" s="21">
        <f>DATE(K250,MATCH(J250,{"January","February","March","April","May","June","July","August","September","October","November","December"},0),1)</f>
        <v>45597</v>
      </c>
    </row>
    <row r="251" spans="1:26" x14ac:dyDescent="0.3">
      <c r="A251" s="4" t="s">
        <v>319</v>
      </c>
      <c r="B251" s="4" t="s">
        <v>125</v>
      </c>
      <c r="C251" s="4" t="s">
        <v>17</v>
      </c>
      <c r="D251" s="5">
        <v>35629.550000000003</v>
      </c>
      <c r="E251" s="6">
        <v>2</v>
      </c>
      <c r="F251" s="5">
        <v>71259.100000000006</v>
      </c>
      <c r="G251" s="1">
        <v>45689</v>
      </c>
      <c r="H251" t="s">
        <v>44</v>
      </c>
      <c r="I251">
        <v>2</v>
      </c>
      <c r="J251" t="s">
        <v>59</v>
      </c>
      <c r="K251">
        <v>2025</v>
      </c>
      <c r="L251">
        <v>14251.820000000002</v>
      </c>
      <c r="M251">
        <v>24</v>
      </c>
      <c r="N251" t="s">
        <v>27</v>
      </c>
      <c r="O251" t="s">
        <v>68</v>
      </c>
      <c r="P251">
        <f>FlipkartSales[[#This Row],[Price (INR)]]*FlipkartSales[[#This Row],[Quantity Sold]]</f>
        <v>71259.100000000006</v>
      </c>
      <c r="Q251">
        <f>FlipkartSales[[#This Row],[Total Sales (INR)]]-FlipkartSales[[#This Row],[Calculated Sales]]</f>
        <v>0</v>
      </c>
      <c r="R251" s="9">
        <f t="shared" si="24"/>
        <v>0.2</v>
      </c>
      <c r="S251">
        <f t="shared" si="25"/>
        <v>35629.550000000003</v>
      </c>
      <c r="T251">
        <f t="shared" si="26"/>
        <v>7125.9100000000008</v>
      </c>
      <c r="U251">
        <f t="shared" si="27"/>
        <v>2</v>
      </c>
      <c r="V251" t="str">
        <f t="shared" si="28"/>
        <v>Q1</v>
      </c>
      <c r="W251" t="str">
        <f t="shared" si="29"/>
        <v>Feb-2025</v>
      </c>
      <c r="X251">
        <f t="shared" si="30"/>
        <v>17102.184000000001</v>
      </c>
      <c r="Y251" s="5">
        <f t="shared" si="31"/>
        <v>54156.916000000005</v>
      </c>
      <c r="Z251" s="21">
        <f>DATE(K251,MATCH(J251,{"January","February","March","April","May","June","July","August","September","October","November","December"},0),1)</f>
        <v>45689</v>
      </c>
    </row>
    <row r="252" spans="1:26" x14ac:dyDescent="0.3">
      <c r="A252" s="4" t="s">
        <v>320</v>
      </c>
      <c r="B252" s="4" t="s">
        <v>52</v>
      </c>
      <c r="C252" s="4" t="s">
        <v>24</v>
      </c>
      <c r="D252" s="5">
        <v>1987.98</v>
      </c>
      <c r="E252" s="6">
        <v>4</v>
      </c>
      <c r="F252" s="5">
        <v>7951.92</v>
      </c>
      <c r="G252" s="1">
        <v>45345</v>
      </c>
      <c r="H252" t="s">
        <v>25</v>
      </c>
      <c r="I252">
        <v>3.3</v>
      </c>
      <c r="J252" t="s">
        <v>59</v>
      </c>
      <c r="K252">
        <v>2024</v>
      </c>
      <c r="L252">
        <v>1590.384</v>
      </c>
      <c r="M252">
        <v>6</v>
      </c>
      <c r="N252" t="s">
        <v>41</v>
      </c>
      <c r="O252" t="s">
        <v>68</v>
      </c>
      <c r="P252">
        <f>FlipkartSales[[#This Row],[Price (INR)]]*FlipkartSales[[#This Row],[Quantity Sold]]</f>
        <v>7951.92</v>
      </c>
      <c r="Q252">
        <f>FlipkartSales[[#This Row],[Total Sales (INR)]]-FlipkartSales[[#This Row],[Calculated Sales]]</f>
        <v>0</v>
      </c>
      <c r="R252" s="9">
        <f t="shared" si="24"/>
        <v>0.2</v>
      </c>
      <c r="S252">
        <f t="shared" si="25"/>
        <v>1987.98</v>
      </c>
      <c r="T252">
        <f t="shared" si="26"/>
        <v>397.596</v>
      </c>
      <c r="U252">
        <f t="shared" si="27"/>
        <v>2</v>
      </c>
      <c r="V252" t="str">
        <f t="shared" si="28"/>
        <v>Q1</v>
      </c>
      <c r="W252" t="str">
        <f t="shared" si="29"/>
        <v>Feb-2024</v>
      </c>
      <c r="X252">
        <f t="shared" si="30"/>
        <v>477.11520000000002</v>
      </c>
      <c r="Y252" s="5">
        <f t="shared" si="31"/>
        <v>7474.8047999999999</v>
      </c>
      <c r="Z252" s="21">
        <f>DATE(K252,MATCH(J252,{"January","February","March","April","May","June","July","August","September","October","November","December"},0),1)</f>
        <v>45323</v>
      </c>
    </row>
    <row r="253" spans="1:26" x14ac:dyDescent="0.3">
      <c r="A253" s="4" t="s">
        <v>321</v>
      </c>
      <c r="B253" s="4" t="s">
        <v>16</v>
      </c>
      <c r="C253" s="4" t="s">
        <v>17</v>
      </c>
      <c r="D253" s="5">
        <v>37590.44</v>
      </c>
      <c r="E253" s="6">
        <v>4</v>
      </c>
      <c r="F253" s="5">
        <v>150361.76</v>
      </c>
      <c r="G253" s="1">
        <v>45379</v>
      </c>
      <c r="H253" t="s">
        <v>44</v>
      </c>
      <c r="I253">
        <v>1.8</v>
      </c>
      <c r="J253" t="s">
        <v>56</v>
      </c>
      <c r="K253">
        <v>2024</v>
      </c>
      <c r="L253">
        <v>30072.352000000003</v>
      </c>
      <c r="M253">
        <v>10</v>
      </c>
      <c r="N253" t="s">
        <v>41</v>
      </c>
      <c r="O253" t="s">
        <v>33</v>
      </c>
      <c r="P253">
        <f>FlipkartSales[[#This Row],[Price (INR)]]*FlipkartSales[[#This Row],[Quantity Sold]]</f>
        <v>150361.76</v>
      </c>
      <c r="Q253">
        <f>FlipkartSales[[#This Row],[Total Sales (INR)]]-FlipkartSales[[#This Row],[Calculated Sales]]</f>
        <v>0</v>
      </c>
      <c r="R253" s="9">
        <f t="shared" si="24"/>
        <v>0.2</v>
      </c>
      <c r="S253">
        <f t="shared" si="25"/>
        <v>37590.44</v>
      </c>
      <c r="T253">
        <f t="shared" si="26"/>
        <v>7518.0880000000006</v>
      </c>
      <c r="U253">
        <f t="shared" si="27"/>
        <v>3</v>
      </c>
      <c r="V253" t="str">
        <f t="shared" si="28"/>
        <v>Q1</v>
      </c>
      <c r="W253" t="str">
        <f t="shared" si="29"/>
        <v>Mar-2024</v>
      </c>
      <c r="X253">
        <f t="shared" si="30"/>
        <v>15036.176000000001</v>
      </c>
      <c r="Y253" s="5">
        <f t="shared" si="31"/>
        <v>135325.584</v>
      </c>
      <c r="Z253" s="21">
        <f>DATE(K253,MATCH(J253,{"January","February","March","April","May","June","July","August","September","October","November","December"},0),1)</f>
        <v>45352</v>
      </c>
    </row>
    <row r="254" spans="1:26" x14ac:dyDescent="0.3">
      <c r="A254" s="4" t="s">
        <v>322</v>
      </c>
      <c r="B254" s="4" t="s">
        <v>43</v>
      </c>
      <c r="C254" s="4" t="s">
        <v>40</v>
      </c>
      <c r="D254" s="5">
        <v>31759.49</v>
      </c>
      <c r="E254" s="6">
        <v>4</v>
      </c>
      <c r="F254" s="5">
        <v>127037.96</v>
      </c>
      <c r="G254" s="1">
        <v>45637</v>
      </c>
      <c r="H254" t="s">
        <v>25</v>
      </c>
      <c r="I254">
        <v>2</v>
      </c>
      <c r="J254" t="s">
        <v>26</v>
      </c>
      <c r="K254">
        <v>2024</v>
      </c>
      <c r="L254">
        <v>25407.592000000004</v>
      </c>
      <c r="M254">
        <v>26</v>
      </c>
      <c r="N254" t="s">
        <v>20</v>
      </c>
      <c r="O254" t="s">
        <v>21</v>
      </c>
      <c r="P254">
        <f>FlipkartSales[[#This Row],[Price (INR)]]*FlipkartSales[[#This Row],[Quantity Sold]]</f>
        <v>127037.96</v>
      </c>
      <c r="Q254">
        <f>FlipkartSales[[#This Row],[Total Sales (INR)]]-FlipkartSales[[#This Row],[Calculated Sales]]</f>
        <v>0</v>
      </c>
      <c r="R254" s="9">
        <f t="shared" si="24"/>
        <v>0.2</v>
      </c>
      <c r="S254">
        <f t="shared" si="25"/>
        <v>31759.49</v>
      </c>
      <c r="T254">
        <f t="shared" si="26"/>
        <v>6351.898000000001</v>
      </c>
      <c r="U254">
        <f t="shared" si="27"/>
        <v>12</v>
      </c>
      <c r="V254" t="str">
        <f t="shared" si="28"/>
        <v>Q4</v>
      </c>
      <c r="W254" t="str">
        <f t="shared" si="29"/>
        <v>Dec-2024</v>
      </c>
      <c r="X254">
        <f t="shared" si="30"/>
        <v>33029.869599999998</v>
      </c>
      <c r="Y254" s="5">
        <f t="shared" si="31"/>
        <v>94008.090400000016</v>
      </c>
      <c r="Z254" s="21">
        <f>DATE(K254,MATCH(J254,{"January","February","March","April","May","June","July","August","September","October","November","December"},0),1)</f>
        <v>45627</v>
      </c>
    </row>
    <row r="255" spans="1:26" x14ac:dyDescent="0.3">
      <c r="A255" s="4" t="s">
        <v>323</v>
      </c>
      <c r="B255" s="4" t="s">
        <v>100</v>
      </c>
      <c r="C255" s="4" t="s">
        <v>31</v>
      </c>
      <c r="D255" s="5">
        <v>18787.05</v>
      </c>
      <c r="E255" s="6">
        <v>4</v>
      </c>
      <c r="F255" s="5">
        <v>75148.2</v>
      </c>
      <c r="G255" s="1">
        <v>45684</v>
      </c>
      <c r="H255" t="s">
        <v>71</v>
      </c>
      <c r="I255">
        <v>1.1000000000000001</v>
      </c>
      <c r="J255" t="s">
        <v>53</v>
      </c>
      <c r="K255">
        <v>2025</v>
      </c>
      <c r="L255">
        <v>15029.64</v>
      </c>
      <c r="M255">
        <v>15</v>
      </c>
      <c r="N255" t="s">
        <v>20</v>
      </c>
      <c r="O255" t="s">
        <v>68</v>
      </c>
      <c r="P255">
        <f>FlipkartSales[[#This Row],[Price (INR)]]*FlipkartSales[[#This Row],[Quantity Sold]]</f>
        <v>75148.2</v>
      </c>
      <c r="Q255">
        <f>FlipkartSales[[#This Row],[Total Sales (INR)]]-FlipkartSales[[#This Row],[Calculated Sales]]</f>
        <v>0</v>
      </c>
      <c r="R255" s="9">
        <f t="shared" si="24"/>
        <v>0.2</v>
      </c>
      <c r="S255">
        <f t="shared" si="25"/>
        <v>18787.05</v>
      </c>
      <c r="T255">
        <f t="shared" si="26"/>
        <v>3757.41</v>
      </c>
      <c r="U255">
        <f t="shared" si="27"/>
        <v>1</v>
      </c>
      <c r="V255" t="str">
        <f t="shared" si="28"/>
        <v>Q1</v>
      </c>
      <c r="W255" t="str">
        <f t="shared" si="29"/>
        <v>Jan-2025</v>
      </c>
      <c r="X255">
        <f t="shared" si="30"/>
        <v>11272.23</v>
      </c>
      <c r="Y255" s="5">
        <f t="shared" si="31"/>
        <v>63875.97</v>
      </c>
      <c r="Z255" s="21">
        <f>DATE(K255,MATCH(J255,{"January","February","March","April","May","June","July","August","September","October","November","December"},0),1)</f>
        <v>45658</v>
      </c>
    </row>
    <row r="256" spans="1:26" x14ac:dyDescent="0.3">
      <c r="A256" s="4" t="s">
        <v>324</v>
      </c>
      <c r="B256" s="4" t="s">
        <v>16</v>
      </c>
      <c r="C256" s="4" t="s">
        <v>17</v>
      </c>
      <c r="D256" s="5">
        <v>17066.16</v>
      </c>
      <c r="E256" s="6">
        <v>1</v>
      </c>
      <c r="F256" s="5">
        <v>17066.16</v>
      </c>
      <c r="G256" s="1">
        <v>45550</v>
      </c>
      <c r="H256" t="s">
        <v>44</v>
      </c>
      <c r="I256">
        <v>2.8</v>
      </c>
      <c r="J256" t="s">
        <v>19</v>
      </c>
      <c r="K256">
        <v>2024</v>
      </c>
      <c r="L256">
        <v>3413.232</v>
      </c>
      <c r="M256">
        <v>20</v>
      </c>
      <c r="N256" t="s">
        <v>41</v>
      </c>
      <c r="O256" t="s">
        <v>28</v>
      </c>
      <c r="P256">
        <f>FlipkartSales[[#This Row],[Price (INR)]]*FlipkartSales[[#This Row],[Quantity Sold]]</f>
        <v>17066.16</v>
      </c>
      <c r="Q256">
        <f>FlipkartSales[[#This Row],[Total Sales (INR)]]-FlipkartSales[[#This Row],[Calculated Sales]]</f>
        <v>0</v>
      </c>
      <c r="R256" s="9">
        <f t="shared" si="24"/>
        <v>0.2</v>
      </c>
      <c r="S256">
        <f t="shared" si="25"/>
        <v>17066.16</v>
      </c>
      <c r="T256">
        <f t="shared" si="26"/>
        <v>3413.232</v>
      </c>
      <c r="U256">
        <f t="shared" si="27"/>
        <v>9</v>
      </c>
      <c r="V256" t="str">
        <f t="shared" si="28"/>
        <v>Q3</v>
      </c>
      <c r="W256" t="str">
        <f t="shared" si="29"/>
        <v>Sep-2024</v>
      </c>
      <c r="X256">
        <f t="shared" si="30"/>
        <v>3413.232</v>
      </c>
      <c r="Y256" s="5">
        <f t="shared" si="31"/>
        <v>13652.928</v>
      </c>
      <c r="Z256" s="21">
        <f>DATE(K256,MATCH(J256,{"January","February","March","April","May","June","July","August","September","October","November","December"},0),1)</f>
        <v>45536</v>
      </c>
    </row>
    <row r="257" spans="1:26" x14ac:dyDescent="0.3">
      <c r="A257" s="4" t="s">
        <v>325</v>
      </c>
      <c r="B257" s="4" t="s">
        <v>52</v>
      </c>
      <c r="C257" s="4" t="s">
        <v>24</v>
      </c>
      <c r="D257" s="5">
        <v>15068.72</v>
      </c>
      <c r="E257" s="6">
        <v>4</v>
      </c>
      <c r="F257" s="5">
        <v>60274.879999999997</v>
      </c>
      <c r="G257" s="1">
        <v>45374</v>
      </c>
      <c r="H257" t="s">
        <v>18</v>
      </c>
      <c r="I257">
        <v>1.4</v>
      </c>
      <c r="J257" t="s">
        <v>56</v>
      </c>
      <c r="K257">
        <v>2024</v>
      </c>
      <c r="L257">
        <v>12054.976000000001</v>
      </c>
      <c r="M257">
        <v>20</v>
      </c>
      <c r="N257" t="s">
        <v>41</v>
      </c>
      <c r="O257" t="s">
        <v>21</v>
      </c>
      <c r="P257">
        <f>FlipkartSales[[#This Row],[Price (INR)]]*FlipkartSales[[#This Row],[Quantity Sold]]</f>
        <v>60274.879999999997</v>
      </c>
      <c r="Q257">
        <f>FlipkartSales[[#This Row],[Total Sales (INR)]]-FlipkartSales[[#This Row],[Calculated Sales]]</f>
        <v>0</v>
      </c>
      <c r="R257" s="9">
        <f t="shared" si="24"/>
        <v>0.2</v>
      </c>
      <c r="S257">
        <f t="shared" si="25"/>
        <v>15068.72</v>
      </c>
      <c r="T257">
        <f t="shared" si="26"/>
        <v>3013.7440000000001</v>
      </c>
      <c r="U257">
        <f t="shared" si="27"/>
        <v>3</v>
      </c>
      <c r="V257" t="str">
        <f t="shared" si="28"/>
        <v>Q1</v>
      </c>
      <c r="W257" t="str">
        <f t="shared" si="29"/>
        <v>Mar-2024</v>
      </c>
      <c r="X257">
        <f t="shared" si="30"/>
        <v>12054.975999999999</v>
      </c>
      <c r="Y257" s="5">
        <f t="shared" si="31"/>
        <v>48219.903999999995</v>
      </c>
      <c r="Z257" s="21">
        <f>DATE(K257,MATCH(J257,{"January","February","March","April","May","June","July","August","September","October","November","December"},0),1)</f>
        <v>45352</v>
      </c>
    </row>
    <row r="258" spans="1:26" x14ac:dyDescent="0.3">
      <c r="A258" s="4" t="s">
        <v>326</v>
      </c>
      <c r="B258" s="4" t="s">
        <v>66</v>
      </c>
      <c r="C258" s="4" t="s">
        <v>36</v>
      </c>
      <c r="D258" s="5">
        <v>44334.11</v>
      </c>
      <c r="E258" s="6">
        <v>3</v>
      </c>
      <c r="F258" s="5">
        <v>133002.32999999999</v>
      </c>
      <c r="G258" s="1">
        <v>45346</v>
      </c>
      <c r="H258" t="s">
        <v>44</v>
      </c>
      <c r="I258">
        <v>2.6</v>
      </c>
      <c r="J258" t="s">
        <v>59</v>
      </c>
      <c r="K258">
        <v>2024</v>
      </c>
      <c r="L258">
        <v>26600.466</v>
      </c>
      <c r="M258">
        <v>5</v>
      </c>
      <c r="N258" t="s">
        <v>20</v>
      </c>
      <c r="O258" t="s">
        <v>33</v>
      </c>
      <c r="P258">
        <f>FlipkartSales[[#This Row],[Price (INR)]]*FlipkartSales[[#This Row],[Quantity Sold]]</f>
        <v>133002.33000000002</v>
      </c>
      <c r="Q258">
        <f>FlipkartSales[[#This Row],[Total Sales (INR)]]-FlipkartSales[[#This Row],[Calculated Sales]]</f>
        <v>0</v>
      </c>
      <c r="R258" s="9">
        <f t="shared" ref="R258:R321" si="32">L258/F258</f>
        <v>0.2</v>
      </c>
      <c r="S258">
        <f t="shared" ref="S258:S321" si="33">F258/E258</f>
        <v>44334.109999999993</v>
      </c>
      <c r="T258">
        <f t="shared" ref="T258:T321" si="34">L258/E258</f>
        <v>8866.8220000000001</v>
      </c>
      <c r="U258">
        <f t="shared" ref="U258:U321" si="35">MONTH(G258)</f>
        <v>2</v>
      </c>
      <c r="V258" t="str">
        <f t="shared" ref="V258:V321" si="36">"Q"&amp;ROUNDUP(MONTH(G258)/3,0)</f>
        <v>Q1</v>
      </c>
      <c r="W258" t="str">
        <f t="shared" ref="W258:W321" si="37">TEXT(G258,"mmm-yyyy")</f>
        <v>Feb-2024</v>
      </c>
      <c r="X258">
        <f t="shared" ref="X258:X321" si="38">F258*M258/100</f>
        <v>6650.1164999999992</v>
      </c>
      <c r="Y258" s="5">
        <f t="shared" ref="Y258:Y321" si="39">F258-X258</f>
        <v>126352.21349999998</v>
      </c>
      <c r="Z258" s="21">
        <f>DATE(K258,MATCH(J258,{"January","February","March","April","May","June","July","August","September","October","November","December"},0),1)</f>
        <v>45323</v>
      </c>
    </row>
    <row r="259" spans="1:26" x14ac:dyDescent="0.3">
      <c r="A259" s="4" t="s">
        <v>327</v>
      </c>
      <c r="B259" s="4" t="s">
        <v>66</v>
      </c>
      <c r="C259" s="4" t="s">
        <v>36</v>
      </c>
      <c r="D259" s="5">
        <v>11183.75</v>
      </c>
      <c r="E259" s="6">
        <v>1</v>
      </c>
      <c r="F259" s="5">
        <v>11183.75</v>
      </c>
      <c r="G259" s="1">
        <v>45611</v>
      </c>
      <c r="H259" t="s">
        <v>71</v>
      </c>
      <c r="I259">
        <v>4.9000000000000004</v>
      </c>
      <c r="J259" t="s">
        <v>37</v>
      </c>
      <c r="K259">
        <v>2024</v>
      </c>
      <c r="L259">
        <v>2236.75</v>
      </c>
      <c r="M259">
        <v>13</v>
      </c>
      <c r="N259" t="s">
        <v>27</v>
      </c>
      <c r="O259" t="s">
        <v>33</v>
      </c>
      <c r="P259">
        <f>FlipkartSales[[#This Row],[Price (INR)]]*FlipkartSales[[#This Row],[Quantity Sold]]</f>
        <v>11183.75</v>
      </c>
      <c r="Q259">
        <f>FlipkartSales[[#This Row],[Total Sales (INR)]]-FlipkartSales[[#This Row],[Calculated Sales]]</f>
        <v>0</v>
      </c>
      <c r="R259" s="9">
        <f t="shared" si="32"/>
        <v>0.2</v>
      </c>
      <c r="S259">
        <f t="shared" si="33"/>
        <v>11183.75</v>
      </c>
      <c r="T259">
        <f t="shared" si="34"/>
        <v>2236.75</v>
      </c>
      <c r="U259">
        <f t="shared" si="35"/>
        <v>11</v>
      </c>
      <c r="V259" t="str">
        <f t="shared" si="36"/>
        <v>Q4</v>
      </c>
      <c r="W259" t="str">
        <f t="shared" si="37"/>
        <v>Nov-2024</v>
      </c>
      <c r="X259">
        <f t="shared" si="38"/>
        <v>1453.8875</v>
      </c>
      <c r="Y259" s="5">
        <f t="shared" si="39"/>
        <v>9729.8624999999993</v>
      </c>
      <c r="Z259" s="21">
        <f>DATE(K259,MATCH(J259,{"January","February","March","April","May","June","July","August","September","October","November","December"},0),1)</f>
        <v>45597</v>
      </c>
    </row>
    <row r="260" spans="1:26" x14ac:dyDescent="0.3">
      <c r="A260" s="4" t="s">
        <v>328</v>
      </c>
      <c r="B260" s="4" t="s">
        <v>39</v>
      </c>
      <c r="C260" s="4" t="s">
        <v>40</v>
      </c>
      <c r="D260" s="5">
        <v>2923.95</v>
      </c>
      <c r="E260" s="6">
        <v>5</v>
      </c>
      <c r="F260" s="5">
        <v>14619.75</v>
      </c>
      <c r="G260" s="1">
        <v>45520</v>
      </c>
      <c r="H260" t="s">
        <v>80</v>
      </c>
      <c r="I260">
        <v>1.1000000000000001</v>
      </c>
      <c r="J260" t="s">
        <v>88</v>
      </c>
      <c r="K260">
        <v>2024</v>
      </c>
      <c r="L260">
        <v>2923.9500000000003</v>
      </c>
      <c r="M260">
        <v>10</v>
      </c>
      <c r="N260" t="s">
        <v>41</v>
      </c>
      <c r="O260" t="s">
        <v>33</v>
      </c>
      <c r="P260">
        <f>FlipkartSales[[#This Row],[Price (INR)]]*FlipkartSales[[#This Row],[Quantity Sold]]</f>
        <v>14619.75</v>
      </c>
      <c r="Q260">
        <f>FlipkartSales[[#This Row],[Total Sales (INR)]]-FlipkartSales[[#This Row],[Calculated Sales]]</f>
        <v>0</v>
      </c>
      <c r="R260" s="9">
        <f t="shared" si="32"/>
        <v>0.2</v>
      </c>
      <c r="S260">
        <f t="shared" si="33"/>
        <v>2923.95</v>
      </c>
      <c r="T260">
        <f t="shared" si="34"/>
        <v>584.79000000000008</v>
      </c>
      <c r="U260">
        <f t="shared" si="35"/>
        <v>8</v>
      </c>
      <c r="V260" t="str">
        <f t="shared" si="36"/>
        <v>Q3</v>
      </c>
      <c r="W260" t="str">
        <f t="shared" si="37"/>
        <v>Aug-2024</v>
      </c>
      <c r="X260">
        <f t="shared" si="38"/>
        <v>1461.9749999999999</v>
      </c>
      <c r="Y260" s="5">
        <f t="shared" si="39"/>
        <v>13157.775</v>
      </c>
      <c r="Z260" s="21">
        <f>DATE(K260,MATCH(J260,{"January","February","March","April","May","June","July","August","September","October","November","December"},0),1)</f>
        <v>45505</v>
      </c>
    </row>
    <row r="261" spans="1:26" x14ac:dyDescent="0.3">
      <c r="A261" s="4" t="s">
        <v>329</v>
      </c>
      <c r="B261" s="4" t="s">
        <v>100</v>
      </c>
      <c r="C261" s="4" t="s">
        <v>31</v>
      </c>
      <c r="D261" s="5">
        <v>7339.66</v>
      </c>
      <c r="E261" s="6">
        <v>2</v>
      </c>
      <c r="F261" s="5">
        <v>14679.32</v>
      </c>
      <c r="G261" s="1">
        <v>45625</v>
      </c>
      <c r="H261" t="s">
        <v>80</v>
      </c>
      <c r="I261">
        <v>1.1000000000000001</v>
      </c>
      <c r="J261" t="s">
        <v>37</v>
      </c>
      <c r="K261">
        <v>2024</v>
      </c>
      <c r="L261">
        <v>2935.864</v>
      </c>
      <c r="M261">
        <v>20</v>
      </c>
      <c r="N261" t="s">
        <v>20</v>
      </c>
      <c r="O261" t="s">
        <v>28</v>
      </c>
      <c r="P261">
        <f>FlipkartSales[[#This Row],[Price (INR)]]*FlipkartSales[[#This Row],[Quantity Sold]]</f>
        <v>14679.32</v>
      </c>
      <c r="Q261">
        <f>FlipkartSales[[#This Row],[Total Sales (INR)]]-FlipkartSales[[#This Row],[Calculated Sales]]</f>
        <v>0</v>
      </c>
      <c r="R261" s="9">
        <f t="shared" si="32"/>
        <v>0.2</v>
      </c>
      <c r="S261">
        <f t="shared" si="33"/>
        <v>7339.66</v>
      </c>
      <c r="T261">
        <f t="shared" si="34"/>
        <v>1467.932</v>
      </c>
      <c r="U261">
        <f t="shared" si="35"/>
        <v>11</v>
      </c>
      <c r="V261" t="str">
        <f t="shared" si="36"/>
        <v>Q4</v>
      </c>
      <c r="W261" t="str">
        <f t="shared" si="37"/>
        <v>Nov-2024</v>
      </c>
      <c r="X261">
        <f t="shared" si="38"/>
        <v>2935.864</v>
      </c>
      <c r="Y261" s="5">
        <f t="shared" si="39"/>
        <v>11743.456</v>
      </c>
      <c r="Z261" s="21">
        <f>DATE(K261,MATCH(J261,{"January","February","March","April","May","June","July","August","September","October","November","December"},0),1)</f>
        <v>45597</v>
      </c>
    </row>
    <row r="262" spans="1:26" x14ac:dyDescent="0.3">
      <c r="A262" s="4" t="s">
        <v>330</v>
      </c>
      <c r="B262" s="4" t="s">
        <v>50</v>
      </c>
      <c r="C262" s="4" t="s">
        <v>40</v>
      </c>
      <c r="D262" s="5">
        <v>41405.370000000003</v>
      </c>
      <c r="E262" s="6">
        <v>2</v>
      </c>
      <c r="F262" s="5">
        <v>82810.740000000005</v>
      </c>
      <c r="G262" s="1">
        <v>45571</v>
      </c>
      <c r="H262" t="s">
        <v>44</v>
      </c>
      <c r="I262">
        <v>4.5999999999999996</v>
      </c>
      <c r="J262" t="s">
        <v>45</v>
      </c>
      <c r="K262">
        <v>2024</v>
      </c>
      <c r="L262">
        <v>16562.148000000001</v>
      </c>
      <c r="M262">
        <v>7</v>
      </c>
      <c r="N262" t="s">
        <v>27</v>
      </c>
      <c r="O262" t="s">
        <v>68</v>
      </c>
      <c r="P262">
        <f>FlipkartSales[[#This Row],[Price (INR)]]*FlipkartSales[[#This Row],[Quantity Sold]]</f>
        <v>82810.740000000005</v>
      </c>
      <c r="Q262">
        <f>FlipkartSales[[#This Row],[Total Sales (INR)]]-FlipkartSales[[#This Row],[Calculated Sales]]</f>
        <v>0</v>
      </c>
      <c r="R262" s="9">
        <f t="shared" si="32"/>
        <v>0.2</v>
      </c>
      <c r="S262">
        <f t="shared" si="33"/>
        <v>41405.370000000003</v>
      </c>
      <c r="T262">
        <f t="shared" si="34"/>
        <v>8281.0740000000005</v>
      </c>
      <c r="U262">
        <f t="shared" si="35"/>
        <v>10</v>
      </c>
      <c r="V262" t="str">
        <f t="shared" si="36"/>
        <v>Q4</v>
      </c>
      <c r="W262" t="str">
        <f t="shared" si="37"/>
        <v>Oct-2024</v>
      </c>
      <c r="X262">
        <f t="shared" si="38"/>
        <v>5796.7518000000009</v>
      </c>
      <c r="Y262" s="5">
        <f t="shared" si="39"/>
        <v>77013.988200000007</v>
      </c>
      <c r="Z262" s="21">
        <f>DATE(K262,MATCH(J262,{"January","February","March","April","May","June","July","August","September","October","November","December"},0),1)</f>
        <v>45566</v>
      </c>
    </row>
    <row r="263" spans="1:26" x14ac:dyDescent="0.3">
      <c r="A263" s="4" t="s">
        <v>331</v>
      </c>
      <c r="B263" s="4" t="s">
        <v>43</v>
      </c>
      <c r="C263" s="4" t="s">
        <v>40</v>
      </c>
      <c r="D263" s="5">
        <v>36114.379999999997</v>
      </c>
      <c r="E263" s="6">
        <v>1</v>
      </c>
      <c r="F263" s="5">
        <v>36114.379999999997</v>
      </c>
      <c r="G263" s="1">
        <v>45536</v>
      </c>
      <c r="H263" t="s">
        <v>80</v>
      </c>
      <c r="I263">
        <v>4.5999999999999996</v>
      </c>
      <c r="J263" t="s">
        <v>19</v>
      </c>
      <c r="K263">
        <v>2024</v>
      </c>
      <c r="L263">
        <v>7222.8760000000002</v>
      </c>
      <c r="M263">
        <v>24</v>
      </c>
      <c r="N263" t="s">
        <v>41</v>
      </c>
      <c r="O263" t="s">
        <v>28</v>
      </c>
      <c r="P263">
        <f>FlipkartSales[[#This Row],[Price (INR)]]*FlipkartSales[[#This Row],[Quantity Sold]]</f>
        <v>36114.379999999997</v>
      </c>
      <c r="Q263">
        <f>FlipkartSales[[#This Row],[Total Sales (INR)]]-FlipkartSales[[#This Row],[Calculated Sales]]</f>
        <v>0</v>
      </c>
      <c r="R263" s="9">
        <f t="shared" si="32"/>
        <v>0.2</v>
      </c>
      <c r="S263">
        <f t="shared" si="33"/>
        <v>36114.379999999997</v>
      </c>
      <c r="T263">
        <f t="shared" si="34"/>
        <v>7222.8760000000002</v>
      </c>
      <c r="U263">
        <f t="shared" si="35"/>
        <v>9</v>
      </c>
      <c r="V263" t="str">
        <f t="shared" si="36"/>
        <v>Q3</v>
      </c>
      <c r="W263" t="str">
        <f t="shared" si="37"/>
        <v>Sep-2024</v>
      </c>
      <c r="X263">
        <f t="shared" si="38"/>
        <v>8667.4511999999995</v>
      </c>
      <c r="Y263" s="5">
        <f t="shared" si="39"/>
        <v>27446.928799999998</v>
      </c>
      <c r="Z263" s="21">
        <f>DATE(K263,MATCH(J263,{"January","February","March","April","May","June","July","August","September","October","November","December"},0),1)</f>
        <v>45536</v>
      </c>
    </row>
    <row r="264" spans="1:26" x14ac:dyDescent="0.3">
      <c r="A264" s="4" t="s">
        <v>332</v>
      </c>
      <c r="B264" s="4" t="s">
        <v>66</v>
      </c>
      <c r="C264" s="4" t="s">
        <v>36</v>
      </c>
      <c r="D264" s="5">
        <v>19915.59</v>
      </c>
      <c r="E264" s="6">
        <v>5</v>
      </c>
      <c r="F264" s="5">
        <v>99577.95</v>
      </c>
      <c r="G264" s="1">
        <v>45541</v>
      </c>
      <c r="H264" t="s">
        <v>64</v>
      </c>
      <c r="I264">
        <v>1.2</v>
      </c>
      <c r="J264" t="s">
        <v>19</v>
      </c>
      <c r="K264">
        <v>2024</v>
      </c>
      <c r="L264">
        <v>19915.59</v>
      </c>
      <c r="M264">
        <v>8</v>
      </c>
      <c r="N264" t="s">
        <v>27</v>
      </c>
      <c r="O264" t="s">
        <v>21</v>
      </c>
      <c r="P264">
        <f>FlipkartSales[[#This Row],[Price (INR)]]*FlipkartSales[[#This Row],[Quantity Sold]]</f>
        <v>99577.95</v>
      </c>
      <c r="Q264">
        <f>FlipkartSales[[#This Row],[Total Sales (INR)]]-FlipkartSales[[#This Row],[Calculated Sales]]</f>
        <v>0</v>
      </c>
      <c r="R264" s="9">
        <f t="shared" si="32"/>
        <v>0.2</v>
      </c>
      <c r="S264">
        <f t="shared" si="33"/>
        <v>19915.59</v>
      </c>
      <c r="T264">
        <f t="shared" si="34"/>
        <v>3983.1179999999999</v>
      </c>
      <c r="U264">
        <f t="shared" si="35"/>
        <v>9</v>
      </c>
      <c r="V264" t="str">
        <f t="shared" si="36"/>
        <v>Q3</v>
      </c>
      <c r="W264" t="str">
        <f t="shared" si="37"/>
        <v>Sep-2024</v>
      </c>
      <c r="X264">
        <f t="shared" si="38"/>
        <v>7966.2359999999999</v>
      </c>
      <c r="Y264" s="5">
        <f t="shared" si="39"/>
        <v>91611.713999999993</v>
      </c>
      <c r="Z264" s="21">
        <f>DATE(K264,MATCH(J264,{"January","February","March","April","May","June","July","August","September","October","November","December"},0),1)</f>
        <v>45536</v>
      </c>
    </row>
    <row r="265" spans="1:26" x14ac:dyDescent="0.3">
      <c r="A265" s="4" t="s">
        <v>333</v>
      </c>
      <c r="B265" s="4" t="s">
        <v>66</v>
      </c>
      <c r="C265" s="4" t="s">
        <v>36</v>
      </c>
      <c r="D265" s="5">
        <v>18366.97</v>
      </c>
      <c r="E265" s="6">
        <v>4</v>
      </c>
      <c r="F265" s="5">
        <v>73467.88</v>
      </c>
      <c r="G265" s="1">
        <v>45434</v>
      </c>
      <c r="H265" t="s">
        <v>64</v>
      </c>
      <c r="I265">
        <v>1.2</v>
      </c>
      <c r="J265" t="s">
        <v>32</v>
      </c>
      <c r="K265">
        <v>2024</v>
      </c>
      <c r="L265">
        <v>14693.576000000001</v>
      </c>
      <c r="M265">
        <v>23</v>
      </c>
      <c r="N265" t="s">
        <v>20</v>
      </c>
      <c r="O265" t="s">
        <v>33</v>
      </c>
      <c r="P265">
        <f>FlipkartSales[[#This Row],[Price (INR)]]*FlipkartSales[[#This Row],[Quantity Sold]]</f>
        <v>73467.88</v>
      </c>
      <c r="Q265">
        <f>FlipkartSales[[#This Row],[Total Sales (INR)]]-FlipkartSales[[#This Row],[Calculated Sales]]</f>
        <v>0</v>
      </c>
      <c r="R265" s="9">
        <f t="shared" si="32"/>
        <v>0.2</v>
      </c>
      <c r="S265">
        <f t="shared" si="33"/>
        <v>18366.97</v>
      </c>
      <c r="T265">
        <f t="shared" si="34"/>
        <v>3673.3940000000002</v>
      </c>
      <c r="U265">
        <f t="shared" si="35"/>
        <v>5</v>
      </c>
      <c r="V265" t="str">
        <f t="shared" si="36"/>
        <v>Q2</v>
      </c>
      <c r="W265" t="str">
        <f t="shared" si="37"/>
        <v>May-2024</v>
      </c>
      <c r="X265">
        <f t="shared" si="38"/>
        <v>16897.612400000002</v>
      </c>
      <c r="Y265" s="5">
        <f t="shared" si="39"/>
        <v>56570.267600000006</v>
      </c>
      <c r="Z265" s="21">
        <f>DATE(K265,MATCH(J265,{"January","February","March","April","May","June","July","August","September","October","November","December"},0),1)</f>
        <v>45413</v>
      </c>
    </row>
    <row r="266" spans="1:26" x14ac:dyDescent="0.3">
      <c r="A266" s="4" t="s">
        <v>334</v>
      </c>
      <c r="B266" s="4" t="s">
        <v>66</v>
      </c>
      <c r="C266" s="4" t="s">
        <v>36</v>
      </c>
      <c r="D266" s="5">
        <v>8563.14</v>
      </c>
      <c r="E266" s="6">
        <v>2</v>
      </c>
      <c r="F266" s="5">
        <v>17126.28</v>
      </c>
      <c r="G266" s="1">
        <v>45354</v>
      </c>
      <c r="H266" t="s">
        <v>64</v>
      </c>
      <c r="I266">
        <v>3.1</v>
      </c>
      <c r="J266" t="s">
        <v>56</v>
      </c>
      <c r="K266">
        <v>2024</v>
      </c>
      <c r="L266">
        <v>3425.2559999999999</v>
      </c>
      <c r="M266">
        <v>30</v>
      </c>
      <c r="N266" t="s">
        <v>41</v>
      </c>
      <c r="O266" t="s">
        <v>28</v>
      </c>
      <c r="P266">
        <f>FlipkartSales[[#This Row],[Price (INR)]]*FlipkartSales[[#This Row],[Quantity Sold]]</f>
        <v>17126.28</v>
      </c>
      <c r="Q266">
        <f>FlipkartSales[[#This Row],[Total Sales (INR)]]-FlipkartSales[[#This Row],[Calculated Sales]]</f>
        <v>0</v>
      </c>
      <c r="R266" s="9">
        <f t="shared" si="32"/>
        <v>0.2</v>
      </c>
      <c r="S266">
        <f t="shared" si="33"/>
        <v>8563.14</v>
      </c>
      <c r="T266">
        <f t="shared" si="34"/>
        <v>1712.6279999999999</v>
      </c>
      <c r="U266">
        <f t="shared" si="35"/>
        <v>3</v>
      </c>
      <c r="V266" t="str">
        <f t="shared" si="36"/>
        <v>Q1</v>
      </c>
      <c r="W266" t="str">
        <f t="shared" si="37"/>
        <v>Mar-2024</v>
      </c>
      <c r="X266">
        <f t="shared" si="38"/>
        <v>5137.884</v>
      </c>
      <c r="Y266" s="5">
        <f t="shared" si="39"/>
        <v>11988.395999999999</v>
      </c>
      <c r="Z266" s="21">
        <f>DATE(K266,MATCH(J266,{"January","February","March","April","May","June","July","August","September","October","November","December"},0),1)</f>
        <v>45352</v>
      </c>
    </row>
    <row r="267" spans="1:26" x14ac:dyDescent="0.3">
      <c r="A267" s="4" t="s">
        <v>335</v>
      </c>
      <c r="B267" s="4" t="s">
        <v>94</v>
      </c>
      <c r="C267" s="4" t="s">
        <v>31</v>
      </c>
      <c r="D267" s="5">
        <v>40461.79</v>
      </c>
      <c r="E267" s="6">
        <v>1</v>
      </c>
      <c r="F267" s="5">
        <v>40461.79</v>
      </c>
      <c r="G267" s="1">
        <v>45431</v>
      </c>
      <c r="H267" t="s">
        <v>71</v>
      </c>
      <c r="I267">
        <v>4.9000000000000004</v>
      </c>
      <c r="J267" t="s">
        <v>32</v>
      </c>
      <c r="K267">
        <v>2024</v>
      </c>
      <c r="L267">
        <v>8092.3580000000002</v>
      </c>
      <c r="M267">
        <v>7</v>
      </c>
      <c r="N267" t="s">
        <v>27</v>
      </c>
      <c r="O267" t="s">
        <v>28</v>
      </c>
      <c r="P267">
        <f>FlipkartSales[[#This Row],[Price (INR)]]*FlipkartSales[[#This Row],[Quantity Sold]]</f>
        <v>40461.79</v>
      </c>
      <c r="Q267">
        <f>FlipkartSales[[#This Row],[Total Sales (INR)]]-FlipkartSales[[#This Row],[Calculated Sales]]</f>
        <v>0</v>
      </c>
      <c r="R267" s="9">
        <f t="shared" si="32"/>
        <v>0.2</v>
      </c>
      <c r="S267">
        <f t="shared" si="33"/>
        <v>40461.79</v>
      </c>
      <c r="T267">
        <f t="shared" si="34"/>
        <v>8092.3580000000002</v>
      </c>
      <c r="U267">
        <f t="shared" si="35"/>
        <v>5</v>
      </c>
      <c r="V267" t="str">
        <f t="shared" si="36"/>
        <v>Q2</v>
      </c>
      <c r="W267" t="str">
        <f t="shared" si="37"/>
        <v>May-2024</v>
      </c>
      <c r="X267">
        <f t="shared" si="38"/>
        <v>2832.3253000000004</v>
      </c>
      <c r="Y267" s="5">
        <f t="shared" si="39"/>
        <v>37629.464699999997</v>
      </c>
      <c r="Z267" s="21">
        <f>DATE(K267,MATCH(J267,{"January","February","March","April","May","June","July","August","September","October","November","December"},0),1)</f>
        <v>45413</v>
      </c>
    </row>
    <row r="268" spans="1:26" x14ac:dyDescent="0.3">
      <c r="A268" s="4" t="s">
        <v>336</v>
      </c>
      <c r="B268" s="4" t="s">
        <v>52</v>
      </c>
      <c r="C268" s="4" t="s">
        <v>24</v>
      </c>
      <c r="D268" s="5">
        <v>6943.4</v>
      </c>
      <c r="E268" s="6">
        <v>5</v>
      </c>
      <c r="F268" s="5">
        <v>34717</v>
      </c>
      <c r="G268" s="1">
        <v>45489</v>
      </c>
      <c r="H268" t="s">
        <v>18</v>
      </c>
      <c r="I268">
        <v>1.5</v>
      </c>
      <c r="J268" t="s">
        <v>48</v>
      </c>
      <c r="K268">
        <v>2024</v>
      </c>
      <c r="L268">
        <v>6943.4000000000015</v>
      </c>
      <c r="M268">
        <v>23</v>
      </c>
      <c r="N268" t="s">
        <v>41</v>
      </c>
      <c r="O268" t="s">
        <v>68</v>
      </c>
      <c r="P268">
        <f>FlipkartSales[[#This Row],[Price (INR)]]*FlipkartSales[[#This Row],[Quantity Sold]]</f>
        <v>34717</v>
      </c>
      <c r="Q268">
        <f>FlipkartSales[[#This Row],[Total Sales (INR)]]-FlipkartSales[[#This Row],[Calculated Sales]]</f>
        <v>0</v>
      </c>
      <c r="R268" s="9">
        <f t="shared" si="32"/>
        <v>0.20000000000000004</v>
      </c>
      <c r="S268">
        <f t="shared" si="33"/>
        <v>6943.4</v>
      </c>
      <c r="T268">
        <f t="shared" si="34"/>
        <v>1388.6800000000003</v>
      </c>
      <c r="U268">
        <f t="shared" si="35"/>
        <v>7</v>
      </c>
      <c r="V268" t="str">
        <f t="shared" si="36"/>
        <v>Q3</v>
      </c>
      <c r="W268" t="str">
        <f t="shared" si="37"/>
        <v>Jul-2024</v>
      </c>
      <c r="X268">
        <f t="shared" si="38"/>
        <v>7984.91</v>
      </c>
      <c r="Y268" s="5">
        <f t="shared" si="39"/>
        <v>26732.09</v>
      </c>
      <c r="Z268" s="21">
        <f>DATE(K268,MATCH(J268,{"January","February","March","April","May","June","July","August","September","October","November","December"},0),1)</f>
        <v>45474</v>
      </c>
    </row>
    <row r="269" spans="1:26" x14ac:dyDescent="0.3">
      <c r="A269" s="4" t="s">
        <v>337</v>
      </c>
      <c r="B269" s="4" t="s">
        <v>100</v>
      </c>
      <c r="C269" s="4" t="s">
        <v>31</v>
      </c>
      <c r="D269" s="5">
        <v>14517.08</v>
      </c>
      <c r="E269" s="6">
        <v>1</v>
      </c>
      <c r="F269" s="5">
        <v>14517.08</v>
      </c>
      <c r="G269" s="1">
        <v>45431</v>
      </c>
      <c r="H269" t="s">
        <v>25</v>
      </c>
      <c r="I269">
        <v>3</v>
      </c>
      <c r="J269" t="s">
        <v>32</v>
      </c>
      <c r="K269">
        <v>2024</v>
      </c>
      <c r="L269">
        <v>2903.4160000000002</v>
      </c>
      <c r="M269">
        <v>24</v>
      </c>
      <c r="N269" t="s">
        <v>27</v>
      </c>
      <c r="O269" t="s">
        <v>68</v>
      </c>
      <c r="P269">
        <f>FlipkartSales[[#This Row],[Price (INR)]]*FlipkartSales[[#This Row],[Quantity Sold]]</f>
        <v>14517.08</v>
      </c>
      <c r="Q269">
        <f>FlipkartSales[[#This Row],[Total Sales (INR)]]-FlipkartSales[[#This Row],[Calculated Sales]]</f>
        <v>0</v>
      </c>
      <c r="R269" s="9">
        <f t="shared" si="32"/>
        <v>0.2</v>
      </c>
      <c r="S269">
        <f t="shared" si="33"/>
        <v>14517.08</v>
      </c>
      <c r="T269">
        <f t="shared" si="34"/>
        <v>2903.4160000000002</v>
      </c>
      <c r="U269">
        <f t="shared" si="35"/>
        <v>5</v>
      </c>
      <c r="V269" t="str">
        <f t="shared" si="36"/>
        <v>Q2</v>
      </c>
      <c r="W269" t="str">
        <f t="shared" si="37"/>
        <v>May-2024</v>
      </c>
      <c r="X269">
        <f t="shared" si="38"/>
        <v>3484.0991999999997</v>
      </c>
      <c r="Y269" s="5">
        <f t="shared" si="39"/>
        <v>11032.980800000001</v>
      </c>
      <c r="Z269" s="21">
        <f>DATE(K269,MATCH(J269,{"January","February","March","April","May","June","July","August","September","October","November","December"},0),1)</f>
        <v>45413</v>
      </c>
    </row>
    <row r="270" spans="1:26" x14ac:dyDescent="0.3">
      <c r="A270" s="4" t="s">
        <v>338</v>
      </c>
      <c r="B270" s="4" t="s">
        <v>55</v>
      </c>
      <c r="C270" s="4" t="s">
        <v>36</v>
      </c>
      <c r="D270" s="5">
        <v>4248.25</v>
      </c>
      <c r="E270" s="6">
        <v>5</v>
      </c>
      <c r="F270" s="5">
        <v>21241.25</v>
      </c>
      <c r="G270" s="1">
        <v>45492</v>
      </c>
      <c r="H270" t="s">
        <v>44</v>
      </c>
      <c r="I270">
        <v>4.0999999999999996</v>
      </c>
      <c r="J270" t="s">
        <v>48</v>
      </c>
      <c r="K270">
        <v>2024</v>
      </c>
      <c r="L270">
        <v>4248.25</v>
      </c>
      <c r="M270">
        <v>11</v>
      </c>
      <c r="N270" t="s">
        <v>20</v>
      </c>
      <c r="O270" t="s">
        <v>33</v>
      </c>
      <c r="P270">
        <f>FlipkartSales[[#This Row],[Price (INR)]]*FlipkartSales[[#This Row],[Quantity Sold]]</f>
        <v>21241.25</v>
      </c>
      <c r="Q270">
        <f>FlipkartSales[[#This Row],[Total Sales (INR)]]-FlipkartSales[[#This Row],[Calculated Sales]]</f>
        <v>0</v>
      </c>
      <c r="R270" s="9">
        <f t="shared" si="32"/>
        <v>0.2</v>
      </c>
      <c r="S270">
        <f t="shared" si="33"/>
        <v>4248.25</v>
      </c>
      <c r="T270">
        <f t="shared" si="34"/>
        <v>849.65</v>
      </c>
      <c r="U270">
        <f t="shared" si="35"/>
        <v>7</v>
      </c>
      <c r="V270" t="str">
        <f t="shared" si="36"/>
        <v>Q3</v>
      </c>
      <c r="W270" t="str">
        <f t="shared" si="37"/>
        <v>Jul-2024</v>
      </c>
      <c r="X270">
        <f t="shared" si="38"/>
        <v>2336.5374999999999</v>
      </c>
      <c r="Y270" s="5">
        <f t="shared" si="39"/>
        <v>18904.712500000001</v>
      </c>
      <c r="Z270" s="21">
        <f>DATE(K270,MATCH(J270,{"January","February","March","April","May","June","July","August","September","October","November","December"},0),1)</f>
        <v>45474</v>
      </c>
    </row>
    <row r="271" spans="1:26" x14ac:dyDescent="0.3">
      <c r="A271" s="4" t="s">
        <v>339</v>
      </c>
      <c r="B271" s="4" t="s">
        <v>43</v>
      </c>
      <c r="C271" s="4" t="s">
        <v>40</v>
      </c>
      <c r="D271" s="5">
        <v>43118.73</v>
      </c>
      <c r="E271" s="6">
        <v>5</v>
      </c>
      <c r="F271" s="5">
        <v>215593.65</v>
      </c>
      <c r="G271" s="1">
        <v>45638</v>
      </c>
      <c r="H271" t="s">
        <v>18</v>
      </c>
      <c r="I271">
        <v>3.1</v>
      </c>
      <c r="J271" t="s">
        <v>26</v>
      </c>
      <c r="K271">
        <v>2024</v>
      </c>
      <c r="L271">
        <v>43118.73</v>
      </c>
      <c r="M271">
        <v>24</v>
      </c>
      <c r="N271" t="s">
        <v>20</v>
      </c>
      <c r="O271" t="s">
        <v>28</v>
      </c>
      <c r="P271">
        <f>FlipkartSales[[#This Row],[Price (INR)]]*FlipkartSales[[#This Row],[Quantity Sold]]</f>
        <v>215593.65000000002</v>
      </c>
      <c r="Q271">
        <f>FlipkartSales[[#This Row],[Total Sales (INR)]]-FlipkartSales[[#This Row],[Calculated Sales]]</f>
        <v>0</v>
      </c>
      <c r="R271" s="9">
        <f t="shared" si="32"/>
        <v>0.2</v>
      </c>
      <c r="S271">
        <f t="shared" si="33"/>
        <v>43118.729999999996</v>
      </c>
      <c r="T271">
        <f t="shared" si="34"/>
        <v>8623.746000000001</v>
      </c>
      <c r="U271">
        <f t="shared" si="35"/>
        <v>12</v>
      </c>
      <c r="V271" t="str">
        <f t="shared" si="36"/>
        <v>Q4</v>
      </c>
      <c r="W271" t="str">
        <f t="shared" si="37"/>
        <v>Dec-2024</v>
      </c>
      <c r="X271">
        <f t="shared" si="38"/>
        <v>51742.475999999995</v>
      </c>
      <c r="Y271" s="5">
        <f t="shared" si="39"/>
        <v>163851.174</v>
      </c>
      <c r="Z271" s="21">
        <f>DATE(K271,MATCH(J271,{"January","February","March","April","May","June","July","August","September","October","November","December"},0),1)</f>
        <v>45627</v>
      </c>
    </row>
    <row r="272" spans="1:26" x14ac:dyDescent="0.3">
      <c r="A272" s="4" t="s">
        <v>340</v>
      </c>
      <c r="B272" s="4" t="s">
        <v>176</v>
      </c>
      <c r="C272" s="4" t="s">
        <v>24</v>
      </c>
      <c r="D272" s="5">
        <v>10086.76</v>
      </c>
      <c r="E272" s="6">
        <v>2</v>
      </c>
      <c r="F272" s="5">
        <v>20173.52</v>
      </c>
      <c r="G272" s="1">
        <v>45377</v>
      </c>
      <c r="H272" t="s">
        <v>44</v>
      </c>
      <c r="I272">
        <v>1.9</v>
      </c>
      <c r="J272" t="s">
        <v>56</v>
      </c>
      <c r="K272">
        <v>2024</v>
      </c>
      <c r="L272">
        <v>4034.7040000000002</v>
      </c>
      <c r="M272">
        <v>13</v>
      </c>
      <c r="N272" t="s">
        <v>41</v>
      </c>
      <c r="O272" t="s">
        <v>28</v>
      </c>
      <c r="P272">
        <f>FlipkartSales[[#This Row],[Price (INR)]]*FlipkartSales[[#This Row],[Quantity Sold]]</f>
        <v>20173.52</v>
      </c>
      <c r="Q272">
        <f>FlipkartSales[[#This Row],[Total Sales (INR)]]-FlipkartSales[[#This Row],[Calculated Sales]]</f>
        <v>0</v>
      </c>
      <c r="R272" s="9">
        <f t="shared" si="32"/>
        <v>0.2</v>
      </c>
      <c r="S272">
        <f t="shared" si="33"/>
        <v>10086.76</v>
      </c>
      <c r="T272">
        <f t="shared" si="34"/>
        <v>2017.3520000000001</v>
      </c>
      <c r="U272">
        <f t="shared" si="35"/>
        <v>3</v>
      </c>
      <c r="V272" t="str">
        <f t="shared" si="36"/>
        <v>Q1</v>
      </c>
      <c r="W272" t="str">
        <f t="shared" si="37"/>
        <v>Mar-2024</v>
      </c>
      <c r="X272">
        <f t="shared" si="38"/>
        <v>2622.5576000000001</v>
      </c>
      <c r="Y272" s="5">
        <f t="shared" si="39"/>
        <v>17550.9624</v>
      </c>
      <c r="Z272" s="21">
        <f>DATE(K272,MATCH(J272,{"January","February","March","April","May","June","July","August","September","October","November","December"},0),1)</f>
        <v>45352</v>
      </c>
    </row>
    <row r="273" spans="1:26" x14ac:dyDescent="0.3">
      <c r="A273" s="4" t="s">
        <v>341</v>
      </c>
      <c r="B273" s="4" t="s">
        <v>30</v>
      </c>
      <c r="C273" s="4" t="s">
        <v>31</v>
      </c>
      <c r="D273" s="5">
        <v>35373.5</v>
      </c>
      <c r="E273" s="6">
        <v>4</v>
      </c>
      <c r="F273" s="5">
        <v>141494</v>
      </c>
      <c r="G273" s="1">
        <v>45513</v>
      </c>
      <c r="H273" t="s">
        <v>71</v>
      </c>
      <c r="I273">
        <v>2.9</v>
      </c>
      <c r="J273" t="s">
        <v>88</v>
      </c>
      <c r="K273">
        <v>2024</v>
      </c>
      <c r="L273">
        <v>28298.800000000003</v>
      </c>
      <c r="M273">
        <v>5</v>
      </c>
      <c r="N273" t="s">
        <v>27</v>
      </c>
      <c r="O273" t="s">
        <v>68</v>
      </c>
      <c r="P273">
        <f>FlipkartSales[[#This Row],[Price (INR)]]*FlipkartSales[[#This Row],[Quantity Sold]]</f>
        <v>141494</v>
      </c>
      <c r="Q273">
        <f>FlipkartSales[[#This Row],[Total Sales (INR)]]-FlipkartSales[[#This Row],[Calculated Sales]]</f>
        <v>0</v>
      </c>
      <c r="R273" s="9">
        <f t="shared" si="32"/>
        <v>0.2</v>
      </c>
      <c r="S273">
        <f t="shared" si="33"/>
        <v>35373.5</v>
      </c>
      <c r="T273">
        <f t="shared" si="34"/>
        <v>7074.7000000000007</v>
      </c>
      <c r="U273">
        <f t="shared" si="35"/>
        <v>8</v>
      </c>
      <c r="V273" t="str">
        <f t="shared" si="36"/>
        <v>Q3</v>
      </c>
      <c r="W273" t="str">
        <f t="shared" si="37"/>
        <v>Aug-2024</v>
      </c>
      <c r="X273">
        <f t="shared" si="38"/>
        <v>7074.7</v>
      </c>
      <c r="Y273" s="5">
        <f t="shared" si="39"/>
        <v>134419.29999999999</v>
      </c>
      <c r="Z273" s="21">
        <f>DATE(K273,MATCH(J273,{"January","February","March","April","May","June","July","August","September","October","November","December"},0),1)</f>
        <v>45505</v>
      </c>
    </row>
    <row r="274" spans="1:26" x14ac:dyDescent="0.3">
      <c r="A274" s="4" t="s">
        <v>342</v>
      </c>
      <c r="B274" s="4" t="s">
        <v>50</v>
      </c>
      <c r="C274" s="4" t="s">
        <v>40</v>
      </c>
      <c r="D274" s="5">
        <v>43002.68</v>
      </c>
      <c r="E274" s="6">
        <v>3</v>
      </c>
      <c r="F274" s="5">
        <v>129008.04</v>
      </c>
      <c r="G274" s="1">
        <v>45387</v>
      </c>
      <c r="H274" t="s">
        <v>25</v>
      </c>
      <c r="I274">
        <v>4.2</v>
      </c>
      <c r="J274" t="s">
        <v>62</v>
      </c>
      <c r="K274">
        <v>2024</v>
      </c>
      <c r="L274">
        <v>25801.608</v>
      </c>
      <c r="M274">
        <v>12</v>
      </c>
      <c r="N274" t="s">
        <v>41</v>
      </c>
      <c r="O274" t="s">
        <v>28</v>
      </c>
      <c r="P274">
        <f>FlipkartSales[[#This Row],[Price (INR)]]*FlipkartSales[[#This Row],[Quantity Sold]]</f>
        <v>129008.04000000001</v>
      </c>
      <c r="Q274">
        <f>FlipkartSales[[#This Row],[Total Sales (INR)]]-FlipkartSales[[#This Row],[Calculated Sales]]</f>
        <v>0</v>
      </c>
      <c r="R274" s="9">
        <f t="shared" si="32"/>
        <v>0.2</v>
      </c>
      <c r="S274">
        <f t="shared" si="33"/>
        <v>43002.68</v>
      </c>
      <c r="T274">
        <f t="shared" si="34"/>
        <v>8600.5360000000001</v>
      </c>
      <c r="U274">
        <f t="shared" si="35"/>
        <v>4</v>
      </c>
      <c r="V274" t="str">
        <f t="shared" si="36"/>
        <v>Q2</v>
      </c>
      <c r="W274" t="str">
        <f t="shared" si="37"/>
        <v>Apr-2024</v>
      </c>
      <c r="X274">
        <f t="shared" si="38"/>
        <v>15480.9648</v>
      </c>
      <c r="Y274" s="5">
        <f t="shared" si="39"/>
        <v>113527.07519999999</v>
      </c>
      <c r="Z274" s="21">
        <f>DATE(K274,MATCH(J274,{"January","February","March","April","May","June","July","August","September","October","November","December"},0),1)</f>
        <v>45383</v>
      </c>
    </row>
    <row r="275" spans="1:26" x14ac:dyDescent="0.3">
      <c r="A275" s="4" t="s">
        <v>343</v>
      </c>
      <c r="B275" s="4" t="s">
        <v>96</v>
      </c>
      <c r="C275" s="4" t="s">
        <v>36</v>
      </c>
      <c r="D275" s="5">
        <v>46388.81</v>
      </c>
      <c r="E275" s="6">
        <v>1</v>
      </c>
      <c r="F275" s="5">
        <v>46388.81</v>
      </c>
      <c r="G275" s="1">
        <v>45343</v>
      </c>
      <c r="H275" t="s">
        <v>64</v>
      </c>
      <c r="I275">
        <v>4.4000000000000004</v>
      </c>
      <c r="J275" t="s">
        <v>59</v>
      </c>
      <c r="K275">
        <v>2024</v>
      </c>
      <c r="L275">
        <v>9277.7620000000006</v>
      </c>
      <c r="M275">
        <v>11</v>
      </c>
      <c r="N275" t="s">
        <v>41</v>
      </c>
      <c r="O275" t="s">
        <v>28</v>
      </c>
      <c r="P275">
        <f>FlipkartSales[[#This Row],[Price (INR)]]*FlipkartSales[[#This Row],[Quantity Sold]]</f>
        <v>46388.81</v>
      </c>
      <c r="Q275">
        <f>FlipkartSales[[#This Row],[Total Sales (INR)]]-FlipkartSales[[#This Row],[Calculated Sales]]</f>
        <v>0</v>
      </c>
      <c r="R275" s="9">
        <f t="shared" si="32"/>
        <v>0.2</v>
      </c>
      <c r="S275">
        <f t="shared" si="33"/>
        <v>46388.81</v>
      </c>
      <c r="T275">
        <f t="shared" si="34"/>
        <v>9277.7620000000006</v>
      </c>
      <c r="U275">
        <f t="shared" si="35"/>
        <v>2</v>
      </c>
      <c r="V275" t="str">
        <f t="shared" si="36"/>
        <v>Q1</v>
      </c>
      <c r="W275" t="str">
        <f t="shared" si="37"/>
        <v>Feb-2024</v>
      </c>
      <c r="X275">
        <f t="shared" si="38"/>
        <v>5102.7690999999995</v>
      </c>
      <c r="Y275" s="5">
        <f t="shared" si="39"/>
        <v>41286.0409</v>
      </c>
      <c r="Z275" s="21">
        <f>DATE(K275,MATCH(J275,{"January","February","March","April","May","June","July","August","September","October","November","December"},0),1)</f>
        <v>45323</v>
      </c>
    </row>
    <row r="276" spans="1:26" x14ac:dyDescent="0.3">
      <c r="A276" s="4" t="s">
        <v>344</v>
      </c>
      <c r="B276" s="4" t="s">
        <v>74</v>
      </c>
      <c r="C276" s="4" t="s">
        <v>17</v>
      </c>
      <c r="D276" s="5">
        <v>47384.51</v>
      </c>
      <c r="E276" s="6">
        <v>3</v>
      </c>
      <c r="F276" s="5">
        <v>142153.53</v>
      </c>
      <c r="G276" s="1">
        <v>45441</v>
      </c>
      <c r="H276" t="s">
        <v>80</v>
      </c>
      <c r="I276">
        <v>1.5</v>
      </c>
      <c r="J276" t="s">
        <v>32</v>
      </c>
      <c r="K276">
        <v>2024</v>
      </c>
      <c r="L276">
        <v>28430.706000000002</v>
      </c>
      <c r="M276">
        <v>22</v>
      </c>
      <c r="N276" t="s">
        <v>27</v>
      </c>
      <c r="O276" t="s">
        <v>28</v>
      </c>
      <c r="P276">
        <f>FlipkartSales[[#This Row],[Price (INR)]]*FlipkartSales[[#This Row],[Quantity Sold]]</f>
        <v>142153.53</v>
      </c>
      <c r="Q276">
        <f>FlipkartSales[[#This Row],[Total Sales (INR)]]-FlipkartSales[[#This Row],[Calculated Sales]]</f>
        <v>0</v>
      </c>
      <c r="R276" s="9">
        <f t="shared" si="32"/>
        <v>0.2</v>
      </c>
      <c r="S276">
        <f t="shared" si="33"/>
        <v>47384.51</v>
      </c>
      <c r="T276">
        <f t="shared" si="34"/>
        <v>9476.902</v>
      </c>
      <c r="U276">
        <f t="shared" si="35"/>
        <v>5</v>
      </c>
      <c r="V276" t="str">
        <f t="shared" si="36"/>
        <v>Q2</v>
      </c>
      <c r="W276" t="str">
        <f t="shared" si="37"/>
        <v>May-2024</v>
      </c>
      <c r="X276">
        <f t="shared" si="38"/>
        <v>31273.776600000001</v>
      </c>
      <c r="Y276" s="5">
        <f t="shared" si="39"/>
        <v>110879.7534</v>
      </c>
      <c r="Z276" s="21">
        <f>DATE(K276,MATCH(J276,{"January","February","March","April","May","June","July","August","September","October","November","December"},0),1)</f>
        <v>45413</v>
      </c>
    </row>
    <row r="277" spans="1:26" x14ac:dyDescent="0.3">
      <c r="A277" s="4" t="s">
        <v>345</v>
      </c>
      <c r="B277" s="4" t="s">
        <v>52</v>
      </c>
      <c r="C277" s="4" t="s">
        <v>24</v>
      </c>
      <c r="D277" s="5">
        <v>15826.47</v>
      </c>
      <c r="E277" s="6">
        <v>2</v>
      </c>
      <c r="F277" s="5">
        <v>31652.94</v>
      </c>
      <c r="G277" s="1">
        <v>45486</v>
      </c>
      <c r="H277" t="s">
        <v>80</v>
      </c>
      <c r="I277">
        <v>4.4000000000000004</v>
      </c>
      <c r="J277" t="s">
        <v>48</v>
      </c>
      <c r="K277">
        <v>2024</v>
      </c>
      <c r="L277">
        <v>6330.5879999999997</v>
      </c>
      <c r="M277">
        <v>12</v>
      </c>
      <c r="N277" t="s">
        <v>27</v>
      </c>
      <c r="O277" t="s">
        <v>68</v>
      </c>
      <c r="P277">
        <f>FlipkartSales[[#This Row],[Price (INR)]]*FlipkartSales[[#This Row],[Quantity Sold]]</f>
        <v>31652.94</v>
      </c>
      <c r="Q277">
        <f>FlipkartSales[[#This Row],[Total Sales (INR)]]-FlipkartSales[[#This Row],[Calculated Sales]]</f>
        <v>0</v>
      </c>
      <c r="R277" s="9">
        <f t="shared" si="32"/>
        <v>0.2</v>
      </c>
      <c r="S277">
        <f t="shared" si="33"/>
        <v>15826.47</v>
      </c>
      <c r="T277">
        <f t="shared" si="34"/>
        <v>3165.2939999999999</v>
      </c>
      <c r="U277">
        <f t="shared" si="35"/>
        <v>7</v>
      </c>
      <c r="V277" t="str">
        <f t="shared" si="36"/>
        <v>Q3</v>
      </c>
      <c r="W277" t="str">
        <f t="shared" si="37"/>
        <v>Jul-2024</v>
      </c>
      <c r="X277">
        <f t="shared" si="38"/>
        <v>3798.3527999999997</v>
      </c>
      <c r="Y277" s="5">
        <f t="shared" si="39"/>
        <v>27854.587199999998</v>
      </c>
      <c r="Z277" s="21">
        <f>DATE(K277,MATCH(J277,{"January","February","March","April","May","June","July","August","September","October","November","December"},0),1)</f>
        <v>45474</v>
      </c>
    </row>
    <row r="278" spans="1:26" x14ac:dyDescent="0.3">
      <c r="A278" s="4" t="s">
        <v>346</v>
      </c>
      <c r="B278" s="4" t="s">
        <v>100</v>
      </c>
      <c r="C278" s="4" t="s">
        <v>31</v>
      </c>
      <c r="D278" s="5">
        <v>33927.57</v>
      </c>
      <c r="E278" s="6">
        <v>5</v>
      </c>
      <c r="F278" s="5">
        <v>169637.85</v>
      </c>
      <c r="G278" s="1">
        <v>45690</v>
      </c>
      <c r="H278" t="s">
        <v>44</v>
      </c>
      <c r="I278">
        <v>2.6</v>
      </c>
      <c r="J278" t="s">
        <v>59</v>
      </c>
      <c r="K278">
        <v>2025</v>
      </c>
      <c r="L278">
        <v>33927.57</v>
      </c>
      <c r="M278">
        <v>5</v>
      </c>
      <c r="N278" t="s">
        <v>27</v>
      </c>
      <c r="O278" t="s">
        <v>33</v>
      </c>
      <c r="P278">
        <f>FlipkartSales[[#This Row],[Price (INR)]]*FlipkartSales[[#This Row],[Quantity Sold]]</f>
        <v>169637.85</v>
      </c>
      <c r="Q278">
        <f>FlipkartSales[[#This Row],[Total Sales (INR)]]-FlipkartSales[[#This Row],[Calculated Sales]]</f>
        <v>0</v>
      </c>
      <c r="R278" s="9">
        <f t="shared" si="32"/>
        <v>0.19999999999999998</v>
      </c>
      <c r="S278">
        <f t="shared" si="33"/>
        <v>33927.57</v>
      </c>
      <c r="T278">
        <f t="shared" si="34"/>
        <v>6785.5140000000001</v>
      </c>
      <c r="U278">
        <f t="shared" si="35"/>
        <v>2</v>
      </c>
      <c r="V278" t="str">
        <f t="shared" si="36"/>
        <v>Q1</v>
      </c>
      <c r="W278" t="str">
        <f t="shared" si="37"/>
        <v>Feb-2025</v>
      </c>
      <c r="X278">
        <f t="shared" si="38"/>
        <v>8481.8924999999999</v>
      </c>
      <c r="Y278" s="5">
        <f t="shared" si="39"/>
        <v>161155.95750000002</v>
      </c>
      <c r="Z278" s="21">
        <f>DATE(K278,MATCH(J278,{"January","February","March","April","May","June","July","August","September","October","November","December"},0),1)</f>
        <v>45689</v>
      </c>
    </row>
    <row r="279" spans="1:26" x14ac:dyDescent="0.3">
      <c r="A279" s="4" t="s">
        <v>347</v>
      </c>
      <c r="B279" s="4" t="s">
        <v>55</v>
      </c>
      <c r="C279" s="4" t="s">
        <v>36</v>
      </c>
      <c r="D279" s="5">
        <v>27400.84</v>
      </c>
      <c r="E279" s="6">
        <v>1</v>
      </c>
      <c r="F279" s="5">
        <v>27400.84</v>
      </c>
      <c r="G279" s="1">
        <v>45695</v>
      </c>
      <c r="H279" t="s">
        <v>80</v>
      </c>
      <c r="I279">
        <v>3.6</v>
      </c>
      <c r="J279" t="s">
        <v>59</v>
      </c>
      <c r="K279">
        <v>2025</v>
      </c>
      <c r="L279">
        <v>5480.1680000000006</v>
      </c>
      <c r="M279">
        <v>15</v>
      </c>
      <c r="N279" t="s">
        <v>20</v>
      </c>
      <c r="O279" t="s">
        <v>21</v>
      </c>
      <c r="P279">
        <f>FlipkartSales[[#This Row],[Price (INR)]]*FlipkartSales[[#This Row],[Quantity Sold]]</f>
        <v>27400.84</v>
      </c>
      <c r="Q279">
        <f>FlipkartSales[[#This Row],[Total Sales (INR)]]-FlipkartSales[[#This Row],[Calculated Sales]]</f>
        <v>0</v>
      </c>
      <c r="R279" s="9">
        <f t="shared" si="32"/>
        <v>0.2</v>
      </c>
      <c r="S279">
        <f t="shared" si="33"/>
        <v>27400.84</v>
      </c>
      <c r="T279">
        <f t="shared" si="34"/>
        <v>5480.1680000000006</v>
      </c>
      <c r="U279">
        <f t="shared" si="35"/>
        <v>2</v>
      </c>
      <c r="V279" t="str">
        <f t="shared" si="36"/>
        <v>Q1</v>
      </c>
      <c r="W279" t="str">
        <f t="shared" si="37"/>
        <v>Feb-2025</v>
      </c>
      <c r="X279">
        <f t="shared" si="38"/>
        <v>4110.1260000000002</v>
      </c>
      <c r="Y279" s="5">
        <f t="shared" si="39"/>
        <v>23290.714</v>
      </c>
      <c r="Z279" s="21">
        <f>DATE(K279,MATCH(J279,{"January","February","March","April","May","June","July","August","September","October","November","December"},0),1)</f>
        <v>45689</v>
      </c>
    </row>
    <row r="280" spans="1:26" x14ac:dyDescent="0.3">
      <c r="A280" s="4" t="s">
        <v>348</v>
      </c>
      <c r="B280" s="4" t="s">
        <v>55</v>
      </c>
      <c r="C280" s="4" t="s">
        <v>36</v>
      </c>
      <c r="D280" s="5">
        <v>37684.28</v>
      </c>
      <c r="E280" s="6">
        <v>4</v>
      </c>
      <c r="F280" s="5">
        <v>150737.12</v>
      </c>
      <c r="G280" s="1">
        <v>45384</v>
      </c>
      <c r="H280" t="s">
        <v>64</v>
      </c>
      <c r="I280">
        <v>3.2</v>
      </c>
      <c r="J280" t="s">
        <v>62</v>
      </c>
      <c r="K280">
        <v>2024</v>
      </c>
      <c r="L280">
        <v>30147.423999999999</v>
      </c>
      <c r="M280">
        <v>29</v>
      </c>
      <c r="N280" t="s">
        <v>41</v>
      </c>
      <c r="O280" t="s">
        <v>33</v>
      </c>
      <c r="P280">
        <f>FlipkartSales[[#This Row],[Price (INR)]]*FlipkartSales[[#This Row],[Quantity Sold]]</f>
        <v>150737.12</v>
      </c>
      <c r="Q280">
        <f>FlipkartSales[[#This Row],[Total Sales (INR)]]-FlipkartSales[[#This Row],[Calculated Sales]]</f>
        <v>0</v>
      </c>
      <c r="R280" s="9">
        <f t="shared" si="32"/>
        <v>0.2</v>
      </c>
      <c r="S280">
        <f t="shared" si="33"/>
        <v>37684.28</v>
      </c>
      <c r="T280">
        <f t="shared" si="34"/>
        <v>7536.8559999999998</v>
      </c>
      <c r="U280">
        <f t="shared" si="35"/>
        <v>4</v>
      </c>
      <c r="V280" t="str">
        <f t="shared" si="36"/>
        <v>Q2</v>
      </c>
      <c r="W280" t="str">
        <f t="shared" si="37"/>
        <v>Apr-2024</v>
      </c>
      <c r="X280">
        <f t="shared" si="38"/>
        <v>43713.764799999997</v>
      </c>
      <c r="Y280" s="5">
        <f t="shared" si="39"/>
        <v>107023.35519999999</v>
      </c>
      <c r="Z280" s="21">
        <f>DATE(K280,MATCH(J280,{"January","February","March","April","May","June","July","August","September","October","November","December"},0),1)</f>
        <v>45383</v>
      </c>
    </row>
    <row r="281" spans="1:26" x14ac:dyDescent="0.3">
      <c r="A281" s="4" t="s">
        <v>349</v>
      </c>
      <c r="B281" s="4" t="s">
        <v>47</v>
      </c>
      <c r="C281" s="4" t="s">
        <v>24</v>
      </c>
      <c r="D281" s="5">
        <v>22968.18</v>
      </c>
      <c r="E281" s="6">
        <v>4</v>
      </c>
      <c r="F281" s="5">
        <v>91872.72</v>
      </c>
      <c r="G281" s="1">
        <v>45680</v>
      </c>
      <c r="H281" t="s">
        <v>80</v>
      </c>
      <c r="I281">
        <v>4.0999999999999996</v>
      </c>
      <c r="J281" t="s">
        <v>53</v>
      </c>
      <c r="K281">
        <v>2025</v>
      </c>
      <c r="L281">
        <v>18374.544000000002</v>
      </c>
      <c r="M281">
        <v>29</v>
      </c>
      <c r="N281" t="s">
        <v>41</v>
      </c>
      <c r="O281" t="s">
        <v>21</v>
      </c>
      <c r="P281">
        <f>FlipkartSales[[#This Row],[Price (INR)]]*FlipkartSales[[#This Row],[Quantity Sold]]</f>
        <v>91872.72</v>
      </c>
      <c r="Q281">
        <f>FlipkartSales[[#This Row],[Total Sales (INR)]]-FlipkartSales[[#This Row],[Calculated Sales]]</f>
        <v>0</v>
      </c>
      <c r="R281" s="9">
        <f t="shared" si="32"/>
        <v>0.2</v>
      </c>
      <c r="S281">
        <f t="shared" si="33"/>
        <v>22968.18</v>
      </c>
      <c r="T281">
        <f t="shared" si="34"/>
        <v>4593.6360000000004</v>
      </c>
      <c r="U281">
        <f t="shared" si="35"/>
        <v>1</v>
      </c>
      <c r="V281" t="str">
        <f t="shared" si="36"/>
        <v>Q1</v>
      </c>
      <c r="W281" t="str">
        <f t="shared" si="37"/>
        <v>Jan-2025</v>
      </c>
      <c r="X281">
        <f t="shared" si="38"/>
        <v>26643.088799999998</v>
      </c>
      <c r="Y281" s="5">
        <f t="shared" si="39"/>
        <v>65229.631200000003</v>
      </c>
      <c r="Z281" s="21">
        <f>DATE(K281,MATCH(J281,{"January","February","March","April","May","June","July","August","September","October","November","December"},0),1)</f>
        <v>45658</v>
      </c>
    </row>
    <row r="282" spans="1:26" x14ac:dyDescent="0.3">
      <c r="A282" s="4" t="s">
        <v>350</v>
      </c>
      <c r="B282" s="4" t="s">
        <v>145</v>
      </c>
      <c r="C282" s="4" t="s">
        <v>40</v>
      </c>
      <c r="D282" s="5">
        <v>43444.93</v>
      </c>
      <c r="E282" s="6">
        <v>1</v>
      </c>
      <c r="F282" s="5">
        <v>43444.93</v>
      </c>
      <c r="G282" s="1">
        <v>45667</v>
      </c>
      <c r="H282" t="s">
        <v>44</v>
      </c>
      <c r="I282">
        <v>4</v>
      </c>
      <c r="J282" t="s">
        <v>53</v>
      </c>
      <c r="K282">
        <v>2025</v>
      </c>
      <c r="L282">
        <v>8688.9860000000008</v>
      </c>
      <c r="M282">
        <v>22</v>
      </c>
      <c r="N282" t="s">
        <v>20</v>
      </c>
      <c r="O282" t="s">
        <v>28</v>
      </c>
      <c r="P282">
        <f>FlipkartSales[[#This Row],[Price (INR)]]*FlipkartSales[[#This Row],[Quantity Sold]]</f>
        <v>43444.93</v>
      </c>
      <c r="Q282">
        <f>FlipkartSales[[#This Row],[Total Sales (INR)]]-FlipkartSales[[#This Row],[Calculated Sales]]</f>
        <v>0</v>
      </c>
      <c r="R282" s="9">
        <f t="shared" si="32"/>
        <v>0.2</v>
      </c>
      <c r="S282">
        <f t="shared" si="33"/>
        <v>43444.93</v>
      </c>
      <c r="T282">
        <f t="shared" si="34"/>
        <v>8688.9860000000008</v>
      </c>
      <c r="U282">
        <f t="shared" si="35"/>
        <v>1</v>
      </c>
      <c r="V282" t="str">
        <f t="shared" si="36"/>
        <v>Q1</v>
      </c>
      <c r="W282" t="str">
        <f t="shared" si="37"/>
        <v>Jan-2025</v>
      </c>
      <c r="X282">
        <f t="shared" si="38"/>
        <v>9557.8845999999994</v>
      </c>
      <c r="Y282" s="5">
        <f t="shared" si="39"/>
        <v>33887.045400000003</v>
      </c>
      <c r="Z282" s="21">
        <f>DATE(K282,MATCH(J282,{"January","February","March","April","May","June","July","August","September","October","November","December"},0),1)</f>
        <v>45658</v>
      </c>
    </row>
    <row r="283" spans="1:26" x14ac:dyDescent="0.3">
      <c r="A283" s="4" t="s">
        <v>351</v>
      </c>
      <c r="B283" s="4" t="s">
        <v>107</v>
      </c>
      <c r="C283" s="4" t="s">
        <v>36</v>
      </c>
      <c r="D283" s="5">
        <v>36083.22</v>
      </c>
      <c r="E283" s="6">
        <v>3</v>
      </c>
      <c r="F283" s="5">
        <v>108249.66</v>
      </c>
      <c r="G283" s="1">
        <v>45498</v>
      </c>
      <c r="H283" t="s">
        <v>71</v>
      </c>
      <c r="I283">
        <v>2.9</v>
      </c>
      <c r="J283" t="s">
        <v>48</v>
      </c>
      <c r="K283">
        <v>2024</v>
      </c>
      <c r="L283">
        <v>21649.932000000001</v>
      </c>
      <c r="M283">
        <v>27</v>
      </c>
      <c r="N283" t="s">
        <v>27</v>
      </c>
      <c r="O283" t="s">
        <v>33</v>
      </c>
      <c r="P283">
        <f>FlipkartSales[[#This Row],[Price (INR)]]*FlipkartSales[[#This Row],[Quantity Sold]]</f>
        <v>108249.66</v>
      </c>
      <c r="Q283">
        <f>FlipkartSales[[#This Row],[Total Sales (INR)]]-FlipkartSales[[#This Row],[Calculated Sales]]</f>
        <v>0</v>
      </c>
      <c r="R283" s="9">
        <f t="shared" si="32"/>
        <v>0.2</v>
      </c>
      <c r="S283">
        <f t="shared" si="33"/>
        <v>36083.22</v>
      </c>
      <c r="T283">
        <f t="shared" si="34"/>
        <v>7216.6440000000002</v>
      </c>
      <c r="U283">
        <f t="shared" si="35"/>
        <v>7</v>
      </c>
      <c r="V283" t="str">
        <f t="shared" si="36"/>
        <v>Q3</v>
      </c>
      <c r="W283" t="str">
        <f t="shared" si="37"/>
        <v>Jul-2024</v>
      </c>
      <c r="X283">
        <f t="shared" si="38"/>
        <v>29227.408200000002</v>
      </c>
      <c r="Y283" s="5">
        <f t="shared" si="39"/>
        <v>79022.251799999998</v>
      </c>
      <c r="Z283" s="21">
        <f>DATE(K283,MATCH(J283,{"January","February","March","April","May","June","July","August","September","October","November","December"},0),1)</f>
        <v>45474</v>
      </c>
    </row>
    <row r="284" spans="1:26" x14ac:dyDescent="0.3">
      <c r="A284" s="4" t="s">
        <v>352</v>
      </c>
      <c r="B284" s="4" t="s">
        <v>39</v>
      </c>
      <c r="C284" s="4" t="s">
        <v>40</v>
      </c>
      <c r="D284" s="5">
        <v>43043.82</v>
      </c>
      <c r="E284" s="6">
        <v>5</v>
      </c>
      <c r="F284" s="5">
        <v>215219.1</v>
      </c>
      <c r="G284" s="1">
        <v>45605</v>
      </c>
      <c r="H284" t="s">
        <v>44</v>
      </c>
      <c r="I284">
        <v>4.0999999999999996</v>
      </c>
      <c r="J284" t="s">
        <v>37</v>
      </c>
      <c r="K284">
        <v>2024</v>
      </c>
      <c r="L284">
        <v>43043.820000000007</v>
      </c>
      <c r="M284">
        <v>14</v>
      </c>
      <c r="N284" t="s">
        <v>20</v>
      </c>
      <c r="O284" t="s">
        <v>21</v>
      </c>
      <c r="P284">
        <f>FlipkartSales[[#This Row],[Price (INR)]]*FlipkartSales[[#This Row],[Quantity Sold]]</f>
        <v>215219.1</v>
      </c>
      <c r="Q284">
        <f>FlipkartSales[[#This Row],[Total Sales (INR)]]-FlipkartSales[[#This Row],[Calculated Sales]]</f>
        <v>0</v>
      </c>
      <c r="R284" s="9">
        <f t="shared" si="32"/>
        <v>0.20000000000000004</v>
      </c>
      <c r="S284">
        <f t="shared" si="33"/>
        <v>43043.82</v>
      </c>
      <c r="T284">
        <f t="shared" si="34"/>
        <v>8608.764000000001</v>
      </c>
      <c r="U284">
        <f t="shared" si="35"/>
        <v>11</v>
      </c>
      <c r="V284" t="str">
        <f t="shared" si="36"/>
        <v>Q4</v>
      </c>
      <c r="W284" t="str">
        <f t="shared" si="37"/>
        <v>Nov-2024</v>
      </c>
      <c r="X284">
        <f t="shared" si="38"/>
        <v>30130.673999999999</v>
      </c>
      <c r="Y284" s="5">
        <f t="shared" si="39"/>
        <v>185088.42600000001</v>
      </c>
      <c r="Z284" s="21">
        <f>DATE(K284,MATCH(J284,{"January","February","March","April","May","June","July","August","September","October","November","December"},0),1)</f>
        <v>45597</v>
      </c>
    </row>
    <row r="285" spans="1:26" x14ac:dyDescent="0.3">
      <c r="A285" s="4" t="s">
        <v>353</v>
      </c>
      <c r="B285" s="4" t="s">
        <v>35</v>
      </c>
      <c r="C285" s="4" t="s">
        <v>36</v>
      </c>
      <c r="D285" s="5">
        <v>1517.63</v>
      </c>
      <c r="E285" s="6">
        <v>4</v>
      </c>
      <c r="F285" s="5">
        <v>6070.52</v>
      </c>
      <c r="G285" s="1">
        <v>45606</v>
      </c>
      <c r="H285" t="s">
        <v>64</v>
      </c>
      <c r="I285">
        <v>2</v>
      </c>
      <c r="J285" t="s">
        <v>37</v>
      </c>
      <c r="K285">
        <v>2024</v>
      </c>
      <c r="L285">
        <v>1214.104</v>
      </c>
      <c r="M285">
        <v>7</v>
      </c>
      <c r="N285" t="s">
        <v>20</v>
      </c>
      <c r="O285" t="s">
        <v>68</v>
      </c>
      <c r="P285">
        <f>FlipkartSales[[#This Row],[Price (INR)]]*FlipkartSales[[#This Row],[Quantity Sold]]</f>
        <v>6070.52</v>
      </c>
      <c r="Q285">
        <f>FlipkartSales[[#This Row],[Total Sales (INR)]]-FlipkartSales[[#This Row],[Calculated Sales]]</f>
        <v>0</v>
      </c>
      <c r="R285" s="9">
        <f t="shared" si="32"/>
        <v>0.19999999999999998</v>
      </c>
      <c r="S285">
        <f t="shared" si="33"/>
        <v>1517.63</v>
      </c>
      <c r="T285">
        <f t="shared" si="34"/>
        <v>303.52600000000001</v>
      </c>
      <c r="U285">
        <f t="shared" si="35"/>
        <v>11</v>
      </c>
      <c r="V285" t="str">
        <f t="shared" si="36"/>
        <v>Q4</v>
      </c>
      <c r="W285" t="str">
        <f t="shared" si="37"/>
        <v>Nov-2024</v>
      </c>
      <c r="X285">
        <f t="shared" si="38"/>
        <v>424.93639999999999</v>
      </c>
      <c r="Y285" s="5">
        <f t="shared" si="39"/>
        <v>5645.5836000000008</v>
      </c>
      <c r="Z285" s="21">
        <f>DATE(K285,MATCH(J285,{"January","February","March","April","May","June","July","August","September","October","November","December"},0),1)</f>
        <v>45597</v>
      </c>
    </row>
    <row r="286" spans="1:26" x14ac:dyDescent="0.3">
      <c r="A286" s="4" t="s">
        <v>354</v>
      </c>
      <c r="B286" s="4" t="s">
        <v>118</v>
      </c>
      <c r="C286" s="4" t="s">
        <v>17</v>
      </c>
      <c r="D286" s="5">
        <v>1626.1</v>
      </c>
      <c r="E286" s="6">
        <v>5</v>
      </c>
      <c r="F286" s="5">
        <v>8130.5</v>
      </c>
      <c r="G286" s="1">
        <v>45611</v>
      </c>
      <c r="H286" t="s">
        <v>71</v>
      </c>
      <c r="I286">
        <v>2.8</v>
      </c>
      <c r="J286" t="s">
        <v>37</v>
      </c>
      <c r="K286">
        <v>2024</v>
      </c>
      <c r="L286">
        <v>1626.1000000000001</v>
      </c>
      <c r="M286">
        <v>11</v>
      </c>
      <c r="N286" t="s">
        <v>20</v>
      </c>
      <c r="O286" t="s">
        <v>68</v>
      </c>
      <c r="P286">
        <f>FlipkartSales[[#This Row],[Price (INR)]]*FlipkartSales[[#This Row],[Quantity Sold]]</f>
        <v>8130.5</v>
      </c>
      <c r="Q286">
        <f>FlipkartSales[[#This Row],[Total Sales (INR)]]-FlipkartSales[[#This Row],[Calculated Sales]]</f>
        <v>0</v>
      </c>
      <c r="R286" s="9">
        <f t="shared" si="32"/>
        <v>0.2</v>
      </c>
      <c r="S286">
        <f t="shared" si="33"/>
        <v>1626.1</v>
      </c>
      <c r="T286">
        <f t="shared" si="34"/>
        <v>325.22000000000003</v>
      </c>
      <c r="U286">
        <f t="shared" si="35"/>
        <v>11</v>
      </c>
      <c r="V286" t="str">
        <f t="shared" si="36"/>
        <v>Q4</v>
      </c>
      <c r="W286" t="str">
        <f t="shared" si="37"/>
        <v>Nov-2024</v>
      </c>
      <c r="X286">
        <f t="shared" si="38"/>
        <v>894.35500000000002</v>
      </c>
      <c r="Y286" s="5">
        <f t="shared" si="39"/>
        <v>7236.1450000000004</v>
      </c>
      <c r="Z286" s="21">
        <f>DATE(K286,MATCH(J286,{"January","February","March","April","May","June","July","August","September","October","November","December"},0),1)</f>
        <v>45597</v>
      </c>
    </row>
    <row r="287" spans="1:26" x14ac:dyDescent="0.3">
      <c r="A287" s="4" t="s">
        <v>355</v>
      </c>
      <c r="B287" s="4" t="s">
        <v>78</v>
      </c>
      <c r="C287" s="4" t="s">
        <v>24</v>
      </c>
      <c r="D287" s="5">
        <v>40384.620000000003</v>
      </c>
      <c r="E287" s="6">
        <v>1</v>
      </c>
      <c r="F287" s="5">
        <v>40384.620000000003</v>
      </c>
      <c r="G287" s="1">
        <v>45409</v>
      </c>
      <c r="H287" t="s">
        <v>25</v>
      </c>
      <c r="I287">
        <v>4.2</v>
      </c>
      <c r="J287" t="s">
        <v>62</v>
      </c>
      <c r="K287">
        <v>2024</v>
      </c>
      <c r="L287">
        <v>8076.9240000000009</v>
      </c>
      <c r="M287">
        <v>20</v>
      </c>
      <c r="N287" t="s">
        <v>41</v>
      </c>
      <c r="O287" t="s">
        <v>33</v>
      </c>
      <c r="P287">
        <f>FlipkartSales[[#This Row],[Price (INR)]]*FlipkartSales[[#This Row],[Quantity Sold]]</f>
        <v>40384.620000000003</v>
      </c>
      <c r="Q287">
        <f>FlipkartSales[[#This Row],[Total Sales (INR)]]-FlipkartSales[[#This Row],[Calculated Sales]]</f>
        <v>0</v>
      </c>
      <c r="R287" s="9">
        <f t="shared" si="32"/>
        <v>0.2</v>
      </c>
      <c r="S287">
        <f t="shared" si="33"/>
        <v>40384.620000000003</v>
      </c>
      <c r="T287">
        <f t="shared" si="34"/>
        <v>8076.9240000000009</v>
      </c>
      <c r="U287">
        <f t="shared" si="35"/>
        <v>4</v>
      </c>
      <c r="V287" t="str">
        <f t="shared" si="36"/>
        <v>Q2</v>
      </c>
      <c r="W287" t="str">
        <f t="shared" si="37"/>
        <v>Apr-2024</v>
      </c>
      <c r="X287">
        <f t="shared" si="38"/>
        <v>8076.924</v>
      </c>
      <c r="Y287" s="5">
        <f t="shared" si="39"/>
        <v>32307.696000000004</v>
      </c>
      <c r="Z287" s="21">
        <f>DATE(K287,MATCH(J287,{"January","February","March","April","May","June","July","August","September","October","November","December"},0),1)</f>
        <v>45383</v>
      </c>
    </row>
    <row r="288" spans="1:26" x14ac:dyDescent="0.3">
      <c r="A288" s="4" t="s">
        <v>356</v>
      </c>
      <c r="B288" s="4" t="s">
        <v>78</v>
      </c>
      <c r="C288" s="4" t="s">
        <v>24</v>
      </c>
      <c r="D288" s="5">
        <v>37295.08</v>
      </c>
      <c r="E288" s="6">
        <v>1</v>
      </c>
      <c r="F288" s="5">
        <v>37295.08</v>
      </c>
      <c r="G288" s="1">
        <v>45694</v>
      </c>
      <c r="H288" t="s">
        <v>25</v>
      </c>
      <c r="I288">
        <v>4</v>
      </c>
      <c r="J288" t="s">
        <v>59</v>
      </c>
      <c r="K288">
        <v>2025</v>
      </c>
      <c r="L288">
        <v>7459.0160000000005</v>
      </c>
      <c r="M288">
        <v>30</v>
      </c>
      <c r="N288" t="s">
        <v>20</v>
      </c>
      <c r="O288" t="s">
        <v>33</v>
      </c>
      <c r="P288">
        <f>FlipkartSales[[#This Row],[Price (INR)]]*FlipkartSales[[#This Row],[Quantity Sold]]</f>
        <v>37295.08</v>
      </c>
      <c r="Q288">
        <f>FlipkartSales[[#This Row],[Total Sales (INR)]]-FlipkartSales[[#This Row],[Calculated Sales]]</f>
        <v>0</v>
      </c>
      <c r="R288" s="9">
        <f t="shared" si="32"/>
        <v>0.2</v>
      </c>
      <c r="S288">
        <f t="shared" si="33"/>
        <v>37295.08</v>
      </c>
      <c r="T288">
        <f t="shared" si="34"/>
        <v>7459.0160000000005</v>
      </c>
      <c r="U288">
        <f t="shared" si="35"/>
        <v>2</v>
      </c>
      <c r="V288" t="str">
        <f t="shared" si="36"/>
        <v>Q1</v>
      </c>
      <c r="W288" t="str">
        <f t="shared" si="37"/>
        <v>Feb-2025</v>
      </c>
      <c r="X288">
        <f t="shared" si="38"/>
        <v>11188.524000000001</v>
      </c>
      <c r="Y288" s="5">
        <f t="shared" si="39"/>
        <v>26106.556</v>
      </c>
      <c r="Z288" s="21">
        <f>DATE(K288,MATCH(J288,{"January","February","March","April","May","June","July","August","September","October","November","December"},0),1)</f>
        <v>45689</v>
      </c>
    </row>
    <row r="289" spans="1:26" x14ac:dyDescent="0.3">
      <c r="A289" s="4" t="s">
        <v>357</v>
      </c>
      <c r="B289" s="4" t="s">
        <v>47</v>
      </c>
      <c r="C289" s="4" t="s">
        <v>24</v>
      </c>
      <c r="D289" s="5">
        <v>13915.5</v>
      </c>
      <c r="E289" s="6">
        <v>3</v>
      </c>
      <c r="F289" s="5">
        <v>41746.5</v>
      </c>
      <c r="G289" s="1">
        <v>45475</v>
      </c>
      <c r="H289" t="s">
        <v>80</v>
      </c>
      <c r="I289">
        <v>3.9</v>
      </c>
      <c r="J289" t="s">
        <v>48</v>
      </c>
      <c r="K289">
        <v>2024</v>
      </c>
      <c r="L289">
        <v>8349.3000000000011</v>
      </c>
      <c r="M289">
        <v>20</v>
      </c>
      <c r="N289" t="s">
        <v>41</v>
      </c>
      <c r="O289" t="s">
        <v>28</v>
      </c>
      <c r="P289">
        <f>FlipkartSales[[#This Row],[Price (INR)]]*FlipkartSales[[#This Row],[Quantity Sold]]</f>
        <v>41746.5</v>
      </c>
      <c r="Q289">
        <f>FlipkartSales[[#This Row],[Total Sales (INR)]]-FlipkartSales[[#This Row],[Calculated Sales]]</f>
        <v>0</v>
      </c>
      <c r="R289" s="9">
        <f t="shared" si="32"/>
        <v>0.20000000000000004</v>
      </c>
      <c r="S289">
        <f t="shared" si="33"/>
        <v>13915.5</v>
      </c>
      <c r="T289">
        <f t="shared" si="34"/>
        <v>2783.1000000000004</v>
      </c>
      <c r="U289">
        <f t="shared" si="35"/>
        <v>7</v>
      </c>
      <c r="V289" t="str">
        <f t="shared" si="36"/>
        <v>Q3</v>
      </c>
      <c r="W289" t="str">
        <f t="shared" si="37"/>
        <v>Jul-2024</v>
      </c>
      <c r="X289">
        <f t="shared" si="38"/>
        <v>8349.2999999999993</v>
      </c>
      <c r="Y289" s="5">
        <f t="shared" si="39"/>
        <v>33397.199999999997</v>
      </c>
      <c r="Z289" s="21">
        <f>DATE(K289,MATCH(J289,{"January","February","March","April","May","June","July","August","September","October","November","December"},0),1)</f>
        <v>45474</v>
      </c>
    </row>
    <row r="290" spans="1:26" x14ac:dyDescent="0.3">
      <c r="A290" s="4" t="s">
        <v>358</v>
      </c>
      <c r="B290" s="4" t="s">
        <v>66</v>
      </c>
      <c r="C290" s="4" t="s">
        <v>36</v>
      </c>
      <c r="D290" s="5">
        <v>23625.05</v>
      </c>
      <c r="E290" s="6">
        <v>2</v>
      </c>
      <c r="F290" s="5">
        <v>47250.1</v>
      </c>
      <c r="G290" s="1">
        <v>45480</v>
      </c>
      <c r="H290" t="s">
        <v>18</v>
      </c>
      <c r="I290">
        <v>2</v>
      </c>
      <c r="J290" t="s">
        <v>48</v>
      </c>
      <c r="K290">
        <v>2024</v>
      </c>
      <c r="L290">
        <v>9450.02</v>
      </c>
      <c r="M290">
        <v>29</v>
      </c>
      <c r="N290" t="s">
        <v>41</v>
      </c>
      <c r="O290" t="s">
        <v>33</v>
      </c>
      <c r="P290">
        <f>FlipkartSales[[#This Row],[Price (INR)]]*FlipkartSales[[#This Row],[Quantity Sold]]</f>
        <v>47250.1</v>
      </c>
      <c r="Q290">
        <f>FlipkartSales[[#This Row],[Total Sales (INR)]]-FlipkartSales[[#This Row],[Calculated Sales]]</f>
        <v>0</v>
      </c>
      <c r="R290" s="9">
        <f t="shared" si="32"/>
        <v>0.2</v>
      </c>
      <c r="S290">
        <f t="shared" si="33"/>
        <v>23625.05</v>
      </c>
      <c r="T290">
        <f t="shared" si="34"/>
        <v>4725.01</v>
      </c>
      <c r="U290">
        <f t="shared" si="35"/>
        <v>7</v>
      </c>
      <c r="V290" t="str">
        <f t="shared" si="36"/>
        <v>Q3</v>
      </c>
      <c r="W290" t="str">
        <f t="shared" si="37"/>
        <v>Jul-2024</v>
      </c>
      <c r="X290">
        <f t="shared" si="38"/>
        <v>13702.528999999999</v>
      </c>
      <c r="Y290" s="5">
        <f t="shared" si="39"/>
        <v>33547.570999999996</v>
      </c>
      <c r="Z290" s="21">
        <f>DATE(K290,MATCH(J290,{"January","February","March","April","May","June","July","August","September","October","November","December"},0),1)</f>
        <v>45474</v>
      </c>
    </row>
    <row r="291" spans="1:26" x14ac:dyDescent="0.3">
      <c r="A291" s="4" t="s">
        <v>359</v>
      </c>
      <c r="B291" s="4" t="s">
        <v>43</v>
      </c>
      <c r="C291" s="4" t="s">
        <v>40</v>
      </c>
      <c r="D291" s="5">
        <v>464.18</v>
      </c>
      <c r="E291" s="6">
        <v>3</v>
      </c>
      <c r="F291" s="5">
        <v>1392.54</v>
      </c>
      <c r="G291" s="1">
        <v>45506</v>
      </c>
      <c r="H291" t="s">
        <v>18</v>
      </c>
      <c r="I291">
        <v>4.0999999999999996</v>
      </c>
      <c r="J291" t="s">
        <v>88</v>
      </c>
      <c r="K291">
        <v>2024</v>
      </c>
      <c r="L291">
        <v>278.50799999999998</v>
      </c>
      <c r="M291">
        <v>24</v>
      </c>
      <c r="N291" t="s">
        <v>41</v>
      </c>
      <c r="O291" t="s">
        <v>28</v>
      </c>
      <c r="P291">
        <f>FlipkartSales[[#This Row],[Price (INR)]]*FlipkartSales[[#This Row],[Quantity Sold]]</f>
        <v>1392.54</v>
      </c>
      <c r="Q291">
        <f>FlipkartSales[[#This Row],[Total Sales (INR)]]-FlipkartSales[[#This Row],[Calculated Sales]]</f>
        <v>0</v>
      </c>
      <c r="R291" s="9">
        <f t="shared" si="32"/>
        <v>0.19999999999999998</v>
      </c>
      <c r="S291">
        <f t="shared" si="33"/>
        <v>464.18</v>
      </c>
      <c r="T291">
        <f t="shared" si="34"/>
        <v>92.835999999999999</v>
      </c>
      <c r="U291">
        <f t="shared" si="35"/>
        <v>8</v>
      </c>
      <c r="V291" t="str">
        <f t="shared" si="36"/>
        <v>Q3</v>
      </c>
      <c r="W291" t="str">
        <f t="shared" si="37"/>
        <v>Aug-2024</v>
      </c>
      <c r="X291">
        <f t="shared" si="38"/>
        <v>334.20959999999997</v>
      </c>
      <c r="Y291" s="5">
        <f t="shared" si="39"/>
        <v>1058.3304000000001</v>
      </c>
      <c r="Z291" s="21">
        <f>DATE(K291,MATCH(J291,{"January","February","March","April","May","June","July","August","September","October","November","December"},0),1)</f>
        <v>45505</v>
      </c>
    </row>
    <row r="292" spans="1:26" x14ac:dyDescent="0.3">
      <c r="A292" s="4" t="s">
        <v>360</v>
      </c>
      <c r="B292" s="4" t="s">
        <v>78</v>
      </c>
      <c r="C292" s="4" t="s">
        <v>24</v>
      </c>
      <c r="D292" s="5">
        <v>26667.15</v>
      </c>
      <c r="E292" s="6">
        <v>2</v>
      </c>
      <c r="F292" s="5">
        <v>53334.3</v>
      </c>
      <c r="G292" s="1">
        <v>45601</v>
      </c>
      <c r="H292" t="s">
        <v>71</v>
      </c>
      <c r="I292">
        <v>1.9</v>
      </c>
      <c r="J292" t="s">
        <v>37</v>
      </c>
      <c r="K292">
        <v>2024</v>
      </c>
      <c r="L292">
        <v>10666.86</v>
      </c>
      <c r="M292">
        <v>21</v>
      </c>
      <c r="N292" t="s">
        <v>27</v>
      </c>
      <c r="O292" t="s">
        <v>28</v>
      </c>
      <c r="P292">
        <f>FlipkartSales[[#This Row],[Price (INR)]]*FlipkartSales[[#This Row],[Quantity Sold]]</f>
        <v>53334.3</v>
      </c>
      <c r="Q292">
        <f>FlipkartSales[[#This Row],[Total Sales (INR)]]-FlipkartSales[[#This Row],[Calculated Sales]]</f>
        <v>0</v>
      </c>
      <c r="R292" s="9">
        <f t="shared" si="32"/>
        <v>0.2</v>
      </c>
      <c r="S292">
        <f t="shared" si="33"/>
        <v>26667.15</v>
      </c>
      <c r="T292">
        <f t="shared" si="34"/>
        <v>5333.43</v>
      </c>
      <c r="U292">
        <f t="shared" si="35"/>
        <v>11</v>
      </c>
      <c r="V292" t="str">
        <f t="shared" si="36"/>
        <v>Q4</v>
      </c>
      <c r="W292" t="str">
        <f t="shared" si="37"/>
        <v>Nov-2024</v>
      </c>
      <c r="X292">
        <f t="shared" si="38"/>
        <v>11200.203000000001</v>
      </c>
      <c r="Y292" s="5">
        <f t="shared" si="39"/>
        <v>42134.097000000002</v>
      </c>
      <c r="Z292" s="21">
        <f>DATE(K292,MATCH(J292,{"January","February","March","April","May","June","July","August","September","October","November","December"},0),1)</f>
        <v>45597</v>
      </c>
    </row>
    <row r="293" spans="1:26" x14ac:dyDescent="0.3">
      <c r="A293" s="4" t="s">
        <v>361</v>
      </c>
      <c r="B293" s="4" t="s">
        <v>118</v>
      </c>
      <c r="C293" s="4" t="s">
        <v>17</v>
      </c>
      <c r="D293" s="5">
        <v>29093.02</v>
      </c>
      <c r="E293" s="6">
        <v>2</v>
      </c>
      <c r="F293" s="5">
        <v>58186.04</v>
      </c>
      <c r="G293" s="1">
        <v>45597</v>
      </c>
      <c r="H293" t="s">
        <v>18</v>
      </c>
      <c r="I293">
        <v>3.7</v>
      </c>
      <c r="J293" t="s">
        <v>37</v>
      </c>
      <c r="K293">
        <v>2024</v>
      </c>
      <c r="L293">
        <v>11637.208000000001</v>
      </c>
      <c r="M293">
        <v>6</v>
      </c>
      <c r="N293" t="s">
        <v>41</v>
      </c>
      <c r="O293" t="s">
        <v>68</v>
      </c>
      <c r="P293">
        <f>FlipkartSales[[#This Row],[Price (INR)]]*FlipkartSales[[#This Row],[Quantity Sold]]</f>
        <v>58186.04</v>
      </c>
      <c r="Q293">
        <f>FlipkartSales[[#This Row],[Total Sales (INR)]]-FlipkartSales[[#This Row],[Calculated Sales]]</f>
        <v>0</v>
      </c>
      <c r="R293" s="9">
        <f t="shared" si="32"/>
        <v>0.2</v>
      </c>
      <c r="S293">
        <f t="shared" si="33"/>
        <v>29093.02</v>
      </c>
      <c r="T293">
        <f t="shared" si="34"/>
        <v>5818.6040000000003</v>
      </c>
      <c r="U293">
        <f t="shared" si="35"/>
        <v>11</v>
      </c>
      <c r="V293" t="str">
        <f t="shared" si="36"/>
        <v>Q4</v>
      </c>
      <c r="W293" t="str">
        <f t="shared" si="37"/>
        <v>Nov-2024</v>
      </c>
      <c r="X293">
        <f t="shared" si="38"/>
        <v>3491.1623999999997</v>
      </c>
      <c r="Y293" s="5">
        <f t="shared" si="39"/>
        <v>54694.8776</v>
      </c>
      <c r="Z293" s="21">
        <f>DATE(K293,MATCH(J293,{"January","February","March","April","May","June","July","August","September","October","November","December"},0),1)</f>
        <v>45597</v>
      </c>
    </row>
    <row r="294" spans="1:26" x14ac:dyDescent="0.3">
      <c r="A294" s="4" t="s">
        <v>362</v>
      </c>
      <c r="B294" s="4" t="s">
        <v>52</v>
      </c>
      <c r="C294" s="4" t="s">
        <v>24</v>
      </c>
      <c r="D294" s="5">
        <v>44770.65</v>
      </c>
      <c r="E294" s="6">
        <v>3</v>
      </c>
      <c r="F294" s="5">
        <v>134311.95000000001</v>
      </c>
      <c r="G294" s="1">
        <v>45638</v>
      </c>
      <c r="H294" t="s">
        <v>44</v>
      </c>
      <c r="I294">
        <v>3.5</v>
      </c>
      <c r="J294" t="s">
        <v>26</v>
      </c>
      <c r="K294">
        <v>2024</v>
      </c>
      <c r="L294">
        <v>26862.390000000003</v>
      </c>
      <c r="M294">
        <v>5</v>
      </c>
      <c r="N294" t="s">
        <v>41</v>
      </c>
      <c r="O294" t="s">
        <v>68</v>
      </c>
      <c r="P294">
        <f>FlipkartSales[[#This Row],[Price (INR)]]*FlipkartSales[[#This Row],[Quantity Sold]]</f>
        <v>134311.95000000001</v>
      </c>
      <c r="Q294">
        <f>FlipkartSales[[#This Row],[Total Sales (INR)]]-FlipkartSales[[#This Row],[Calculated Sales]]</f>
        <v>0</v>
      </c>
      <c r="R294" s="9">
        <f t="shared" si="32"/>
        <v>0.2</v>
      </c>
      <c r="S294">
        <f t="shared" si="33"/>
        <v>44770.65</v>
      </c>
      <c r="T294">
        <f t="shared" si="34"/>
        <v>8954.130000000001</v>
      </c>
      <c r="U294">
        <f t="shared" si="35"/>
        <v>12</v>
      </c>
      <c r="V294" t="str">
        <f t="shared" si="36"/>
        <v>Q4</v>
      </c>
      <c r="W294" t="str">
        <f t="shared" si="37"/>
        <v>Dec-2024</v>
      </c>
      <c r="X294">
        <f t="shared" si="38"/>
        <v>6715.5974999999999</v>
      </c>
      <c r="Y294" s="5">
        <f t="shared" si="39"/>
        <v>127596.35250000001</v>
      </c>
      <c r="Z294" s="21">
        <f>DATE(K294,MATCH(J294,{"January","February","March","April","May","June","July","August","September","October","November","December"},0),1)</f>
        <v>45627</v>
      </c>
    </row>
    <row r="295" spans="1:26" x14ac:dyDescent="0.3">
      <c r="A295" s="4" t="s">
        <v>363</v>
      </c>
      <c r="B295" s="4" t="s">
        <v>84</v>
      </c>
      <c r="C295" s="4" t="s">
        <v>40</v>
      </c>
      <c r="D295" s="5">
        <v>32749.9</v>
      </c>
      <c r="E295" s="6">
        <v>1</v>
      </c>
      <c r="F295" s="5">
        <v>32749.9</v>
      </c>
      <c r="G295" s="1">
        <v>45506</v>
      </c>
      <c r="H295" t="s">
        <v>80</v>
      </c>
      <c r="I295">
        <v>3.8</v>
      </c>
      <c r="J295" t="s">
        <v>88</v>
      </c>
      <c r="K295">
        <v>2024</v>
      </c>
      <c r="L295">
        <v>6549.9800000000005</v>
      </c>
      <c r="M295">
        <v>20</v>
      </c>
      <c r="N295" t="s">
        <v>27</v>
      </c>
      <c r="O295" t="s">
        <v>21</v>
      </c>
      <c r="P295">
        <f>FlipkartSales[[#This Row],[Price (INR)]]*FlipkartSales[[#This Row],[Quantity Sold]]</f>
        <v>32749.9</v>
      </c>
      <c r="Q295">
        <f>FlipkartSales[[#This Row],[Total Sales (INR)]]-FlipkartSales[[#This Row],[Calculated Sales]]</f>
        <v>0</v>
      </c>
      <c r="R295" s="9">
        <f t="shared" si="32"/>
        <v>0.2</v>
      </c>
      <c r="S295">
        <f t="shared" si="33"/>
        <v>32749.9</v>
      </c>
      <c r="T295">
        <f t="shared" si="34"/>
        <v>6549.9800000000005</v>
      </c>
      <c r="U295">
        <f t="shared" si="35"/>
        <v>8</v>
      </c>
      <c r="V295" t="str">
        <f t="shared" si="36"/>
        <v>Q3</v>
      </c>
      <c r="W295" t="str">
        <f t="shared" si="37"/>
        <v>Aug-2024</v>
      </c>
      <c r="X295">
        <f t="shared" si="38"/>
        <v>6549.98</v>
      </c>
      <c r="Y295" s="5">
        <f t="shared" si="39"/>
        <v>26199.920000000002</v>
      </c>
      <c r="Z295" s="21">
        <f>DATE(K295,MATCH(J295,{"January","February","March","April","May","June","July","August","September","October","November","December"},0),1)</f>
        <v>45505</v>
      </c>
    </row>
    <row r="296" spans="1:26" x14ac:dyDescent="0.3">
      <c r="A296" s="4" t="s">
        <v>364</v>
      </c>
      <c r="B296" s="4" t="s">
        <v>16</v>
      </c>
      <c r="C296" s="4" t="s">
        <v>17</v>
      </c>
      <c r="D296" s="5">
        <v>4990.66</v>
      </c>
      <c r="E296" s="6">
        <v>3</v>
      </c>
      <c r="F296" s="5">
        <v>14971.98</v>
      </c>
      <c r="G296" s="1">
        <v>45442</v>
      </c>
      <c r="H296" t="s">
        <v>44</v>
      </c>
      <c r="I296">
        <v>4.5999999999999996</v>
      </c>
      <c r="J296" t="s">
        <v>32</v>
      </c>
      <c r="K296">
        <v>2024</v>
      </c>
      <c r="L296">
        <v>2994.3960000000002</v>
      </c>
      <c r="M296">
        <v>16</v>
      </c>
      <c r="N296" t="s">
        <v>41</v>
      </c>
      <c r="O296" t="s">
        <v>68</v>
      </c>
      <c r="P296">
        <f>FlipkartSales[[#This Row],[Price (INR)]]*FlipkartSales[[#This Row],[Quantity Sold]]</f>
        <v>14971.98</v>
      </c>
      <c r="Q296">
        <f>FlipkartSales[[#This Row],[Total Sales (INR)]]-FlipkartSales[[#This Row],[Calculated Sales]]</f>
        <v>0</v>
      </c>
      <c r="R296" s="9">
        <f t="shared" si="32"/>
        <v>0.2</v>
      </c>
      <c r="S296">
        <f t="shared" si="33"/>
        <v>4990.66</v>
      </c>
      <c r="T296">
        <f t="shared" si="34"/>
        <v>998.13200000000006</v>
      </c>
      <c r="U296">
        <f t="shared" si="35"/>
        <v>5</v>
      </c>
      <c r="V296" t="str">
        <f t="shared" si="36"/>
        <v>Q2</v>
      </c>
      <c r="W296" t="str">
        <f t="shared" si="37"/>
        <v>May-2024</v>
      </c>
      <c r="X296">
        <f t="shared" si="38"/>
        <v>2395.5167999999999</v>
      </c>
      <c r="Y296" s="5">
        <f t="shared" si="39"/>
        <v>12576.4632</v>
      </c>
      <c r="Z296" s="21">
        <f>DATE(K296,MATCH(J296,{"January","February","March","April","May","June","July","August","September","October","November","December"},0),1)</f>
        <v>45413</v>
      </c>
    </row>
    <row r="297" spans="1:26" x14ac:dyDescent="0.3">
      <c r="A297" s="4" t="s">
        <v>365</v>
      </c>
      <c r="B297" s="4" t="s">
        <v>78</v>
      </c>
      <c r="C297" s="4" t="s">
        <v>24</v>
      </c>
      <c r="D297" s="5">
        <v>11044.89</v>
      </c>
      <c r="E297" s="6">
        <v>3</v>
      </c>
      <c r="F297" s="5">
        <v>33134.67</v>
      </c>
      <c r="G297" s="1">
        <v>45621</v>
      </c>
      <c r="H297" t="s">
        <v>44</v>
      </c>
      <c r="I297">
        <v>1.5</v>
      </c>
      <c r="J297" t="s">
        <v>37</v>
      </c>
      <c r="K297">
        <v>2024</v>
      </c>
      <c r="L297">
        <v>6626.9340000000002</v>
      </c>
      <c r="M297">
        <v>9</v>
      </c>
      <c r="N297" t="s">
        <v>20</v>
      </c>
      <c r="O297" t="s">
        <v>68</v>
      </c>
      <c r="P297">
        <f>FlipkartSales[[#This Row],[Price (INR)]]*FlipkartSales[[#This Row],[Quantity Sold]]</f>
        <v>33134.67</v>
      </c>
      <c r="Q297">
        <f>FlipkartSales[[#This Row],[Total Sales (INR)]]-FlipkartSales[[#This Row],[Calculated Sales]]</f>
        <v>0</v>
      </c>
      <c r="R297" s="9">
        <f t="shared" si="32"/>
        <v>0.2</v>
      </c>
      <c r="S297">
        <f t="shared" si="33"/>
        <v>11044.89</v>
      </c>
      <c r="T297">
        <f t="shared" si="34"/>
        <v>2208.9780000000001</v>
      </c>
      <c r="U297">
        <f t="shared" si="35"/>
        <v>11</v>
      </c>
      <c r="V297" t="str">
        <f t="shared" si="36"/>
        <v>Q4</v>
      </c>
      <c r="W297" t="str">
        <f t="shared" si="37"/>
        <v>Nov-2024</v>
      </c>
      <c r="X297">
        <f t="shared" si="38"/>
        <v>2982.1202999999996</v>
      </c>
      <c r="Y297" s="5">
        <f t="shared" si="39"/>
        <v>30152.5497</v>
      </c>
      <c r="Z297" s="21">
        <f>DATE(K297,MATCH(J297,{"January","February","March","April","May","June","July","August","September","October","November","December"},0),1)</f>
        <v>45597</v>
      </c>
    </row>
    <row r="298" spans="1:26" x14ac:dyDescent="0.3">
      <c r="A298" s="4" t="s">
        <v>366</v>
      </c>
      <c r="B298" s="4" t="s">
        <v>118</v>
      </c>
      <c r="C298" s="4" t="s">
        <v>17</v>
      </c>
      <c r="D298" s="5">
        <v>46032.160000000003</v>
      </c>
      <c r="E298" s="6">
        <v>5</v>
      </c>
      <c r="F298" s="5">
        <v>230160.8</v>
      </c>
      <c r="G298" s="1">
        <v>45634</v>
      </c>
      <c r="H298" t="s">
        <v>18</v>
      </c>
      <c r="I298">
        <v>4.4000000000000004</v>
      </c>
      <c r="J298" t="s">
        <v>26</v>
      </c>
      <c r="K298">
        <v>2024</v>
      </c>
      <c r="L298">
        <v>46032.160000000003</v>
      </c>
      <c r="M298">
        <v>9</v>
      </c>
      <c r="N298" t="s">
        <v>20</v>
      </c>
      <c r="O298" t="s">
        <v>33</v>
      </c>
      <c r="P298">
        <f>FlipkartSales[[#This Row],[Price (INR)]]*FlipkartSales[[#This Row],[Quantity Sold]]</f>
        <v>230160.80000000002</v>
      </c>
      <c r="Q298">
        <f>FlipkartSales[[#This Row],[Total Sales (INR)]]-FlipkartSales[[#This Row],[Calculated Sales]]</f>
        <v>0</v>
      </c>
      <c r="R298" s="9">
        <f t="shared" si="32"/>
        <v>0.20000000000000004</v>
      </c>
      <c r="S298">
        <f t="shared" si="33"/>
        <v>46032.159999999996</v>
      </c>
      <c r="T298">
        <f t="shared" si="34"/>
        <v>9206.4320000000007</v>
      </c>
      <c r="U298">
        <f t="shared" si="35"/>
        <v>12</v>
      </c>
      <c r="V298" t="str">
        <f t="shared" si="36"/>
        <v>Q4</v>
      </c>
      <c r="W298" t="str">
        <f t="shared" si="37"/>
        <v>Dec-2024</v>
      </c>
      <c r="X298">
        <f t="shared" si="38"/>
        <v>20714.471999999998</v>
      </c>
      <c r="Y298" s="5">
        <f t="shared" si="39"/>
        <v>209446.32799999998</v>
      </c>
      <c r="Z298" s="21">
        <f>DATE(K298,MATCH(J298,{"January","February","March","April","May","June","July","August","September","October","November","December"},0),1)</f>
        <v>45627</v>
      </c>
    </row>
    <row r="299" spans="1:26" x14ac:dyDescent="0.3">
      <c r="A299" s="4" t="s">
        <v>367</v>
      </c>
      <c r="B299" s="4" t="s">
        <v>16</v>
      </c>
      <c r="C299" s="4" t="s">
        <v>17</v>
      </c>
      <c r="D299" s="5">
        <v>43965.67</v>
      </c>
      <c r="E299" s="6">
        <v>3</v>
      </c>
      <c r="F299" s="5">
        <v>131897.01</v>
      </c>
      <c r="G299" s="1">
        <v>45529</v>
      </c>
      <c r="H299" t="s">
        <v>18</v>
      </c>
      <c r="I299">
        <v>1.1000000000000001</v>
      </c>
      <c r="J299" t="s">
        <v>88</v>
      </c>
      <c r="K299">
        <v>2024</v>
      </c>
      <c r="L299">
        <v>26379.402000000002</v>
      </c>
      <c r="M299">
        <v>27</v>
      </c>
      <c r="N299" t="s">
        <v>41</v>
      </c>
      <c r="O299" t="s">
        <v>68</v>
      </c>
      <c r="P299">
        <f>FlipkartSales[[#This Row],[Price (INR)]]*FlipkartSales[[#This Row],[Quantity Sold]]</f>
        <v>131897.01</v>
      </c>
      <c r="Q299">
        <f>FlipkartSales[[#This Row],[Total Sales (INR)]]-FlipkartSales[[#This Row],[Calculated Sales]]</f>
        <v>0</v>
      </c>
      <c r="R299" s="9">
        <f t="shared" si="32"/>
        <v>0.2</v>
      </c>
      <c r="S299">
        <f t="shared" si="33"/>
        <v>43965.670000000006</v>
      </c>
      <c r="T299">
        <f t="shared" si="34"/>
        <v>8793.134</v>
      </c>
      <c r="U299">
        <f t="shared" si="35"/>
        <v>8</v>
      </c>
      <c r="V299" t="str">
        <f t="shared" si="36"/>
        <v>Q3</v>
      </c>
      <c r="W299" t="str">
        <f t="shared" si="37"/>
        <v>Aug-2024</v>
      </c>
      <c r="X299">
        <f t="shared" si="38"/>
        <v>35612.192700000007</v>
      </c>
      <c r="Y299" s="5">
        <f t="shared" si="39"/>
        <v>96284.817299999995</v>
      </c>
      <c r="Z299" s="21">
        <f>DATE(K299,MATCH(J299,{"January","February","March","April","May","June","July","August","September","October","November","December"},0),1)</f>
        <v>45505</v>
      </c>
    </row>
    <row r="300" spans="1:26" x14ac:dyDescent="0.3">
      <c r="A300" s="4" t="s">
        <v>368</v>
      </c>
      <c r="B300" s="4" t="s">
        <v>78</v>
      </c>
      <c r="C300" s="4" t="s">
        <v>24</v>
      </c>
      <c r="D300" s="5">
        <v>6037.98</v>
      </c>
      <c r="E300" s="6">
        <v>2</v>
      </c>
      <c r="F300" s="5">
        <v>12075.96</v>
      </c>
      <c r="G300" s="1">
        <v>45437</v>
      </c>
      <c r="H300" t="s">
        <v>64</v>
      </c>
      <c r="I300">
        <v>3.6</v>
      </c>
      <c r="J300" t="s">
        <v>32</v>
      </c>
      <c r="K300">
        <v>2024</v>
      </c>
      <c r="L300">
        <v>2415.192</v>
      </c>
      <c r="M300">
        <v>13</v>
      </c>
      <c r="N300" t="s">
        <v>27</v>
      </c>
      <c r="O300" t="s">
        <v>21</v>
      </c>
      <c r="P300">
        <f>FlipkartSales[[#This Row],[Price (INR)]]*FlipkartSales[[#This Row],[Quantity Sold]]</f>
        <v>12075.96</v>
      </c>
      <c r="Q300">
        <f>FlipkartSales[[#This Row],[Total Sales (INR)]]-FlipkartSales[[#This Row],[Calculated Sales]]</f>
        <v>0</v>
      </c>
      <c r="R300" s="9">
        <f t="shared" si="32"/>
        <v>0.2</v>
      </c>
      <c r="S300">
        <f t="shared" si="33"/>
        <v>6037.98</v>
      </c>
      <c r="T300">
        <f t="shared" si="34"/>
        <v>1207.596</v>
      </c>
      <c r="U300">
        <f t="shared" si="35"/>
        <v>5</v>
      </c>
      <c r="V300" t="str">
        <f t="shared" si="36"/>
        <v>Q2</v>
      </c>
      <c r="W300" t="str">
        <f t="shared" si="37"/>
        <v>May-2024</v>
      </c>
      <c r="X300">
        <f t="shared" si="38"/>
        <v>1569.8747999999998</v>
      </c>
      <c r="Y300" s="5">
        <f t="shared" si="39"/>
        <v>10506.0852</v>
      </c>
      <c r="Z300" s="21">
        <f>DATE(K300,MATCH(J300,{"January","February","March","April","May","June","July","August","September","October","November","December"},0),1)</f>
        <v>45413</v>
      </c>
    </row>
    <row r="301" spans="1:26" x14ac:dyDescent="0.3">
      <c r="A301" s="4" t="s">
        <v>369</v>
      </c>
      <c r="B301" s="4" t="s">
        <v>70</v>
      </c>
      <c r="C301" s="4" t="s">
        <v>17</v>
      </c>
      <c r="D301" s="5">
        <v>22747.82</v>
      </c>
      <c r="E301" s="6">
        <v>3</v>
      </c>
      <c r="F301" s="5">
        <v>68243.460000000006</v>
      </c>
      <c r="G301" s="1">
        <v>45555</v>
      </c>
      <c r="H301" t="s">
        <v>18</v>
      </c>
      <c r="I301">
        <v>4.5</v>
      </c>
      <c r="J301" t="s">
        <v>19</v>
      </c>
      <c r="K301">
        <v>2024</v>
      </c>
      <c r="L301">
        <v>13648.692000000003</v>
      </c>
      <c r="M301">
        <v>13</v>
      </c>
      <c r="N301" t="s">
        <v>20</v>
      </c>
      <c r="O301" t="s">
        <v>33</v>
      </c>
      <c r="P301">
        <f>FlipkartSales[[#This Row],[Price (INR)]]*FlipkartSales[[#This Row],[Quantity Sold]]</f>
        <v>68243.459999999992</v>
      </c>
      <c r="Q301">
        <f>FlipkartSales[[#This Row],[Total Sales (INR)]]-FlipkartSales[[#This Row],[Calculated Sales]]</f>
        <v>0</v>
      </c>
      <c r="R301" s="9">
        <f t="shared" si="32"/>
        <v>0.2</v>
      </c>
      <c r="S301">
        <f t="shared" si="33"/>
        <v>22747.820000000003</v>
      </c>
      <c r="T301">
        <f t="shared" si="34"/>
        <v>4549.5640000000012</v>
      </c>
      <c r="U301">
        <f t="shared" si="35"/>
        <v>9</v>
      </c>
      <c r="V301" t="str">
        <f t="shared" si="36"/>
        <v>Q3</v>
      </c>
      <c r="W301" t="str">
        <f t="shared" si="37"/>
        <v>Sep-2024</v>
      </c>
      <c r="X301">
        <f t="shared" si="38"/>
        <v>8871.6498000000011</v>
      </c>
      <c r="Y301" s="5">
        <f t="shared" si="39"/>
        <v>59371.810200000007</v>
      </c>
      <c r="Z301" s="21">
        <f>DATE(K301,MATCH(J301,{"January","February","March","April","May","June","July","August","September","October","November","December"},0),1)</f>
        <v>45536</v>
      </c>
    </row>
    <row r="302" spans="1:26" x14ac:dyDescent="0.3">
      <c r="A302" s="4" t="s">
        <v>370</v>
      </c>
      <c r="B302" s="4" t="s">
        <v>107</v>
      </c>
      <c r="C302" s="4" t="s">
        <v>36</v>
      </c>
      <c r="D302" s="5">
        <v>26615.919999999998</v>
      </c>
      <c r="E302" s="6">
        <v>2</v>
      </c>
      <c r="F302" s="5">
        <v>53231.839999999997</v>
      </c>
      <c r="G302" s="1">
        <v>45464</v>
      </c>
      <c r="H302" t="s">
        <v>64</v>
      </c>
      <c r="I302">
        <v>2.2999999999999998</v>
      </c>
      <c r="J302" t="s">
        <v>67</v>
      </c>
      <c r="K302">
        <v>2024</v>
      </c>
      <c r="L302">
        <v>10646.368</v>
      </c>
      <c r="M302">
        <v>7</v>
      </c>
      <c r="N302" t="s">
        <v>27</v>
      </c>
      <c r="O302" t="s">
        <v>21</v>
      </c>
      <c r="P302">
        <f>FlipkartSales[[#This Row],[Price (INR)]]*FlipkartSales[[#This Row],[Quantity Sold]]</f>
        <v>53231.839999999997</v>
      </c>
      <c r="Q302">
        <f>FlipkartSales[[#This Row],[Total Sales (INR)]]-FlipkartSales[[#This Row],[Calculated Sales]]</f>
        <v>0</v>
      </c>
      <c r="R302" s="9">
        <f t="shared" si="32"/>
        <v>0.2</v>
      </c>
      <c r="S302">
        <f t="shared" si="33"/>
        <v>26615.919999999998</v>
      </c>
      <c r="T302">
        <f t="shared" si="34"/>
        <v>5323.1840000000002</v>
      </c>
      <c r="U302">
        <f t="shared" si="35"/>
        <v>6</v>
      </c>
      <c r="V302" t="str">
        <f t="shared" si="36"/>
        <v>Q2</v>
      </c>
      <c r="W302" t="str">
        <f t="shared" si="37"/>
        <v>Jun-2024</v>
      </c>
      <c r="X302">
        <f t="shared" si="38"/>
        <v>3726.2287999999999</v>
      </c>
      <c r="Y302" s="5">
        <f t="shared" si="39"/>
        <v>49505.611199999999</v>
      </c>
      <c r="Z302" s="21">
        <f>DATE(K302,MATCH(J302,{"January","February","March","April","May","June","July","August","September","October","November","December"},0),1)</f>
        <v>45444</v>
      </c>
    </row>
    <row r="303" spans="1:26" x14ac:dyDescent="0.3">
      <c r="A303" s="4" t="s">
        <v>371</v>
      </c>
      <c r="B303" s="4" t="s">
        <v>30</v>
      </c>
      <c r="C303" s="4" t="s">
        <v>31</v>
      </c>
      <c r="D303" s="5">
        <v>48234.31</v>
      </c>
      <c r="E303" s="6">
        <v>2</v>
      </c>
      <c r="F303" s="5">
        <v>96468.62</v>
      </c>
      <c r="G303" s="1">
        <v>45481</v>
      </c>
      <c r="H303" t="s">
        <v>18</v>
      </c>
      <c r="I303">
        <v>1.8</v>
      </c>
      <c r="J303" t="s">
        <v>48</v>
      </c>
      <c r="K303">
        <v>2024</v>
      </c>
      <c r="L303">
        <v>19293.723999999998</v>
      </c>
      <c r="M303">
        <v>23</v>
      </c>
      <c r="N303" t="s">
        <v>27</v>
      </c>
      <c r="O303" t="s">
        <v>68</v>
      </c>
      <c r="P303">
        <f>FlipkartSales[[#This Row],[Price (INR)]]*FlipkartSales[[#This Row],[Quantity Sold]]</f>
        <v>96468.62</v>
      </c>
      <c r="Q303">
        <f>FlipkartSales[[#This Row],[Total Sales (INR)]]-FlipkartSales[[#This Row],[Calculated Sales]]</f>
        <v>0</v>
      </c>
      <c r="R303" s="9">
        <f t="shared" si="32"/>
        <v>0.19999999999999998</v>
      </c>
      <c r="S303">
        <f t="shared" si="33"/>
        <v>48234.31</v>
      </c>
      <c r="T303">
        <f t="shared" si="34"/>
        <v>9646.8619999999992</v>
      </c>
      <c r="U303">
        <f t="shared" si="35"/>
        <v>7</v>
      </c>
      <c r="V303" t="str">
        <f t="shared" si="36"/>
        <v>Q3</v>
      </c>
      <c r="W303" t="str">
        <f t="shared" si="37"/>
        <v>Jul-2024</v>
      </c>
      <c r="X303">
        <f t="shared" si="38"/>
        <v>22187.782599999999</v>
      </c>
      <c r="Y303" s="5">
        <f t="shared" si="39"/>
        <v>74280.837399999989</v>
      </c>
      <c r="Z303" s="21">
        <f>DATE(K303,MATCH(J303,{"January","February","March","April","May","June","July","August","September","October","November","December"},0),1)</f>
        <v>45474</v>
      </c>
    </row>
    <row r="304" spans="1:26" x14ac:dyDescent="0.3">
      <c r="A304" s="4" t="s">
        <v>372</v>
      </c>
      <c r="B304" s="4" t="s">
        <v>50</v>
      </c>
      <c r="C304" s="4" t="s">
        <v>40</v>
      </c>
      <c r="D304" s="5">
        <v>24172.560000000001</v>
      </c>
      <c r="E304" s="6">
        <v>1</v>
      </c>
      <c r="F304" s="5">
        <v>24172.560000000001</v>
      </c>
      <c r="G304" s="1">
        <v>45646</v>
      </c>
      <c r="H304" t="s">
        <v>25</v>
      </c>
      <c r="I304">
        <v>3.1</v>
      </c>
      <c r="J304" t="s">
        <v>26</v>
      </c>
      <c r="K304">
        <v>2024</v>
      </c>
      <c r="L304">
        <v>4834.5120000000006</v>
      </c>
      <c r="M304">
        <v>20</v>
      </c>
      <c r="N304" t="s">
        <v>20</v>
      </c>
      <c r="O304" t="s">
        <v>21</v>
      </c>
      <c r="P304">
        <f>FlipkartSales[[#This Row],[Price (INR)]]*FlipkartSales[[#This Row],[Quantity Sold]]</f>
        <v>24172.560000000001</v>
      </c>
      <c r="Q304">
        <f>FlipkartSales[[#This Row],[Total Sales (INR)]]-FlipkartSales[[#This Row],[Calculated Sales]]</f>
        <v>0</v>
      </c>
      <c r="R304" s="9">
        <f t="shared" si="32"/>
        <v>0.2</v>
      </c>
      <c r="S304">
        <f t="shared" si="33"/>
        <v>24172.560000000001</v>
      </c>
      <c r="T304">
        <f t="shared" si="34"/>
        <v>4834.5120000000006</v>
      </c>
      <c r="U304">
        <f t="shared" si="35"/>
        <v>12</v>
      </c>
      <c r="V304" t="str">
        <f t="shared" si="36"/>
        <v>Q4</v>
      </c>
      <c r="W304" t="str">
        <f t="shared" si="37"/>
        <v>Dec-2024</v>
      </c>
      <c r="X304">
        <f t="shared" si="38"/>
        <v>4834.5119999999997</v>
      </c>
      <c r="Y304" s="5">
        <f t="shared" si="39"/>
        <v>19338.048000000003</v>
      </c>
      <c r="Z304" s="21">
        <f>DATE(K304,MATCH(J304,{"January","February","March","April","May","June","July","August","September","October","November","December"},0),1)</f>
        <v>45627</v>
      </c>
    </row>
    <row r="305" spans="1:26" x14ac:dyDescent="0.3">
      <c r="A305" s="4" t="s">
        <v>373</v>
      </c>
      <c r="B305" s="4" t="s">
        <v>118</v>
      </c>
      <c r="C305" s="4" t="s">
        <v>17</v>
      </c>
      <c r="D305" s="5">
        <v>16385.37</v>
      </c>
      <c r="E305" s="6">
        <v>3</v>
      </c>
      <c r="F305" s="5">
        <v>49156.11</v>
      </c>
      <c r="G305" s="1">
        <v>45346</v>
      </c>
      <c r="H305" t="s">
        <v>44</v>
      </c>
      <c r="I305">
        <v>1.6</v>
      </c>
      <c r="J305" t="s">
        <v>59</v>
      </c>
      <c r="K305">
        <v>2024</v>
      </c>
      <c r="L305">
        <v>9831.2220000000016</v>
      </c>
      <c r="M305">
        <v>20</v>
      </c>
      <c r="N305" t="s">
        <v>27</v>
      </c>
      <c r="O305" t="s">
        <v>33</v>
      </c>
      <c r="P305">
        <f>FlipkartSales[[#This Row],[Price (INR)]]*FlipkartSales[[#This Row],[Quantity Sold]]</f>
        <v>49156.11</v>
      </c>
      <c r="Q305">
        <f>FlipkartSales[[#This Row],[Total Sales (INR)]]-FlipkartSales[[#This Row],[Calculated Sales]]</f>
        <v>0</v>
      </c>
      <c r="R305" s="9">
        <f t="shared" si="32"/>
        <v>0.20000000000000004</v>
      </c>
      <c r="S305">
        <f t="shared" si="33"/>
        <v>16385.37</v>
      </c>
      <c r="T305">
        <f t="shared" si="34"/>
        <v>3277.0740000000005</v>
      </c>
      <c r="U305">
        <f t="shared" si="35"/>
        <v>2</v>
      </c>
      <c r="V305" t="str">
        <f t="shared" si="36"/>
        <v>Q1</v>
      </c>
      <c r="W305" t="str">
        <f t="shared" si="37"/>
        <v>Feb-2024</v>
      </c>
      <c r="X305">
        <f t="shared" si="38"/>
        <v>9831.2219999999998</v>
      </c>
      <c r="Y305" s="5">
        <f t="shared" si="39"/>
        <v>39324.887999999999</v>
      </c>
      <c r="Z305" s="21">
        <f>DATE(K305,MATCH(J305,{"January","February","March","April","May","June","July","August","September","October","November","December"},0),1)</f>
        <v>45323</v>
      </c>
    </row>
    <row r="306" spans="1:26" x14ac:dyDescent="0.3">
      <c r="A306" s="4" t="s">
        <v>374</v>
      </c>
      <c r="B306" s="4" t="s">
        <v>78</v>
      </c>
      <c r="C306" s="4" t="s">
        <v>24</v>
      </c>
      <c r="D306" s="5">
        <v>29527.22</v>
      </c>
      <c r="E306" s="6">
        <v>3</v>
      </c>
      <c r="F306" s="5">
        <v>88581.66</v>
      </c>
      <c r="G306" s="1">
        <v>45381</v>
      </c>
      <c r="H306" t="s">
        <v>64</v>
      </c>
      <c r="I306">
        <v>1.2</v>
      </c>
      <c r="J306" t="s">
        <v>56</v>
      </c>
      <c r="K306">
        <v>2024</v>
      </c>
      <c r="L306">
        <v>17716.332000000002</v>
      </c>
      <c r="M306">
        <v>7</v>
      </c>
      <c r="N306" t="s">
        <v>20</v>
      </c>
      <c r="O306" t="s">
        <v>28</v>
      </c>
      <c r="P306">
        <f>FlipkartSales[[#This Row],[Price (INR)]]*FlipkartSales[[#This Row],[Quantity Sold]]</f>
        <v>88581.66</v>
      </c>
      <c r="Q306">
        <f>FlipkartSales[[#This Row],[Total Sales (INR)]]-FlipkartSales[[#This Row],[Calculated Sales]]</f>
        <v>0</v>
      </c>
      <c r="R306" s="9">
        <f t="shared" si="32"/>
        <v>0.2</v>
      </c>
      <c r="S306">
        <f t="shared" si="33"/>
        <v>29527.22</v>
      </c>
      <c r="T306">
        <f t="shared" si="34"/>
        <v>5905.4440000000004</v>
      </c>
      <c r="U306">
        <f t="shared" si="35"/>
        <v>3</v>
      </c>
      <c r="V306" t="str">
        <f t="shared" si="36"/>
        <v>Q1</v>
      </c>
      <c r="W306" t="str">
        <f t="shared" si="37"/>
        <v>Mar-2024</v>
      </c>
      <c r="X306">
        <f t="shared" si="38"/>
        <v>6200.7161999999998</v>
      </c>
      <c r="Y306" s="5">
        <f t="shared" si="39"/>
        <v>82380.943800000008</v>
      </c>
      <c r="Z306" s="21">
        <f>DATE(K306,MATCH(J306,{"January","February","March","April","May","June","July","August","September","October","November","December"},0),1)</f>
        <v>45352</v>
      </c>
    </row>
    <row r="307" spans="1:26" x14ac:dyDescent="0.3">
      <c r="A307" s="4" t="s">
        <v>375</v>
      </c>
      <c r="B307" s="4" t="s">
        <v>50</v>
      </c>
      <c r="C307" s="4" t="s">
        <v>40</v>
      </c>
      <c r="D307" s="5">
        <v>42516.65</v>
      </c>
      <c r="E307" s="6">
        <v>3</v>
      </c>
      <c r="F307" s="5">
        <v>127549.95</v>
      </c>
      <c r="G307" s="1">
        <v>45410</v>
      </c>
      <c r="H307" t="s">
        <v>80</v>
      </c>
      <c r="I307">
        <v>1.8</v>
      </c>
      <c r="J307" t="s">
        <v>62</v>
      </c>
      <c r="K307">
        <v>2024</v>
      </c>
      <c r="L307">
        <v>25509.99</v>
      </c>
      <c r="M307">
        <v>24</v>
      </c>
      <c r="N307" t="s">
        <v>27</v>
      </c>
      <c r="O307" t="s">
        <v>21</v>
      </c>
      <c r="P307">
        <f>FlipkartSales[[#This Row],[Price (INR)]]*FlipkartSales[[#This Row],[Quantity Sold]]</f>
        <v>127549.95000000001</v>
      </c>
      <c r="Q307">
        <f>FlipkartSales[[#This Row],[Total Sales (INR)]]-FlipkartSales[[#This Row],[Calculated Sales]]</f>
        <v>0</v>
      </c>
      <c r="R307" s="9">
        <f t="shared" si="32"/>
        <v>0.2</v>
      </c>
      <c r="S307">
        <f t="shared" si="33"/>
        <v>42516.65</v>
      </c>
      <c r="T307">
        <f t="shared" si="34"/>
        <v>8503.33</v>
      </c>
      <c r="U307">
        <f t="shared" si="35"/>
        <v>4</v>
      </c>
      <c r="V307" t="str">
        <f t="shared" si="36"/>
        <v>Q2</v>
      </c>
      <c r="W307" t="str">
        <f t="shared" si="37"/>
        <v>Apr-2024</v>
      </c>
      <c r="X307">
        <f t="shared" si="38"/>
        <v>30611.987999999998</v>
      </c>
      <c r="Y307" s="5">
        <f t="shared" si="39"/>
        <v>96937.962</v>
      </c>
      <c r="Z307" s="21">
        <f>DATE(K307,MATCH(J307,{"January","February","March","April","May","June","July","August","September","October","November","December"},0),1)</f>
        <v>45383</v>
      </c>
    </row>
    <row r="308" spans="1:26" x14ac:dyDescent="0.3">
      <c r="A308" s="4" t="s">
        <v>376</v>
      </c>
      <c r="B308" s="4" t="s">
        <v>70</v>
      </c>
      <c r="C308" s="4" t="s">
        <v>17</v>
      </c>
      <c r="D308" s="5">
        <v>27175.37</v>
      </c>
      <c r="E308" s="6">
        <v>5</v>
      </c>
      <c r="F308" s="5">
        <v>135876.85</v>
      </c>
      <c r="G308" s="1">
        <v>45506</v>
      </c>
      <c r="H308" t="s">
        <v>64</v>
      </c>
      <c r="I308">
        <v>3.9</v>
      </c>
      <c r="J308" t="s">
        <v>88</v>
      </c>
      <c r="K308">
        <v>2024</v>
      </c>
      <c r="L308">
        <v>27175.370000000003</v>
      </c>
      <c r="M308">
        <v>28</v>
      </c>
      <c r="N308" t="s">
        <v>20</v>
      </c>
      <c r="O308" t="s">
        <v>21</v>
      </c>
      <c r="P308">
        <f>FlipkartSales[[#This Row],[Price (INR)]]*FlipkartSales[[#This Row],[Quantity Sold]]</f>
        <v>135876.85</v>
      </c>
      <c r="Q308">
        <f>FlipkartSales[[#This Row],[Total Sales (INR)]]-FlipkartSales[[#This Row],[Calculated Sales]]</f>
        <v>0</v>
      </c>
      <c r="R308" s="9">
        <f t="shared" si="32"/>
        <v>0.2</v>
      </c>
      <c r="S308">
        <f t="shared" si="33"/>
        <v>27175.370000000003</v>
      </c>
      <c r="T308">
        <f t="shared" si="34"/>
        <v>5435.0740000000005</v>
      </c>
      <c r="U308">
        <f t="shared" si="35"/>
        <v>8</v>
      </c>
      <c r="V308" t="str">
        <f t="shared" si="36"/>
        <v>Q3</v>
      </c>
      <c r="W308" t="str">
        <f t="shared" si="37"/>
        <v>Aug-2024</v>
      </c>
      <c r="X308">
        <f t="shared" si="38"/>
        <v>38045.518000000004</v>
      </c>
      <c r="Y308" s="5">
        <f t="shared" si="39"/>
        <v>97831.331999999995</v>
      </c>
      <c r="Z308" s="21">
        <f>DATE(K308,MATCH(J308,{"January","February","March","April","May","June","July","August","September","October","November","December"},0),1)</f>
        <v>45505</v>
      </c>
    </row>
    <row r="309" spans="1:26" x14ac:dyDescent="0.3">
      <c r="A309" s="4" t="s">
        <v>377</v>
      </c>
      <c r="B309" s="4" t="s">
        <v>176</v>
      </c>
      <c r="C309" s="4" t="s">
        <v>24</v>
      </c>
      <c r="D309" s="5">
        <v>25379.68</v>
      </c>
      <c r="E309" s="6">
        <v>4</v>
      </c>
      <c r="F309" s="5">
        <v>101518.72</v>
      </c>
      <c r="G309" s="1">
        <v>45571</v>
      </c>
      <c r="H309" t="s">
        <v>44</v>
      </c>
      <c r="I309">
        <v>3.5</v>
      </c>
      <c r="J309" t="s">
        <v>45</v>
      </c>
      <c r="K309">
        <v>2024</v>
      </c>
      <c r="L309">
        <v>20303.744000000002</v>
      </c>
      <c r="M309">
        <v>26</v>
      </c>
      <c r="N309" t="s">
        <v>41</v>
      </c>
      <c r="O309" t="s">
        <v>33</v>
      </c>
      <c r="P309">
        <f>FlipkartSales[[#This Row],[Price (INR)]]*FlipkartSales[[#This Row],[Quantity Sold]]</f>
        <v>101518.72</v>
      </c>
      <c r="Q309">
        <f>FlipkartSales[[#This Row],[Total Sales (INR)]]-FlipkartSales[[#This Row],[Calculated Sales]]</f>
        <v>0</v>
      </c>
      <c r="R309" s="9">
        <f t="shared" si="32"/>
        <v>0.2</v>
      </c>
      <c r="S309">
        <f t="shared" si="33"/>
        <v>25379.68</v>
      </c>
      <c r="T309">
        <f t="shared" si="34"/>
        <v>5075.9360000000006</v>
      </c>
      <c r="U309">
        <f t="shared" si="35"/>
        <v>10</v>
      </c>
      <c r="V309" t="str">
        <f t="shared" si="36"/>
        <v>Q4</v>
      </c>
      <c r="W309" t="str">
        <f t="shared" si="37"/>
        <v>Oct-2024</v>
      </c>
      <c r="X309">
        <f t="shared" si="38"/>
        <v>26394.867200000001</v>
      </c>
      <c r="Y309" s="5">
        <f t="shared" si="39"/>
        <v>75123.852799999993</v>
      </c>
      <c r="Z309" s="21">
        <f>DATE(K309,MATCH(J309,{"January","February","March","April","May","June","July","August","September","October","November","December"},0),1)</f>
        <v>45566</v>
      </c>
    </row>
    <row r="310" spans="1:26" x14ac:dyDescent="0.3">
      <c r="A310" s="4" t="s">
        <v>378</v>
      </c>
      <c r="B310" s="4" t="s">
        <v>16</v>
      </c>
      <c r="C310" s="4" t="s">
        <v>17</v>
      </c>
      <c r="D310" s="5">
        <v>29568.18</v>
      </c>
      <c r="E310" s="6">
        <v>3</v>
      </c>
      <c r="F310" s="5">
        <v>88704.54</v>
      </c>
      <c r="G310" s="1">
        <v>45669</v>
      </c>
      <c r="H310" t="s">
        <v>71</v>
      </c>
      <c r="I310">
        <v>1.3</v>
      </c>
      <c r="J310" t="s">
        <v>53</v>
      </c>
      <c r="K310">
        <v>2025</v>
      </c>
      <c r="L310">
        <v>17740.907999999999</v>
      </c>
      <c r="M310">
        <v>28</v>
      </c>
      <c r="N310" t="s">
        <v>20</v>
      </c>
      <c r="O310" t="s">
        <v>33</v>
      </c>
      <c r="P310">
        <f>FlipkartSales[[#This Row],[Price (INR)]]*FlipkartSales[[#This Row],[Quantity Sold]]</f>
        <v>88704.540000000008</v>
      </c>
      <c r="Q310">
        <f>FlipkartSales[[#This Row],[Total Sales (INR)]]-FlipkartSales[[#This Row],[Calculated Sales]]</f>
        <v>0</v>
      </c>
      <c r="R310" s="9">
        <f t="shared" si="32"/>
        <v>0.2</v>
      </c>
      <c r="S310">
        <f t="shared" si="33"/>
        <v>29568.179999999997</v>
      </c>
      <c r="T310">
        <f t="shared" si="34"/>
        <v>5913.6359999999995</v>
      </c>
      <c r="U310">
        <f t="shared" si="35"/>
        <v>1</v>
      </c>
      <c r="V310" t="str">
        <f t="shared" si="36"/>
        <v>Q1</v>
      </c>
      <c r="W310" t="str">
        <f t="shared" si="37"/>
        <v>Jan-2025</v>
      </c>
      <c r="X310">
        <f t="shared" si="38"/>
        <v>24837.271199999996</v>
      </c>
      <c r="Y310" s="5">
        <f t="shared" si="39"/>
        <v>63867.268799999998</v>
      </c>
      <c r="Z310" s="21">
        <f>DATE(K310,MATCH(J310,{"January","February","March","April","May","June","July","August","September","October","November","December"},0),1)</f>
        <v>45658</v>
      </c>
    </row>
    <row r="311" spans="1:26" x14ac:dyDescent="0.3">
      <c r="A311" s="4" t="s">
        <v>379</v>
      </c>
      <c r="B311" s="4" t="s">
        <v>118</v>
      </c>
      <c r="C311" s="4" t="s">
        <v>17</v>
      </c>
      <c r="D311" s="5">
        <v>23562.27</v>
      </c>
      <c r="E311" s="6">
        <v>2</v>
      </c>
      <c r="F311" s="5">
        <v>47124.54</v>
      </c>
      <c r="G311" s="1">
        <v>45649</v>
      </c>
      <c r="H311" t="s">
        <v>71</v>
      </c>
      <c r="I311">
        <v>4.9000000000000004</v>
      </c>
      <c r="J311" t="s">
        <v>26</v>
      </c>
      <c r="K311">
        <v>2024</v>
      </c>
      <c r="L311">
        <v>9424.9080000000013</v>
      </c>
      <c r="M311">
        <v>5</v>
      </c>
      <c r="N311" t="s">
        <v>20</v>
      </c>
      <c r="O311" t="s">
        <v>21</v>
      </c>
      <c r="P311">
        <f>FlipkartSales[[#This Row],[Price (INR)]]*FlipkartSales[[#This Row],[Quantity Sold]]</f>
        <v>47124.54</v>
      </c>
      <c r="Q311">
        <f>FlipkartSales[[#This Row],[Total Sales (INR)]]-FlipkartSales[[#This Row],[Calculated Sales]]</f>
        <v>0</v>
      </c>
      <c r="R311" s="9">
        <f t="shared" si="32"/>
        <v>0.2</v>
      </c>
      <c r="S311">
        <f t="shared" si="33"/>
        <v>23562.27</v>
      </c>
      <c r="T311">
        <f t="shared" si="34"/>
        <v>4712.4540000000006</v>
      </c>
      <c r="U311">
        <f t="shared" si="35"/>
        <v>12</v>
      </c>
      <c r="V311" t="str">
        <f t="shared" si="36"/>
        <v>Q4</v>
      </c>
      <c r="W311" t="str">
        <f t="shared" si="37"/>
        <v>Dec-2024</v>
      </c>
      <c r="X311">
        <f t="shared" si="38"/>
        <v>2356.2270000000003</v>
      </c>
      <c r="Y311" s="5">
        <f t="shared" si="39"/>
        <v>44768.313000000002</v>
      </c>
      <c r="Z311" s="21">
        <f>DATE(K311,MATCH(J311,{"January","February","March","April","May","June","July","August","September","October","November","December"},0),1)</f>
        <v>45627</v>
      </c>
    </row>
    <row r="312" spans="1:26" x14ac:dyDescent="0.3">
      <c r="A312" s="4" t="s">
        <v>380</v>
      </c>
      <c r="B312" s="4" t="s">
        <v>176</v>
      </c>
      <c r="C312" s="4" t="s">
        <v>24</v>
      </c>
      <c r="D312" s="5">
        <v>19134.259999999998</v>
      </c>
      <c r="E312" s="6">
        <v>2</v>
      </c>
      <c r="F312" s="5">
        <v>38268.519999999997</v>
      </c>
      <c r="G312" s="1">
        <v>45334</v>
      </c>
      <c r="H312" t="s">
        <v>64</v>
      </c>
      <c r="I312">
        <v>4.5999999999999996</v>
      </c>
      <c r="J312" t="s">
        <v>59</v>
      </c>
      <c r="K312">
        <v>2024</v>
      </c>
      <c r="L312">
        <v>7653.7039999999997</v>
      </c>
      <c r="M312">
        <v>28</v>
      </c>
      <c r="N312" t="s">
        <v>20</v>
      </c>
      <c r="O312" t="s">
        <v>68</v>
      </c>
      <c r="P312">
        <f>FlipkartSales[[#This Row],[Price (INR)]]*FlipkartSales[[#This Row],[Quantity Sold]]</f>
        <v>38268.519999999997</v>
      </c>
      <c r="Q312">
        <f>FlipkartSales[[#This Row],[Total Sales (INR)]]-FlipkartSales[[#This Row],[Calculated Sales]]</f>
        <v>0</v>
      </c>
      <c r="R312" s="9">
        <f t="shared" si="32"/>
        <v>0.2</v>
      </c>
      <c r="S312">
        <f t="shared" si="33"/>
        <v>19134.259999999998</v>
      </c>
      <c r="T312">
        <f t="shared" si="34"/>
        <v>3826.8519999999999</v>
      </c>
      <c r="U312">
        <f t="shared" si="35"/>
        <v>2</v>
      </c>
      <c r="V312" t="str">
        <f t="shared" si="36"/>
        <v>Q1</v>
      </c>
      <c r="W312" t="str">
        <f t="shared" si="37"/>
        <v>Feb-2024</v>
      </c>
      <c r="X312">
        <f t="shared" si="38"/>
        <v>10715.185599999999</v>
      </c>
      <c r="Y312" s="5">
        <f t="shared" si="39"/>
        <v>27553.3344</v>
      </c>
      <c r="Z312" s="21">
        <f>DATE(K312,MATCH(J312,{"January","February","March","April","May","June","July","August","September","October","November","December"},0),1)</f>
        <v>45323</v>
      </c>
    </row>
    <row r="313" spans="1:26" x14ac:dyDescent="0.3">
      <c r="A313" s="4" t="s">
        <v>381</v>
      </c>
      <c r="B313" s="4" t="s">
        <v>118</v>
      </c>
      <c r="C313" s="4" t="s">
        <v>17</v>
      </c>
      <c r="D313" s="5">
        <v>10176.11</v>
      </c>
      <c r="E313" s="6">
        <v>5</v>
      </c>
      <c r="F313" s="5">
        <v>50880.55</v>
      </c>
      <c r="G313" s="1">
        <v>45521</v>
      </c>
      <c r="H313" t="s">
        <v>80</v>
      </c>
      <c r="I313">
        <v>2.1</v>
      </c>
      <c r="J313" t="s">
        <v>88</v>
      </c>
      <c r="K313">
        <v>2024</v>
      </c>
      <c r="L313">
        <v>10176.11</v>
      </c>
      <c r="M313">
        <v>24</v>
      </c>
      <c r="N313" t="s">
        <v>20</v>
      </c>
      <c r="O313" t="s">
        <v>21</v>
      </c>
      <c r="P313">
        <f>FlipkartSales[[#This Row],[Price (INR)]]*FlipkartSales[[#This Row],[Quantity Sold]]</f>
        <v>50880.55</v>
      </c>
      <c r="Q313">
        <f>FlipkartSales[[#This Row],[Total Sales (INR)]]-FlipkartSales[[#This Row],[Calculated Sales]]</f>
        <v>0</v>
      </c>
      <c r="R313" s="9">
        <f t="shared" si="32"/>
        <v>0.2</v>
      </c>
      <c r="S313">
        <f t="shared" si="33"/>
        <v>10176.11</v>
      </c>
      <c r="T313">
        <f t="shared" si="34"/>
        <v>2035.2220000000002</v>
      </c>
      <c r="U313">
        <f t="shared" si="35"/>
        <v>8</v>
      </c>
      <c r="V313" t="str">
        <f t="shared" si="36"/>
        <v>Q3</v>
      </c>
      <c r="W313" t="str">
        <f t="shared" si="37"/>
        <v>Aug-2024</v>
      </c>
      <c r="X313">
        <f t="shared" si="38"/>
        <v>12211.332000000002</v>
      </c>
      <c r="Y313" s="5">
        <f t="shared" si="39"/>
        <v>38669.218000000001</v>
      </c>
      <c r="Z313" s="21">
        <f>DATE(K313,MATCH(J313,{"January","February","March","April","May","June","July","August","September","October","November","December"},0),1)</f>
        <v>45505</v>
      </c>
    </row>
    <row r="314" spans="1:26" x14ac:dyDescent="0.3">
      <c r="A314" s="4" t="s">
        <v>382</v>
      </c>
      <c r="B314" s="4" t="s">
        <v>96</v>
      </c>
      <c r="C314" s="4" t="s">
        <v>36</v>
      </c>
      <c r="D314" s="5">
        <v>48177.16</v>
      </c>
      <c r="E314" s="6">
        <v>3</v>
      </c>
      <c r="F314" s="5">
        <v>144531.48000000001</v>
      </c>
      <c r="G314" s="1">
        <v>45356</v>
      </c>
      <c r="H314" t="s">
        <v>80</v>
      </c>
      <c r="I314">
        <v>1.7</v>
      </c>
      <c r="J314" t="s">
        <v>56</v>
      </c>
      <c r="K314">
        <v>2024</v>
      </c>
      <c r="L314">
        <v>28906.296000000002</v>
      </c>
      <c r="M314">
        <v>15</v>
      </c>
      <c r="N314" t="s">
        <v>27</v>
      </c>
      <c r="O314" t="s">
        <v>33</v>
      </c>
      <c r="P314">
        <f>FlipkartSales[[#This Row],[Price (INR)]]*FlipkartSales[[#This Row],[Quantity Sold]]</f>
        <v>144531.48000000001</v>
      </c>
      <c r="Q314">
        <f>FlipkartSales[[#This Row],[Total Sales (INR)]]-FlipkartSales[[#This Row],[Calculated Sales]]</f>
        <v>0</v>
      </c>
      <c r="R314" s="9">
        <f t="shared" si="32"/>
        <v>0.2</v>
      </c>
      <c r="S314">
        <f t="shared" si="33"/>
        <v>48177.16</v>
      </c>
      <c r="T314">
        <f t="shared" si="34"/>
        <v>9635.4320000000007</v>
      </c>
      <c r="U314">
        <f t="shared" si="35"/>
        <v>3</v>
      </c>
      <c r="V314" t="str">
        <f t="shared" si="36"/>
        <v>Q1</v>
      </c>
      <c r="W314" t="str">
        <f t="shared" si="37"/>
        <v>Mar-2024</v>
      </c>
      <c r="X314">
        <f t="shared" si="38"/>
        <v>21679.722000000002</v>
      </c>
      <c r="Y314" s="5">
        <f t="shared" si="39"/>
        <v>122851.758</v>
      </c>
      <c r="Z314" s="21">
        <f>DATE(K314,MATCH(J314,{"January","February","March","April","May","June","July","August","September","October","November","December"},0),1)</f>
        <v>45352</v>
      </c>
    </row>
    <row r="315" spans="1:26" x14ac:dyDescent="0.3">
      <c r="A315" s="4" t="s">
        <v>383</v>
      </c>
      <c r="B315" s="4" t="s">
        <v>43</v>
      </c>
      <c r="C315" s="4" t="s">
        <v>40</v>
      </c>
      <c r="D315" s="5">
        <v>6119.31</v>
      </c>
      <c r="E315" s="6">
        <v>5</v>
      </c>
      <c r="F315" s="5">
        <v>30596.55</v>
      </c>
      <c r="G315" s="1">
        <v>45358</v>
      </c>
      <c r="H315" t="s">
        <v>80</v>
      </c>
      <c r="I315">
        <v>1.5</v>
      </c>
      <c r="J315" t="s">
        <v>56</v>
      </c>
      <c r="K315">
        <v>2024</v>
      </c>
      <c r="L315">
        <v>6119.31</v>
      </c>
      <c r="M315">
        <v>21</v>
      </c>
      <c r="N315" t="s">
        <v>41</v>
      </c>
      <c r="O315" t="s">
        <v>28</v>
      </c>
      <c r="P315">
        <f>FlipkartSales[[#This Row],[Price (INR)]]*FlipkartSales[[#This Row],[Quantity Sold]]</f>
        <v>30596.550000000003</v>
      </c>
      <c r="Q315">
        <f>FlipkartSales[[#This Row],[Total Sales (INR)]]-FlipkartSales[[#This Row],[Calculated Sales]]</f>
        <v>0</v>
      </c>
      <c r="R315" s="9">
        <f t="shared" si="32"/>
        <v>0.2</v>
      </c>
      <c r="S315">
        <f t="shared" si="33"/>
        <v>6119.3099999999995</v>
      </c>
      <c r="T315">
        <f t="shared" si="34"/>
        <v>1223.8620000000001</v>
      </c>
      <c r="U315">
        <f t="shared" si="35"/>
        <v>3</v>
      </c>
      <c r="V315" t="str">
        <f t="shared" si="36"/>
        <v>Q1</v>
      </c>
      <c r="W315" t="str">
        <f t="shared" si="37"/>
        <v>Mar-2024</v>
      </c>
      <c r="X315">
        <f t="shared" si="38"/>
        <v>6425.2754999999997</v>
      </c>
      <c r="Y315" s="5">
        <f t="shared" si="39"/>
        <v>24171.2745</v>
      </c>
      <c r="Z315" s="21">
        <f>DATE(K315,MATCH(J315,{"January","February","March","April","May","June","July","August","September","October","November","December"},0),1)</f>
        <v>45352</v>
      </c>
    </row>
    <row r="316" spans="1:26" x14ac:dyDescent="0.3">
      <c r="A316" s="4" t="s">
        <v>384</v>
      </c>
      <c r="B316" s="4" t="s">
        <v>100</v>
      </c>
      <c r="C316" s="4" t="s">
        <v>31</v>
      </c>
      <c r="D316" s="5">
        <v>6015.13</v>
      </c>
      <c r="E316" s="6">
        <v>1</v>
      </c>
      <c r="F316" s="5">
        <v>6015.13</v>
      </c>
      <c r="G316" s="1">
        <v>45530</v>
      </c>
      <c r="H316" t="s">
        <v>71</v>
      </c>
      <c r="I316">
        <v>1.9</v>
      </c>
      <c r="J316" t="s">
        <v>88</v>
      </c>
      <c r="K316">
        <v>2024</v>
      </c>
      <c r="L316">
        <v>1203.0260000000001</v>
      </c>
      <c r="M316">
        <v>12</v>
      </c>
      <c r="N316" t="s">
        <v>20</v>
      </c>
      <c r="O316" t="s">
        <v>28</v>
      </c>
      <c r="P316">
        <f>FlipkartSales[[#This Row],[Price (INR)]]*FlipkartSales[[#This Row],[Quantity Sold]]</f>
        <v>6015.13</v>
      </c>
      <c r="Q316">
        <f>FlipkartSales[[#This Row],[Total Sales (INR)]]-FlipkartSales[[#This Row],[Calculated Sales]]</f>
        <v>0</v>
      </c>
      <c r="R316" s="9">
        <f t="shared" si="32"/>
        <v>0.2</v>
      </c>
      <c r="S316">
        <f t="shared" si="33"/>
        <v>6015.13</v>
      </c>
      <c r="T316">
        <f t="shared" si="34"/>
        <v>1203.0260000000001</v>
      </c>
      <c r="U316">
        <f t="shared" si="35"/>
        <v>8</v>
      </c>
      <c r="V316" t="str">
        <f t="shared" si="36"/>
        <v>Q3</v>
      </c>
      <c r="W316" t="str">
        <f t="shared" si="37"/>
        <v>Aug-2024</v>
      </c>
      <c r="X316">
        <f t="shared" si="38"/>
        <v>721.81560000000002</v>
      </c>
      <c r="Y316" s="5">
        <f t="shared" si="39"/>
        <v>5293.3144000000002</v>
      </c>
      <c r="Z316" s="21">
        <f>DATE(K316,MATCH(J316,{"January","February","March","April","May","June","July","August","September","October","November","December"},0),1)</f>
        <v>45505</v>
      </c>
    </row>
    <row r="317" spans="1:26" x14ac:dyDescent="0.3">
      <c r="A317" s="4" t="s">
        <v>385</v>
      </c>
      <c r="B317" s="4" t="s">
        <v>78</v>
      </c>
      <c r="C317" s="4" t="s">
        <v>24</v>
      </c>
      <c r="D317" s="5">
        <v>41198.839999999997</v>
      </c>
      <c r="E317" s="6">
        <v>4</v>
      </c>
      <c r="F317" s="5">
        <v>164795.35999999999</v>
      </c>
      <c r="G317" s="1">
        <v>45390</v>
      </c>
      <c r="H317" t="s">
        <v>71</v>
      </c>
      <c r="I317">
        <v>3</v>
      </c>
      <c r="J317" t="s">
        <v>62</v>
      </c>
      <c r="K317">
        <v>2024</v>
      </c>
      <c r="L317">
        <v>32959.072</v>
      </c>
      <c r="M317">
        <v>8</v>
      </c>
      <c r="N317" t="s">
        <v>27</v>
      </c>
      <c r="O317" t="s">
        <v>68</v>
      </c>
      <c r="P317">
        <f>FlipkartSales[[#This Row],[Price (INR)]]*FlipkartSales[[#This Row],[Quantity Sold]]</f>
        <v>164795.35999999999</v>
      </c>
      <c r="Q317">
        <f>FlipkartSales[[#This Row],[Total Sales (INR)]]-FlipkartSales[[#This Row],[Calculated Sales]]</f>
        <v>0</v>
      </c>
      <c r="R317" s="9">
        <f t="shared" si="32"/>
        <v>0.2</v>
      </c>
      <c r="S317">
        <f t="shared" si="33"/>
        <v>41198.839999999997</v>
      </c>
      <c r="T317">
        <f t="shared" si="34"/>
        <v>8239.768</v>
      </c>
      <c r="U317">
        <f t="shared" si="35"/>
        <v>4</v>
      </c>
      <c r="V317" t="str">
        <f t="shared" si="36"/>
        <v>Q2</v>
      </c>
      <c r="W317" t="str">
        <f t="shared" si="37"/>
        <v>Apr-2024</v>
      </c>
      <c r="X317">
        <f t="shared" si="38"/>
        <v>13183.628799999999</v>
      </c>
      <c r="Y317" s="5">
        <f t="shared" si="39"/>
        <v>151611.73119999998</v>
      </c>
      <c r="Z317" s="21">
        <f>DATE(K317,MATCH(J317,{"January","February","March","April","May","June","July","August","September","October","November","December"},0),1)</f>
        <v>45383</v>
      </c>
    </row>
    <row r="318" spans="1:26" x14ac:dyDescent="0.3">
      <c r="A318" s="4" t="s">
        <v>386</v>
      </c>
      <c r="B318" s="4" t="s">
        <v>74</v>
      </c>
      <c r="C318" s="4" t="s">
        <v>17</v>
      </c>
      <c r="D318" s="5">
        <v>11527.7</v>
      </c>
      <c r="E318" s="6">
        <v>3</v>
      </c>
      <c r="F318" s="5">
        <v>34583.1</v>
      </c>
      <c r="G318" s="1">
        <v>45626</v>
      </c>
      <c r="H318" t="s">
        <v>80</v>
      </c>
      <c r="I318">
        <v>1.8</v>
      </c>
      <c r="J318" t="s">
        <v>37</v>
      </c>
      <c r="K318">
        <v>2024</v>
      </c>
      <c r="L318">
        <v>6916.62</v>
      </c>
      <c r="M318">
        <v>10</v>
      </c>
      <c r="N318" t="s">
        <v>41</v>
      </c>
      <c r="O318" t="s">
        <v>21</v>
      </c>
      <c r="P318">
        <f>FlipkartSales[[#This Row],[Price (INR)]]*FlipkartSales[[#This Row],[Quantity Sold]]</f>
        <v>34583.100000000006</v>
      </c>
      <c r="Q318">
        <f>FlipkartSales[[#This Row],[Total Sales (INR)]]-FlipkartSales[[#This Row],[Calculated Sales]]</f>
        <v>0</v>
      </c>
      <c r="R318" s="9">
        <f t="shared" si="32"/>
        <v>0.2</v>
      </c>
      <c r="S318">
        <f t="shared" si="33"/>
        <v>11527.699999999999</v>
      </c>
      <c r="T318">
        <f t="shared" si="34"/>
        <v>2305.54</v>
      </c>
      <c r="U318">
        <f t="shared" si="35"/>
        <v>11</v>
      </c>
      <c r="V318" t="str">
        <f t="shared" si="36"/>
        <v>Q4</v>
      </c>
      <c r="W318" t="str">
        <f t="shared" si="37"/>
        <v>Nov-2024</v>
      </c>
      <c r="X318">
        <f t="shared" si="38"/>
        <v>3458.31</v>
      </c>
      <c r="Y318" s="5">
        <f t="shared" si="39"/>
        <v>31124.789999999997</v>
      </c>
      <c r="Z318" s="21">
        <f>DATE(K318,MATCH(J318,{"January","February","March","April","May","June","July","August","September","October","November","December"},0),1)</f>
        <v>45597</v>
      </c>
    </row>
    <row r="319" spans="1:26" x14ac:dyDescent="0.3">
      <c r="A319" s="4" t="s">
        <v>387</v>
      </c>
      <c r="B319" s="4" t="s">
        <v>35</v>
      </c>
      <c r="C319" s="4" t="s">
        <v>36</v>
      </c>
      <c r="D319" s="5">
        <v>27749.19</v>
      </c>
      <c r="E319" s="6">
        <v>4</v>
      </c>
      <c r="F319" s="5">
        <v>110996.76</v>
      </c>
      <c r="G319" s="1">
        <v>45679</v>
      </c>
      <c r="H319" t="s">
        <v>44</v>
      </c>
      <c r="I319">
        <v>2.5</v>
      </c>
      <c r="J319" t="s">
        <v>53</v>
      </c>
      <c r="K319">
        <v>2025</v>
      </c>
      <c r="L319">
        <v>22199.351999999999</v>
      </c>
      <c r="M319">
        <v>12</v>
      </c>
      <c r="N319" t="s">
        <v>41</v>
      </c>
      <c r="O319" t="s">
        <v>28</v>
      </c>
      <c r="P319">
        <f>FlipkartSales[[#This Row],[Price (INR)]]*FlipkartSales[[#This Row],[Quantity Sold]]</f>
        <v>110996.76</v>
      </c>
      <c r="Q319">
        <f>FlipkartSales[[#This Row],[Total Sales (INR)]]-FlipkartSales[[#This Row],[Calculated Sales]]</f>
        <v>0</v>
      </c>
      <c r="R319" s="9">
        <f t="shared" si="32"/>
        <v>0.2</v>
      </c>
      <c r="S319">
        <f t="shared" si="33"/>
        <v>27749.19</v>
      </c>
      <c r="T319">
        <f t="shared" si="34"/>
        <v>5549.8379999999997</v>
      </c>
      <c r="U319">
        <f t="shared" si="35"/>
        <v>1</v>
      </c>
      <c r="V319" t="str">
        <f t="shared" si="36"/>
        <v>Q1</v>
      </c>
      <c r="W319" t="str">
        <f t="shared" si="37"/>
        <v>Jan-2025</v>
      </c>
      <c r="X319">
        <f t="shared" si="38"/>
        <v>13319.611199999999</v>
      </c>
      <c r="Y319" s="5">
        <f t="shared" si="39"/>
        <v>97677.148799999995</v>
      </c>
      <c r="Z319" s="21">
        <f>DATE(K319,MATCH(J319,{"January","February","March","April","May","June","July","August","September","October","November","December"},0),1)</f>
        <v>45658</v>
      </c>
    </row>
    <row r="320" spans="1:26" x14ac:dyDescent="0.3">
      <c r="A320" s="4" t="s">
        <v>388</v>
      </c>
      <c r="B320" s="4" t="s">
        <v>66</v>
      </c>
      <c r="C320" s="4" t="s">
        <v>36</v>
      </c>
      <c r="D320" s="5">
        <v>14014.82</v>
      </c>
      <c r="E320" s="6">
        <v>1</v>
      </c>
      <c r="F320" s="5">
        <v>14014.82</v>
      </c>
      <c r="G320" s="1">
        <v>45619</v>
      </c>
      <c r="H320" t="s">
        <v>71</v>
      </c>
      <c r="I320">
        <v>4.5999999999999996</v>
      </c>
      <c r="J320" t="s">
        <v>37</v>
      </c>
      <c r="K320">
        <v>2024</v>
      </c>
      <c r="L320">
        <v>2802.9639999999999</v>
      </c>
      <c r="M320">
        <v>24</v>
      </c>
      <c r="N320" t="s">
        <v>41</v>
      </c>
      <c r="O320" t="s">
        <v>21</v>
      </c>
      <c r="P320">
        <f>FlipkartSales[[#This Row],[Price (INR)]]*FlipkartSales[[#This Row],[Quantity Sold]]</f>
        <v>14014.82</v>
      </c>
      <c r="Q320">
        <f>FlipkartSales[[#This Row],[Total Sales (INR)]]-FlipkartSales[[#This Row],[Calculated Sales]]</f>
        <v>0</v>
      </c>
      <c r="R320" s="9">
        <f t="shared" si="32"/>
        <v>0.2</v>
      </c>
      <c r="S320">
        <f t="shared" si="33"/>
        <v>14014.82</v>
      </c>
      <c r="T320">
        <f t="shared" si="34"/>
        <v>2802.9639999999999</v>
      </c>
      <c r="U320">
        <f t="shared" si="35"/>
        <v>11</v>
      </c>
      <c r="V320" t="str">
        <f t="shared" si="36"/>
        <v>Q4</v>
      </c>
      <c r="W320" t="str">
        <f t="shared" si="37"/>
        <v>Nov-2024</v>
      </c>
      <c r="X320">
        <f t="shared" si="38"/>
        <v>3363.5567999999998</v>
      </c>
      <c r="Y320" s="5">
        <f t="shared" si="39"/>
        <v>10651.263199999999</v>
      </c>
      <c r="Z320" s="21">
        <f>DATE(K320,MATCH(J320,{"January","February","March","April","May","June","July","August","September","October","November","December"},0),1)</f>
        <v>45597</v>
      </c>
    </row>
    <row r="321" spans="1:26" x14ac:dyDescent="0.3">
      <c r="A321" s="4" t="s">
        <v>389</v>
      </c>
      <c r="B321" s="4" t="s">
        <v>66</v>
      </c>
      <c r="C321" s="4" t="s">
        <v>36</v>
      </c>
      <c r="D321" s="5">
        <v>23293.14</v>
      </c>
      <c r="E321" s="6">
        <v>2</v>
      </c>
      <c r="F321" s="5">
        <v>46586.28</v>
      </c>
      <c r="G321" s="1">
        <v>45451</v>
      </c>
      <c r="H321" t="s">
        <v>25</v>
      </c>
      <c r="I321">
        <v>4.0999999999999996</v>
      </c>
      <c r="J321" t="s">
        <v>67</v>
      </c>
      <c r="K321">
        <v>2024</v>
      </c>
      <c r="L321">
        <v>9317.2559999999994</v>
      </c>
      <c r="M321">
        <v>7</v>
      </c>
      <c r="N321" t="s">
        <v>41</v>
      </c>
      <c r="O321" t="s">
        <v>33</v>
      </c>
      <c r="P321">
        <f>FlipkartSales[[#This Row],[Price (INR)]]*FlipkartSales[[#This Row],[Quantity Sold]]</f>
        <v>46586.28</v>
      </c>
      <c r="Q321">
        <f>FlipkartSales[[#This Row],[Total Sales (INR)]]-FlipkartSales[[#This Row],[Calculated Sales]]</f>
        <v>0</v>
      </c>
      <c r="R321" s="9">
        <f t="shared" si="32"/>
        <v>0.19999999999999998</v>
      </c>
      <c r="S321">
        <f t="shared" si="33"/>
        <v>23293.14</v>
      </c>
      <c r="T321">
        <f t="shared" si="34"/>
        <v>4658.6279999999997</v>
      </c>
      <c r="U321">
        <f t="shared" si="35"/>
        <v>6</v>
      </c>
      <c r="V321" t="str">
        <f t="shared" si="36"/>
        <v>Q2</v>
      </c>
      <c r="W321" t="str">
        <f t="shared" si="37"/>
        <v>Jun-2024</v>
      </c>
      <c r="X321">
        <f t="shared" si="38"/>
        <v>3261.0395999999996</v>
      </c>
      <c r="Y321" s="5">
        <f t="shared" si="39"/>
        <v>43325.240400000002</v>
      </c>
      <c r="Z321" s="21">
        <f>DATE(K321,MATCH(J321,{"January","February","March","April","May","June","July","August","September","October","November","December"},0),1)</f>
        <v>45444</v>
      </c>
    </row>
    <row r="322" spans="1:26" x14ac:dyDescent="0.3">
      <c r="A322" s="4" t="s">
        <v>390</v>
      </c>
      <c r="B322" s="4" t="s">
        <v>47</v>
      </c>
      <c r="C322" s="4" t="s">
        <v>24</v>
      </c>
      <c r="D322" s="5">
        <v>38592.49</v>
      </c>
      <c r="E322" s="6">
        <v>5</v>
      </c>
      <c r="F322" s="5">
        <v>192962.45</v>
      </c>
      <c r="G322" s="1">
        <v>45578</v>
      </c>
      <c r="H322" t="s">
        <v>44</v>
      </c>
      <c r="I322">
        <v>3.2</v>
      </c>
      <c r="J322" t="s">
        <v>45</v>
      </c>
      <c r="K322">
        <v>2024</v>
      </c>
      <c r="L322">
        <v>38592.490000000005</v>
      </c>
      <c r="M322">
        <v>20</v>
      </c>
      <c r="N322" t="s">
        <v>20</v>
      </c>
      <c r="O322" t="s">
        <v>28</v>
      </c>
      <c r="P322">
        <f>FlipkartSales[[#This Row],[Price (INR)]]*FlipkartSales[[#This Row],[Quantity Sold]]</f>
        <v>192962.44999999998</v>
      </c>
      <c r="Q322">
        <f>FlipkartSales[[#This Row],[Total Sales (INR)]]-FlipkartSales[[#This Row],[Calculated Sales]]</f>
        <v>0</v>
      </c>
      <c r="R322" s="9">
        <f t="shared" ref="R322:R385" si="40">L322/F322</f>
        <v>0.2</v>
      </c>
      <c r="S322">
        <f t="shared" ref="S322:S385" si="41">F322/E322</f>
        <v>38592.490000000005</v>
      </c>
      <c r="T322">
        <f t="shared" ref="T322:T385" si="42">L322/E322</f>
        <v>7718.4980000000014</v>
      </c>
      <c r="U322">
        <f t="shared" ref="U322:U385" si="43">MONTH(G322)</f>
        <v>10</v>
      </c>
      <c r="V322" t="str">
        <f t="shared" ref="V322:V385" si="44">"Q"&amp;ROUNDUP(MONTH(G322)/3,0)</f>
        <v>Q4</v>
      </c>
      <c r="W322" t="str">
        <f t="shared" ref="W322:W385" si="45">TEXT(G322,"mmm-yyyy")</f>
        <v>Oct-2024</v>
      </c>
      <c r="X322">
        <f t="shared" ref="X322:X385" si="46">F322*M322/100</f>
        <v>38592.49</v>
      </c>
      <c r="Y322" s="5">
        <f t="shared" ref="Y322:Y385" si="47">F322-X322</f>
        <v>154369.96000000002</v>
      </c>
      <c r="Z322" s="21">
        <f>DATE(K322,MATCH(J322,{"January","February","March","April","May","June","July","August","September","October","November","December"},0),1)</f>
        <v>45566</v>
      </c>
    </row>
    <row r="323" spans="1:26" x14ac:dyDescent="0.3">
      <c r="A323" s="4" t="s">
        <v>391</v>
      </c>
      <c r="B323" s="4" t="s">
        <v>66</v>
      </c>
      <c r="C323" s="4" t="s">
        <v>36</v>
      </c>
      <c r="D323" s="5">
        <v>39898.86</v>
      </c>
      <c r="E323" s="6">
        <v>1</v>
      </c>
      <c r="F323" s="5">
        <v>39898.86</v>
      </c>
      <c r="G323" s="1">
        <v>45446</v>
      </c>
      <c r="H323" t="s">
        <v>44</v>
      </c>
      <c r="I323">
        <v>1.8</v>
      </c>
      <c r="J323" t="s">
        <v>67</v>
      </c>
      <c r="K323">
        <v>2024</v>
      </c>
      <c r="L323">
        <v>7979.7720000000008</v>
      </c>
      <c r="M323">
        <v>29</v>
      </c>
      <c r="N323" t="s">
        <v>20</v>
      </c>
      <c r="O323" t="s">
        <v>68</v>
      </c>
      <c r="P323">
        <f>FlipkartSales[[#This Row],[Price (INR)]]*FlipkartSales[[#This Row],[Quantity Sold]]</f>
        <v>39898.86</v>
      </c>
      <c r="Q323">
        <f>FlipkartSales[[#This Row],[Total Sales (INR)]]-FlipkartSales[[#This Row],[Calculated Sales]]</f>
        <v>0</v>
      </c>
      <c r="R323" s="9">
        <f t="shared" si="40"/>
        <v>0.2</v>
      </c>
      <c r="S323">
        <f t="shared" si="41"/>
        <v>39898.86</v>
      </c>
      <c r="T323">
        <f t="shared" si="42"/>
        <v>7979.7720000000008</v>
      </c>
      <c r="U323">
        <f t="shared" si="43"/>
        <v>6</v>
      </c>
      <c r="V323" t="str">
        <f t="shared" si="44"/>
        <v>Q2</v>
      </c>
      <c r="W323" t="str">
        <f t="shared" si="45"/>
        <v>Jun-2024</v>
      </c>
      <c r="X323">
        <f t="shared" si="46"/>
        <v>11570.669399999999</v>
      </c>
      <c r="Y323" s="5">
        <f t="shared" si="47"/>
        <v>28328.190600000002</v>
      </c>
      <c r="Z323" s="21">
        <f>DATE(K323,MATCH(J323,{"January","February","March","April","May","June","July","August","September","October","November","December"},0),1)</f>
        <v>45444</v>
      </c>
    </row>
    <row r="324" spans="1:26" x14ac:dyDescent="0.3">
      <c r="A324" s="4" t="s">
        <v>392</v>
      </c>
      <c r="B324" s="4" t="s">
        <v>16</v>
      </c>
      <c r="C324" s="4" t="s">
        <v>17</v>
      </c>
      <c r="D324" s="5">
        <v>39842.5</v>
      </c>
      <c r="E324" s="6">
        <v>2</v>
      </c>
      <c r="F324" s="5">
        <v>79685</v>
      </c>
      <c r="G324" s="1">
        <v>45575</v>
      </c>
      <c r="H324" t="s">
        <v>18</v>
      </c>
      <c r="I324">
        <v>4.4000000000000004</v>
      </c>
      <c r="J324" t="s">
        <v>45</v>
      </c>
      <c r="K324">
        <v>2024</v>
      </c>
      <c r="L324">
        <v>15937</v>
      </c>
      <c r="M324">
        <v>7</v>
      </c>
      <c r="N324" t="s">
        <v>27</v>
      </c>
      <c r="O324" t="s">
        <v>33</v>
      </c>
      <c r="P324">
        <f>FlipkartSales[[#This Row],[Price (INR)]]*FlipkartSales[[#This Row],[Quantity Sold]]</f>
        <v>79685</v>
      </c>
      <c r="Q324">
        <f>FlipkartSales[[#This Row],[Total Sales (INR)]]-FlipkartSales[[#This Row],[Calculated Sales]]</f>
        <v>0</v>
      </c>
      <c r="R324" s="9">
        <f t="shared" si="40"/>
        <v>0.2</v>
      </c>
      <c r="S324">
        <f t="shared" si="41"/>
        <v>39842.5</v>
      </c>
      <c r="T324">
        <f t="shared" si="42"/>
        <v>7968.5</v>
      </c>
      <c r="U324">
        <f t="shared" si="43"/>
        <v>10</v>
      </c>
      <c r="V324" t="str">
        <f t="shared" si="44"/>
        <v>Q4</v>
      </c>
      <c r="W324" t="str">
        <f t="shared" si="45"/>
        <v>Oct-2024</v>
      </c>
      <c r="X324">
        <f t="shared" si="46"/>
        <v>5577.95</v>
      </c>
      <c r="Y324" s="5">
        <f t="shared" si="47"/>
        <v>74107.05</v>
      </c>
      <c r="Z324" s="21">
        <f>DATE(K324,MATCH(J324,{"January","February","March","April","May","June","July","August","September","October","November","December"},0),1)</f>
        <v>45566</v>
      </c>
    </row>
    <row r="325" spans="1:26" x14ac:dyDescent="0.3">
      <c r="A325" s="4" t="s">
        <v>393</v>
      </c>
      <c r="B325" s="4" t="s">
        <v>118</v>
      </c>
      <c r="C325" s="4" t="s">
        <v>17</v>
      </c>
      <c r="D325" s="5">
        <v>30395.25</v>
      </c>
      <c r="E325" s="6">
        <v>1</v>
      </c>
      <c r="F325" s="5">
        <v>30395.25</v>
      </c>
      <c r="G325" s="1">
        <v>45389</v>
      </c>
      <c r="H325" t="s">
        <v>64</v>
      </c>
      <c r="I325">
        <v>1.1000000000000001</v>
      </c>
      <c r="J325" t="s">
        <v>62</v>
      </c>
      <c r="K325">
        <v>2024</v>
      </c>
      <c r="L325">
        <v>6079.05</v>
      </c>
      <c r="M325">
        <v>29</v>
      </c>
      <c r="N325" t="s">
        <v>27</v>
      </c>
      <c r="O325" t="s">
        <v>68</v>
      </c>
      <c r="P325">
        <f>FlipkartSales[[#This Row],[Price (INR)]]*FlipkartSales[[#This Row],[Quantity Sold]]</f>
        <v>30395.25</v>
      </c>
      <c r="Q325">
        <f>FlipkartSales[[#This Row],[Total Sales (INR)]]-FlipkartSales[[#This Row],[Calculated Sales]]</f>
        <v>0</v>
      </c>
      <c r="R325" s="9">
        <f t="shared" si="40"/>
        <v>0.2</v>
      </c>
      <c r="S325">
        <f t="shared" si="41"/>
        <v>30395.25</v>
      </c>
      <c r="T325">
        <f t="shared" si="42"/>
        <v>6079.05</v>
      </c>
      <c r="U325">
        <f t="shared" si="43"/>
        <v>4</v>
      </c>
      <c r="V325" t="str">
        <f t="shared" si="44"/>
        <v>Q2</v>
      </c>
      <c r="W325" t="str">
        <f t="shared" si="45"/>
        <v>Apr-2024</v>
      </c>
      <c r="X325">
        <f t="shared" si="46"/>
        <v>8814.6224999999995</v>
      </c>
      <c r="Y325" s="5">
        <f t="shared" si="47"/>
        <v>21580.627500000002</v>
      </c>
      <c r="Z325" s="21">
        <f>DATE(K325,MATCH(J325,{"January","February","March","April","May","June","July","August","September","October","November","December"},0),1)</f>
        <v>45383</v>
      </c>
    </row>
    <row r="326" spans="1:26" x14ac:dyDescent="0.3">
      <c r="A326" s="4" t="s">
        <v>394</v>
      </c>
      <c r="B326" s="4" t="s">
        <v>30</v>
      </c>
      <c r="C326" s="4" t="s">
        <v>31</v>
      </c>
      <c r="D326" s="5">
        <v>36560.32</v>
      </c>
      <c r="E326" s="6">
        <v>5</v>
      </c>
      <c r="F326" s="5">
        <v>182801.6</v>
      </c>
      <c r="G326" s="1">
        <v>45658</v>
      </c>
      <c r="H326" t="s">
        <v>80</v>
      </c>
      <c r="I326">
        <v>2.5</v>
      </c>
      <c r="J326" t="s">
        <v>53</v>
      </c>
      <c r="K326">
        <v>2025</v>
      </c>
      <c r="L326">
        <v>36560.32</v>
      </c>
      <c r="M326">
        <v>22</v>
      </c>
      <c r="N326" t="s">
        <v>27</v>
      </c>
      <c r="O326" t="s">
        <v>33</v>
      </c>
      <c r="P326">
        <f>FlipkartSales[[#This Row],[Price (INR)]]*FlipkartSales[[#This Row],[Quantity Sold]]</f>
        <v>182801.6</v>
      </c>
      <c r="Q326">
        <f>FlipkartSales[[#This Row],[Total Sales (INR)]]-FlipkartSales[[#This Row],[Calculated Sales]]</f>
        <v>0</v>
      </c>
      <c r="R326" s="9">
        <f t="shared" si="40"/>
        <v>0.19999999999999998</v>
      </c>
      <c r="S326">
        <f t="shared" si="41"/>
        <v>36560.32</v>
      </c>
      <c r="T326">
        <f t="shared" si="42"/>
        <v>7312.0640000000003</v>
      </c>
      <c r="U326">
        <f t="shared" si="43"/>
        <v>1</v>
      </c>
      <c r="V326" t="str">
        <f t="shared" si="44"/>
        <v>Q1</v>
      </c>
      <c r="W326" t="str">
        <f t="shared" si="45"/>
        <v>Jan-2025</v>
      </c>
      <c r="X326">
        <f t="shared" si="46"/>
        <v>40216.351999999999</v>
      </c>
      <c r="Y326" s="5">
        <f t="shared" si="47"/>
        <v>142585.24800000002</v>
      </c>
      <c r="Z326" s="21">
        <f>DATE(K326,MATCH(J326,{"January","February","March","April","May","June","July","August","September","October","November","December"},0),1)</f>
        <v>45658</v>
      </c>
    </row>
    <row r="327" spans="1:26" x14ac:dyDescent="0.3">
      <c r="A327" s="4" t="s">
        <v>395</v>
      </c>
      <c r="B327" s="4" t="s">
        <v>39</v>
      </c>
      <c r="C327" s="4" t="s">
        <v>40</v>
      </c>
      <c r="D327" s="5">
        <v>44248.09</v>
      </c>
      <c r="E327" s="6">
        <v>1</v>
      </c>
      <c r="F327" s="5">
        <v>44248.09</v>
      </c>
      <c r="G327" s="1">
        <v>45341</v>
      </c>
      <c r="H327" t="s">
        <v>80</v>
      </c>
      <c r="I327">
        <v>3.1</v>
      </c>
      <c r="J327" t="s">
        <v>59</v>
      </c>
      <c r="K327">
        <v>2024</v>
      </c>
      <c r="L327">
        <v>8849.6180000000004</v>
      </c>
      <c r="M327">
        <v>18</v>
      </c>
      <c r="N327" t="s">
        <v>41</v>
      </c>
      <c r="O327" t="s">
        <v>28</v>
      </c>
      <c r="P327">
        <f>FlipkartSales[[#This Row],[Price (INR)]]*FlipkartSales[[#This Row],[Quantity Sold]]</f>
        <v>44248.09</v>
      </c>
      <c r="Q327">
        <f>FlipkartSales[[#This Row],[Total Sales (INR)]]-FlipkartSales[[#This Row],[Calculated Sales]]</f>
        <v>0</v>
      </c>
      <c r="R327" s="9">
        <f t="shared" si="40"/>
        <v>0.2</v>
      </c>
      <c r="S327">
        <f t="shared" si="41"/>
        <v>44248.09</v>
      </c>
      <c r="T327">
        <f t="shared" si="42"/>
        <v>8849.6180000000004</v>
      </c>
      <c r="U327">
        <f t="shared" si="43"/>
        <v>2</v>
      </c>
      <c r="V327" t="str">
        <f t="shared" si="44"/>
        <v>Q1</v>
      </c>
      <c r="W327" t="str">
        <f t="shared" si="45"/>
        <v>Feb-2024</v>
      </c>
      <c r="X327">
        <f t="shared" si="46"/>
        <v>7964.6561999999985</v>
      </c>
      <c r="Y327" s="5">
        <f t="shared" si="47"/>
        <v>36283.433799999999</v>
      </c>
      <c r="Z327" s="21">
        <f>DATE(K327,MATCH(J327,{"January","February","March","April","May","June","July","August","September","October","November","December"},0),1)</f>
        <v>45323</v>
      </c>
    </row>
    <row r="328" spans="1:26" x14ac:dyDescent="0.3">
      <c r="A328" s="4" t="s">
        <v>396</v>
      </c>
      <c r="B328" s="4" t="s">
        <v>55</v>
      </c>
      <c r="C328" s="4" t="s">
        <v>36</v>
      </c>
      <c r="D328" s="5">
        <v>18386.259999999998</v>
      </c>
      <c r="E328" s="6">
        <v>1</v>
      </c>
      <c r="F328" s="5">
        <v>18386.259999999998</v>
      </c>
      <c r="G328" s="1">
        <v>45571</v>
      </c>
      <c r="H328" t="s">
        <v>71</v>
      </c>
      <c r="I328">
        <v>1.4</v>
      </c>
      <c r="J328" t="s">
        <v>45</v>
      </c>
      <c r="K328">
        <v>2024</v>
      </c>
      <c r="L328">
        <v>3677.252</v>
      </c>
      <c r="M328">
        <v>22</v>
      </c>
      <c r="N328" t="s">
        <v>41</v>
      </c>
      <c r="O328" t="s">
        <v>68</v>
      </c>
      <c r="P328">
        <f>FlipkartSales[[#This Row],[Price (INR)]]*FlipkartSales[[#This Row],[Quantity Sold]]</f>
        <v>18386.259999999998</v>
      </c>
      <c r="Q328">
        <f>FlipkartSales[[#This Row],[Total Sales (INR)]]-FlipkartSales[[#This Row],[Calculated Sales]]</f>
        <v>0</v>
      </c>
      <c r="R328" s="9">
        <f t="shared" si="40"/>
        <v>0.2</v>
      </c>
      <c r="S328">
        <f t="shared" si="41"/>
        <v>18386.259999999998</v>
      </c>
      <c r="T328">
        <f t="shared" si="42"/>
        <v>3677.252</v>
      </c>
      <c r="U328">
        <f t="shared" si="43"/>
        <v>10</v>
      </c>
      <c r="V328" t="str">
        <f t="shared" si="44"/>
        <v>Q4</v>
      </c>
      <c r="W328" t="str">
        <f t="shared" si="45"/>
        <v>Oct-2024</v>
      </c>
      <c r="X328">
        <f t="shared" si="46"/>
        <v>4044.9771999999998</v>
      </c>
      <c r="Y328" s="5">
        <f t="shared" si="47"/>
        <v>14341.282799999999</v>
      </c>
      <c r="Z328" s="21">
        <f>DATE(K328,MATCH(J328,{"January","February","March","April","May","June","July","August","September","October","November","December"},0),1)</f>
        <v>45566</v>
      </c>
    </row>
    <row r="329" spans="1:26" x14ac:dyDescent="0.3">
      <c r="A329" s="4" t="s">
        <v>397</v>
      </c>
      <c r="B329" s="4" t="s">
        <v>52</v>
      </c>
      <c r="C329" s="4" t="s">
        <v>24</v>
      </c>
      <c r="D329" s="5">
        <v>33683.4</v>
      </c>
      <c r="E329" s="6">
        <v>1</v>
      </c>
      <c r="F329" s="5">
        <v>33683.4</v>
      </c>
      <c r="G329" s="1">
        <v>45665</v>
      </c>
      <c r="H329" t="s">
        <v>18</v>
      </c>
      <c r="I329">
        <v>3.8</v>
      </c>
      <c r="J329" t="s">
        <v>53</v>
      </c>
      <c r="K329">
        <v>2025</v>
      </c>
      <c r="L329">
        <v>6736.68</v>
      </c>
      <c r="M329">
        <v>6</v>
      </c>
      <c r="N329" t="s">
        <v>20</v>
      </c>
      <c r="O329" t="s">
        <v>68</v>
      </c>
      <c r="P329">
        <f>FlipkartSales[[#This Row],[Price (INR)]]*FlipkartSales[[#This Row],[Quantity Sold]]</f>
        <v>33683.4</v>
      </c>
      <c r="Q329">
        <f>FlipkartSales[[#This Row],[Total Sales (INR)]]-FlipkartSales[[#This Row],[Calculated Sales]]</f>
        <v>0</v>
      </c>
      <c r="R329" s="9">
        <f t="shared" si="40"/>
        <v>0.2</v>
      </c>
      <c r="S329">
        <f t="shared" si="41"/>
        <v>33683.4</v>
      </c>
      <c r="T329">
        <f t="shared" si="42"/>
        <v>6736.68</v>
      </c>
      <c r="U329">
        <f t="shared" si="43"/>
        <v>1</v>
      </c>
      <c r="V329" t="str">
        <f t="shared" si="44"/>
        <v>Q1</v>
      </c>
      <c r="W329" t="str">
        <f t="shared" si="45"/>
        <v>Jan-2025</v>
      </c>
      <c r="X329">
        <f t="shared" si="46"/>
        <v>2021.0040000000001</v>
      </c>
      <c r="Y329" s="5">
        <f t="shared" si="47"/>
        <v>31662.396000000001</v>
      </c>
      <c r="Z329" s="21">
        <f>DATE(K329,MATCH(J329,{"January","February","March","April","May","June","July","August","September","October","November","December"},0),1)</f>
        <v>45658</v>
      </c>
    </row>
    <row r="330" spans="1:26" x14ac:dyDescent="0.3">
      <c r="A330" s="4" t="s">
        <v>398</v>
      </c>
      <c r="B330" s="4" t="s">
        <v>94</v>
      </c>
      <c r="C330" s="4" t="s">
        <v>31</v>
      </c>
      <c r="D330" s="5">
        <v>49561.57</v>
      </c>
      <c r="E330" s="6">
        <v>3</v>
      </c>
      <c r="F330" s="5">
        <v>148684.71</v>
      </c>
      <c r="G330" s="1">
        <v>45385</v>
      </c>
      <c r="H330" t="s">
        <v>80</v>
      </c>
      <c r="I330">
        <v>3.5</v>
      </c>
      <c r="J330" t="s">
        <v>62</v>
      </c>
      <c r="K330">
        <v>2024</v>
      </c>
      <c r="L330">
        <v>29736.941999999999</v>
      </c>
      <c r="M330">
        <v>26</v>
      </c>
      <c r="N330" t="s">
        <v>41</v>
      </c>
      <c r="O330" t="s">
        <v>33</v>
      </c>
      <c r="P330">
        <f>FlipkartSales[[#This Row],[Price (INR)]]*FlipkartSales[[#This Row],[Quantity Sold]]</f>
        <v>148684.71</v>
      </c>
      <c r="Q330">
        <f>FlipkartSales[[#This Row],[Total Sales (INR)]]-FlipkartSales[[#This Row],[Calculated Sales]]</f>
        <v>0</v>
      </c>
      <c r="R330" s="9">
        <f t="shared" si="40"/>
        <v>0.2</v>
      </c>
      <c r="S330">
        <f t="shared" si="41"/>
        <v>49561.57</v>
      </c>
      <c r="T330">
        <f t="shared" si="42"/>
        <v>9912.3140000000003</v>
      </c>
      <c r="U330">
        <f t="shared" si="43"/>
        <v>4</v>
      </c>
      <c r="V330" t="str">
        <f t="shared" si="44"/>
        <v>Q2</v>
      </c>
      <c r="W330" t="str">
        <f t="shared" si="45"/>
        <v>Apr-2024</v>
      </c>
      <c r="X330">
        <f t="shared" si="46"/>
        <v>38658.024599999997</v>
      </c>
      <c r="Y330" s="5">
        <f t="shared" si="47"/>
        <v>110026.68539999999</v>
      </c>
      <c r="Z330" s="21">
        <f>DATE(K330,MATCH(J330,{"January","February","March","April","May","June","July","August","September","October","November","December"},0),1)</f>
        <v>45383</v>
      </c>
    </row>
    <row r="331" spans="1:26" x14ac:dyDescent="0.3">
      <c r="A331" s="4" t="s">
        <v>399</v>
      </c>
      <c r="B331" s="4" t="s">
        <v>30</v>
      </c>
      <c r="C331" s="4" t="s">
        <v>31</v>
      </c>
      <c r="D331" s="5">
        <v>18551.650000000001</v>
      </c>
      <c r="E331" s="6">
        <v>2</v>
      </c>
      <c r="F331" s="5">
        <v>37103.300000000003</v>
      </c>
      <c r="G331" s="1">
        <v>45381</v>
      </c>
      <c r="H331" t="s">
        <v>71</v>
      </c>
      <c r="I331">
        <v>2.6</v>
      </c>
      <c r="J331" t="s">
        <v>56</v>
      </c>
      <c r="K331">
        <v>2024</v>
      </c>
      <c r="L331">
        <v>7420.6600000000008</v>
      </c>
      <c r="M331">
        <v>7</v>
      </c>
      <c r="N331" t="s">
        <v>41</v>
      </c>
      <c r="O331" t="s">
        <v>68</v>
      </c>
      <c r="P331">
        <f>FlipkartSales[[#This Row],[Price (INR)]]*FlipkartSales[[#This Row],[Quantity Sold]]</f>
        <v>37103.300000000003</v>
      </c>
      <c r="Q331">
        <f>FlipkartSales[[#This Row],[Total Sales (INR)]]-FlipkartSales[[#This Row],[Calculated Sales]]</f>
        <v>0</v>
      </c>
      <c r="R331" s="9">
        <f t="shared" si="40"/>
        <v>0.2</v>
      </c>
      <c r="S331">
        <f t="shared" si="41"/>
        <v>18551.650000000001</v>
      </c>
      <c r="T331">
        <f t="shared" si="42"/>
        <v>3710.3300000000004</v>
      </c>
      <c r="U331">
        <f t="shared" si="43"/>
        <v>3</v>
      </c>
      <c r="V331" t="str">
        <f t="shared" si="44"/>
        <v>Q1</v>
      </c>
      <c r="W331" t="str">
        <f t="shared" si="45"/>
        <v>Mar-2024</v>
      </c>
      <c r="X331">
        <f t="shared" si="46"/>
        <v>2597.2310000000002</v>
      </c>
      <c r="Y331" s="5">
        <f t="shared" si="47"/>
        <v>34506.069000000003</v>
      </c>
      <c r="Z331" s="21">
        <f>DATE(K331,MATCH(J331,{"January","February","March","April","May","June","July","August","September","October","November","December"},0),1)</f>
        <v>45352</v>
      </c>
    </row>
    <row r="332" spans="1:26" x14ac:dyDescent="0.3">
      <c r="A332" s="4" t="s">
        <v>400</v>
      </c>
      <c r="B332" s="4" t="s">
        <v>107</v>
      </c>
      <c r="C332" s="4" t="s">
        <v>36</v>
      </c>
      <c r="D332" s="5">
        <v>12249.35</v>
      </c>
      <c r="E332" s="6">
        <v>5</v>
      </c>
      <c r="F332" s="5">
        <v>61246.75</v>
      </c>
      <c r="G332" s="1">
        <v>45686</v>
      </c>
      <c r="H332" t="s">
        <v>44</v>
      </c>
      <c r="I332">
        <v>2.9</v>
      </c>
      <c r="J332" t="s">
        <v>53</v>
      </c>
      <c r="K332">
        <v>2025</v>
      </c>
      <c r="L332">
        <v>12249.35</v>
      </c>
      <c r="M332">
        <v>20</v>
      </c>
      <c r="N332" t="s">
        <v>41</v>
      </c>
      <c r="O332" t="s">
        <v>33</v>
      </c>
      <c r="P332">
        <f>FlipkartSales[[#This Row],[Price (INR)]]*FlipkartSales[[#This Row],[Quantity Sold]]</f>
        <v>61246.75</v>
      </c>
      <c r="Q332">
        <f>FlipkartSales[[#This Row],[Total Sales (INR)]]-FlipkartSales[[#This Row],[Calculated Sales]]</f>
        <v>0</v>
      </c>
      <c r="R332" s="9">
        <f t="shared" si="40"/>
        <v>0.2</v>
      </c>
      <c r="S332">
        <f t="shared" si="41"/>
        <v>12249.35</v>
      </c>
      <c r="T332">
        <f t="shared" si="42"/>
        <v>2449.87</v>
      </c>
      <c r="U332">
        <f t="shared" si="43"/>
        <v>1</v>
      </c>
      <c r="V332" t="str">
        <f t="shared" si="44"/>
        <v>Q1</v>
      </c>
      <c r="W332" t="str">
        <f t="shared" si="45"/>
        <v>Jan-2025</v>
      </c>
      <c r="X332">
        <f t="shared" si="46"/>
        <v>12249.35</v>
      </c>
      <c r="Y332" s="5">
        <f t="shared" si="47"/>
        <v>48997.4</v>
      </c>
      <c r="Z332" s="21">
        <f>DATE(K332,MATCH(J332,{"January","February","March","April","May","June","July","August","September","October","November","December"},0),1)</f>
        <v>45658</v>
      </c>
    </row>
    <row r="333" spans="1:26" x14ac:dyDescent="0.3">
      <c r="A333" s="4" t="s">
        <v>401</v>
      </c>
      <c r="B333" s="4" t="s">
        <v>23</v>
      </c>
      <c r="C333" s="4" t="s">
        <v>24</v>
      </c>
      <c r="D333" s="5">
        <v>35305.39</v>
      </c>
      <c r="E333" s="6">
        <v>1</v>
      </c>
      <c r="F333" s="5">
        <v>35305.39</v>
      </c>
      <c r="G333" s="1">
        <v>45453</v>
      </c>
      <c r="H333" t="s">
        <v>25</v>
      </c>
      <c r="I333">
        <v>2.2000000000000002</v>
      </c>
      <c r="J333" t="s">
        <v>67</v>
      </c>
      <c r="K333">
        <v>2024</v>
      </c>
      <c r="L333">
        <v>7061.0780000000004</v>
      </c>
      <c r="M333">
        <v>13</v>
      </c>
      <c r="N333" t="s">
        <v>27</v>
      </c>
      <c r="O333" t="s">
        <v>33</v>
      </c>
      <c r="P333">
        <f>FlipkartSales[[#This Row],[Price (INR)]]*FlipkartSales[[#This Row],[Quantity Sold]]</f>
        <v>35305.39</v>
      </c>
      <c r="Q333">
        <f>FlipkartSales[[#This Row],[Total Sales (INR)]]-FlipkartSales[[#This Row],[Calculated Sales]]</f>
        <v>0</v>
      </c>
      <c r="R333" s="9">
        <f t="shared" si="40"/>
        <v>0.2</v>
      </c>
      <c r="S333">
        <f t="shared" si="41"/>
        <v>35305.39</v>
      </c>
      <c r="T333">
        <f t="shared" si="42"/>
        <v>7061.0780000000004</v>
      </c>
      <c r="U333">
        <f t="shared" si="43"/>
        <v>6</v>
      </c>
      <c r="V333" t="str">
        <f t="shared" si="44"/>
        <v>Q2</v>
      </c>
      <c r="W333" t="str">
        <f t="shared" si="45"/>
        <v>Jun-2024</v>
      </c>
      <c r="X333">
        <f t="shared" si="46"/>
        <v>4589.7007000000003</v>
      </c>
      <c r="Y333" s="5">
        <f t="shared" si="47"/>
        <v>30715.689299999998</v>
      </c>
      <c r="Z333" s="21">
        <f>DATE(K333,MATCH(J333,{"January","February","March","April","May","June","July","August","September","October","November","December"},0),1)</f>
        <v>45444</v>
      </c>
    </row>
    <row r="334" spans="1:26" x14ac:dyDescent="0.3">
      <c r="A334" s="4" t="s">
        <v>402</v>
      </c>
      <c r="B334" s="4" t="s">
        <v>35</v>
      </c>
      <c r="C334" s="4" t="s">
        <v>36</v>
      </c>
      <c r="D334" s="5">
        <v>16790.46</v>
      </c>
      <c r="E334" s="6">
        <v>5</v>
      </c>
      <c r="F334" s="5">
        <v>83952.3</v>
      </c>
      <c r="G334" s="1">
        <v>45531</v>
      </c>
      <c r="H334" t="s">
        <v>80</v>
      </c>
      <c r="I334">
        <v>4.3</v>
      </c>
      <c r="J334" t="s">
        <v>88</v>
      </c>
      <c r="K334">
        <v>2024</v>
      </c>
      <c r="L334">
        <v>16790.460000000003</v>
      </c>
      <c r="M334">
        <v>8</v>
      </c>
      <c r="N334" t="s">
        <v>27</v>
      </c>
      <c r="O334" t="s">
        <v>33</v>
      </c>
      <c r="P334">
        <f>FlipkartSales[[#This Row],[Price (INR)]]*FlipkartSales[[#This Row],[Quantity Sold]]</f>
        <v>83952.299999999988</v>
      </c>
      <c r="Q334">
        <f>FlipkartSales[[#This Row],[Total Sales (INR)]]-FlipkartSales[[#This Row],[Calculated Sales]]</f>
        <v>0</v>
      </c>
      <c r="R334" s="9">
        <f t="shared" si="40"/>
        <v>0.20000000000000004</v>
      </c>
      <c r="S334">
        <f t="shared" si="41"/>
        <v>16790.46</v>
      </c>
      <c r="T334">
        <f t="shared" si="42"/>
        <v>3358.0920000000006</v>
      </c>
      <c r="U334">
        <f t="shared" si="43"/>
        <v>8</v>
      </c>
      <c r="V334" t="str">
        <f t="shared" si="44"/>
        <v>Q3</v>
      </c>
      <c r="W334" t="str">
        <f t="shared" si="45"/>
        <v>Aug-2024</v>
      </c>
      <c r="X334">
        <f t="shared" si="46"/>
        <v>6716.1840000000002</v>
      </c>
      <c r="Y334" s="5">
        <f t="shared" si="47"/>
        <v>77236.116000000009</v>
      </c>
      <c r="Z334" s="21">
        <f>DATE(K334,MATCH(J334,{"January","February","March","April","May","June","July","August","September","October","November","December"},0),1)</f>
        <v>45505</v>
      </c>
    </row>
    <row r="335" spans="1:26" x14ac:dyDescent="0.3">
      <c r="A335" s="4" t="s">
        <v>403</v>
      </c>
      <c r="B335" s="4" t="s">
        <v>52</v>
      </c>
      <c r="C335" s="4" t="s">
        <v>24</v>
      </c>
      <c r="D335" s="5">
        <v>26096.959999999999</v>
      </c>
      <c r="E335" s="6">
        <v>4</v>
      </c>
      <c r="F335" s="5">
        <v>104387.84</v>
      </c>
      <c r="G335" s="1">
        <v>45379</v>
      </c>
      <c r="H335" t="s">
        <v>18</v>
      </c>
      <c r="I335">
        <v>3.5</v>
      </c>
      <c r="J335" t="s">
        <v>56</v>
      </c>
      <c r="K335">
        <v>2024</v>
      </c>
      <c r="L335">
        <v>20877.567999999999</v>
      </c>
      <c r="M335">
        <v>5</v>
      </c>
      <c r="N335" t="s">
        <v>20</v>
      </c>
      <c r="O335" t="s">
        <v>33</v>
      </c>
      <c r="P335">
        <f>FlipkartSales[[#This Row],[Price (INR)]]*FlipkartSales[[#This Row],[Quantity Sold]]</f>
        <v>104387.84</v>
      </c>
      <c r="Q335">
        <f>FlipkartSales[[#This Row],[Total Sales (INR)]]-FlipkartSales[[#This Row],[Calculated Sales]]</f>
        <v>0</v>
      </c>
      <c r="R335" s="9">
        <f t="shared" si="40"/>
        <v>0.2</v>
      </c>
      <c r="S335">
        <f t="shared" si="41"/>
        <v>26096.959999999999</v>
      </c>
      <c r="T335">
        <f t="shared" si="42"/>
        <v>5219.3919999999998</v>
      </c>
      <c r="U335">
        <f t="shared" si="43"/>
        <v>3</v>
      </c>
      <c r="V335" t="str">
        <f t="shared" si="44"/>
        <v>Q1</v>
      </c>
      <c r="W335" t="str">
        <f t="shared" si="45"/>
        <v>Mar-2024</v>
      </c>
      <c r="X335">
        <f t="shared" si="46"/>
        <v>5219.3919999999998</v>
      </c>
      <c r="Y335" s="5">
        <f t="shared" si="47"/>
        <v>99168.448000000004</v>
      </c>
      <c r="Z335" s="21">
        <f>DATE(K335,MATCH(J335,{"January","February","March","April","May","June","July","August","September","October","November","December"},0),1)</f>
        <v>45352</v>
      </c>
    </row>
    <row r="336" spans="1:26" x14ac:dyDescent="0.3">
      <c r="A336" s="4" t="s">
        <v>404</v>
      </c>
      <c r="B336" s="4" t="s">
        <v>125</v>
      </c>
      <c r="C336" s="4" t="s">
        <v>17</v>
      </c>
      <c r="D336" s="5">
        <v>34361.96</v>
      </c>
      <c r="E336" s="6">
        <v>5</v>
      </c>
      <c r="F336" s="5">
        <v>171809.8</v>
      </c>
      <c r="G336" s="1">
        <v>45373</v>
      </c>
      <c r="H336" t="s">
        <v>80</v>
      </c>
      <c r="I336">
        <v>4.4000000000000004</v>
      </c>
      <c r="J336" t="s">
        <v>56</v>
      </c>
      <c r="K336">
        <v>2024</v>
      </c>
      <c r="L336">
        <v>34361.96</v>
      </c>
      <c r="M336">
        <v>8</v>
      </c>
      <c r="N336" t="s">
        <v>41</v>
      </c>
      <c r="O336" t="s">
        <v>28</v>
      </c>
      <c r="P336">
        <f>FlipkartSales[[#This Row],[Price (INR)]]*FlipkartSales[[#This Row],[Quantity Sold]]</f>
        <v>171809.8</v>
      </c>
      <c r="Q336">
        <f>FlipkartSales[[#This Row],[Total Sales (INR)]]-FlipkartSales[[#This Row],[Calculated Sales]]</f>
        <v>0</v>
      </c>
      <c r="R336" s="9">
        <f t="shared" si="40"/>
        <v>0.2</v>
      </c>
      <c r="S336">
        <f t="shared" si="41"/>
        <v>34361.96</v>
      </c>
      <c r="T336">
        <f t="shared" si="42"/>
        <v>6872.3919999999998</v>
      </c>
      <c r="U336">
        <f t="shared" si="43"/>
        <v>3</v>
      </c>
      <c r="V336" t="str">
        <f t="shared" si="44"/>
        <v>Q1</v>
      </c>
      <c r="W336" t="str">
        <f t="shared" si="45"/>
        <v>Mar-2024</v>
      </c>
      <c r="X336">
        <f t="shared" si="46"/>
        <v>13744.784</v>
      </c>
      <c r="Y336" s="5">
        <f t="shared" si="47"/>
        <v>158065.016</v>
      </c>
      <c r="Z336" s="21">
        <f>DATE(K336,MATCH(J336,{"January","February","March","April","May","June","July","August","September","October","November","December"},0),1)</f>
        <v>45352</v>
      </c>
    </row>
    <row r="337" spans="1:26" x14ac:dyDescent="0.3">
      <c r="A337" s="4" t="s">
        <v>405</v>
      </c>
      <c r="B337" s="4" t="s">
        <v>50</v>
      </c>
      <c r="C337" s="4" t="s">
        <v>40</v>
      </c>
      <c r="D337" s="5">
        <v>46079.49</v>
      </c>
      <c r="E337" s="6">
        <v>5</v>
      </c>
      <c r="F337" s="5">
        <v>230397.45</v>
      </c>
      <c r="G337" s="1">
        <v>45350</v>
      </c>
      <c r="H337" t="s">
        <v>80</v>
      </c>
      <c r="I337">
        <v>3.7</v>
      </c>
      <c r="J337" t="s">
        <v>59</v>
      </c>
      <c r="K337">
        <v>2024</v>
      </c>
      <c r="L337">
        <v>46079.490000000005</v>
      </c>
      <c r="M337">
        <v>5</v>
      </c>
      <c r="N337" t="s">
        <v>41</v>
      </c>
      <c r="O337" t="s">
        <v>33</v>
      </c>
      <c r="P337">
        <f>FlipkartSales[[#This Row],[Price (INR)]]*FlipkartSales[[#This Row],[Quantity Sold]]</f>
        <v>230397.44999999998</v>
      </c>
      <c r="Q337">
        <f>FlipkartSales[[#This Row],[Total Sales (INR)]]-FlipkartSales[[#This Row],[Calculated Sales]]</f>
        <v>0</v>
      </c>
      <c r="R337" s="9">
        <f t="shared" si="40"/>
        <v>0.2</v>
      </c>
      <c r="S337">
        <f t="shared" si="41"/>
        <v>46079.490000000005</v>
      </c>
      <c r="T337">
        <f t="shared" si="42"/>
        <v>9215.898000000001</v>
      </c>
      <c r="U337">
        <f t="shared" si="43"/>
        <v>2</v>
      </c>
      <c r="V337" t="str">
        <f t="shared" si="44"/>
        <v>Q1</v>
      </c>
      <c r="W337" t="str">
        <f t="shared" si="45"/>
        <v>Feb-2024</v>
      </c>
      <c r="X337">
        <f t="shared" si="46"/>
        <v>11519.872499999999</v>
      </c>
      <c r="Y337" s="5">
        <f t="shared" si="47"/>
        <v>218877.57750000001</v>
      </c>
      <c r="Z337" s="21">
        <f>DATE(K337,MATCH(J337,{"January","February","March","April","May","June","July","August","September","October","November","December"},0),1)</f>
        <v>45323</v>
      </c>
    </row>
    <row r="338" spans="1:26" x14ac:dyDescent="0.3">
      <c r="A338" s="4" t="s">
        <v>406</v>
      </c>
      <c r="B338" s="4" t="s">
        <v>43</v>
      </c>
      <c r="C338" s="4" t="s">
        <v>40</v>
      </c>
      <c r="D338" s="5">
        <v>47053.440000000002</v>
      </c>
      <c r="E338" s="6">
        <v>2</v>
      </c>
      <c r="F338" s="5">
        <v>94106.880000000005</v>
      </c>
      <c r="G338" s="1">
        <v>45448</v>
      </c>
      <c r="H338" t="s">
        <v>64</v>
      </c>
      <c r="I338">
        <v>3</v>
      </c>
      <c r="J338" t="s">
        <v>67</v>
      </c>
      <c r="K338">
        <v>2024</v>
      </c>
      <c r="L338">
        <v>18821.376</v>
      </c>
      <c r="M338">
        <v>18</v>
      </c>
      <c r="N338" t="s">
        <v>20</v>
      </c>
      <c r="O338" t="s">
        <v>21</v>
      </c>
      <c r="P338">
        <f>FlipkartSales[[#This Row],[Price (INR)]]*FlipkartSales[[#This Row],[Quantity Sold]]</f>
        <v>94106.880000000005</v>
      </c>
      <c r="Q338">
        <f>FlipkartSales[[#This Row],[Total Sales (INR)]]-FlipkartSales[[#This Row],[Calculated Sales]]</f>
        <v>0</v>
      </c>
      <c r="R338" s="9">
        <f t="shared" si="40"/>
        <v>0.19999999999999998</v>
      </c>
      <c r="S338">
        <f t="shared" si="41"/>
        <v>47053.440000000002</v>
      </c>
      <c r="T338">
        <f t="shared" si="42"/>
        <v>9410.6880000000001</v>
      </c>
      <c r="U338">
        <f t="shared" si="43"/>
        <v>6</v>
      </c>
      <c r="V338" t="str">
        <f t="shared" si="44"/>
        <v>Q2</v>
      </c>
      <c r="W338" t="str">
        <f t="shared" si="45"/>
        <v>Jun-2024</v>
      </c>
      <c r="X338">
        <f t="shared" si="46"/>
        <v>16939.238400000002</v>
      </c>
      <c r="Y338" s="5">
        <f t="shared" si="47"/>
        <v>77167.641600000003</v>
      </c>
      <c r="Z338" s="21">
        <f>DATE(K338,MATCH(J338,{"January","February","March","April","May","June","July","August","September","October","November","December"},0),1)</f>
        <v>45444</v>
      </c>
    </row>
    <row r="339" spans="1:26" x14ac:dyDescent="0.3">
      <c r="A339" s="4" t="s">
        <v>407</v>
      </c>
      <c r="B339" s="4" t="s">
        <v>55</v>
      </c>
      <c r="C339" s="4" t="s">
        <v>36</v>
      </c>
      <c r="D339" s="5">
        <v>18905.939999999999</v>
      </c>
      <c r="E339" s="6">
        <v>3</v>
      </c>
      <c r="F339" s="5">
        <v>56717.82</v>
      </c>
      <c r="G339" s="1">
        <v>45518</v>
      </c>
      <c r="H339" t="s">
        <v>25</v>
      </c>
      <c r="I339">
        <v>4.5</v>
      </c>
      <c r="J339" t="s">
        <v>88</v>
      </c>
      <c r="K339">
        <v>2024</v>
      </c>
      <c r="L339">
        <v>11343.564</v>
      </c>
      <c r="M339">
        <v>25</v>
      </c>
      <c r="N339" t="s">
        <v>41</v>
      </c>
      <c r="O339" t="s">
        <v>68</v>
      </c>
      <c r="P339">
        <f>FlipkartSales[[#This Row],[Price (INR)]]*FlipkartSales[[#This Row],[Quantity Sold]]</f>
        <v>56717.819999999992</v>
      </c>
      <c r="Q339">
        <f>FlipkartSales[[#This Row],[Total Sales (INR)]]-FlipkartSales[[#This Row],[Calculated Sales]]</f>
        <v>0</v>
      </c>
      <c r="R339" s="9">
        <f t="shared" si="40"/>
        <v>0.2</v>
      </c>
      <c r="S339">
        <f t="shared" si="41"/>
        <v>18905.939999999999</v>
      </c>
      <c r="T339">
        <f t="shared" si="42"/>
        <v>3781.1880000000001</v>
      </c>
      <c r="U339">
        <f t="shared" si="43"/>
        <v>8</v>
      </c>
      <c r="V339" t="str">
        <f t="shared" si="44"/>
        <v>Q3</v>
      </c>
      <c r="W339" t="str">
        <f t="shared" si="45"/>
        <v>Aug-2024</v>
      </c>
      <c r="X339">
        <f t="shared" si="46"/>
        <v>14179.455</v>
      </c>
      <c r="Y339" s="5">
        <f t="shared" si="47"/>
        <v>42538.364999999998</v>
      </c>
      <c r="Z339" s="21">
        <f>DATE(K339,MATCH(J339,{"January","February","March","April","May","June","July","August","September","October","November","December"},0),1)</f>
        <v>45505</v>
      </c>
    </row>
    <row r="340" spans="1:26" x14ac:dyDescent="0.3">
      <c r="A340" s="4" t="s">
        <v>408</v>
      </c>
      <c r="B340" s="4" t="s">
        <v>94</v>
      </c>
      <c r="C340" s="4" t="s">
        <v>31</v>
      </c>
      <c r="D340" s="5">
        <v>30977.18</v>
      </c>
      <c r="E340" s="6">
        <v>3</v>
      </c>
      <c r="F340" s="5">
        <v>92931.54</v>
      </c>
      <c r="G340" s="1">
        <v>45604</v>
      </c>
      <c r="H340" t="s">
        <v>25</v>
      </c>
      <c r="I340">
        <v>3.3</v>
      </c>
      <c r="J340" t="s">
        <v>37</v>
      </c>
      <c r="K340">
        <v>2024</v>
      </c>
      <c r="L340">
        <v>18586.308000000001</v>
      </c>
      <c r="M340">
        <v>20</v>
      </c>
      <c r="N340" t="s">
        <v>41</v>
      </c>
      <c r="O340" t="s">
        <v>21</v>
      </c>
      <c r="P340">
        <f>FlipkartSales[[#This Row],[Price (INR)]]*FlipkartSales[[#This Row],[Quantity Sold]]</f>
        <v>92931.540000000008</v>
      </c>
      <c r="Q340">
        <f>FlipkartSales[[#This Row],[Total Sales (INR)]]-FlipkartSales[[#This Row],[Calculated Sales]]</f>
        <v>0</v>
      </c>
      <c r="R340" s="9">
        <f t="shared" si="40"/>
        <v>0.2</v>
      </c>
      <c r="S340">
        <f t="shared" si="41"/>
        <v>30977.179999999997</v>
      </c>
      <c r="T340">
        <f t="shared" si="42"/>
        <v>6195.4360000000006</v>
      </c>
      <c r="U340">
        <f t="shared" si="43"/>
        <v>11</v>
      </c>
      <c r="V340" t="str">
        <f t="shared" si="44"/>
        <v>Q4</v>
      </c>
      <c r="W340" t="str">
        <f t="shared" si="45"/>
        <v>Nov-2024</v>
      </c>
      <c r="X340">
        <f t="shared" si="46"/>
        <v>18586.307999999997</v>
      </c>
      <c r="Y340" s="5">
        <f t="shared" si="47"/>
        <v>74345.231999999989</v>
      </c>
      <c r="Z340" s="21">
        <f>DATE(K340,MATCH(J340,{"January","February","March","April","May","June","July","August","September","October","November","December"},0),1)</f>
        <v>45597</v>
      </c>
    </row>
    <row r="341" spans="1:26" x14ac:dyDescent="0.3">
      <c r="A341" s="4" t="s">
        <v>409</v>
      </c>
      <c r="B341" s="4" t="s">
        <v>50</v>
      </c>
      <c r="C341" s="4" t="s">
        <v>40</v>
      </c>
      <c r="D341" s="5">
        <v>41841.57</v>
      </c>
      <c r="E341" s="6">
        <v>2</v>
      </c>
      <c r="F341" s="5">
        <v>83683.14</v>
      </c>
      <c r="G341" s="1">
        <v>45439</v>
      </c>
      <c r="H341" t="s">
        <v>64</v>
      </c>
      <c r="I341">
        <v>1.1000000000000001</v>
      </c>
      <c r="J341" t="s">
        <v>32</v>
      </c>
      <c r="K341">
        <v>2024</v>
      </c>
      <c r="L341">
        <v>16736.628000000001</v>
      </c>
      <c r="M341">
        <v>24</v>
      </c>
      <c r="N341" t="s">
        <v>27</v>
      </c>
      <c r="O341" t="s">
        <v>28</v>
      </c>
      <c r="P341">
        <f>FlipkartSales[[#This Row],[Price (INR)]]*FlipkartSales[[#This Row],[Quantity Sold]]</f>
        <v>83683.14</v>
      </c>
      <c r="Q341">
        <f>FlipkartSales[[#This Row],[Total Sales (INR)]]-FlipkartSales[[#This Row],[Calculated Sales]]</f>
        <v>0</v>
      </c>
      <c r="R341" s="9">
        <f t="shared" si="40"/>
        <v>0.2</v>
      </c>
      <c r="S341">
        <f t="shared" si="41"/>
        <v>41841.57</v>
      </c>
      <c r="T341">
        <f t="shared" si="42"/>
        <v>8368.3140000000003</v>
      </c>
      <c r="U341">
        <f t="shared" si="43"/>
        <v>5</v>
      </c>
      <c r="V341" t="str">
        <f t="shared" si="44"/>
        <v>Q2</v>
      </c>
      <c r="W341" t="str">
        <f t="shared" si="45"/>
        <v>May-2024</v>
      </c>
      <c r="X341">
        <f t="shared" si="46"/>
        <v>20083.953599999997</v>
      </c>
      <c r="Y341" s="5">
        <f t="shared" si="47"/>
        <v>63599.186400000006</v>
      </c>
      <c r="Z341" s="21">
        <f>DATE(K341,MATCH(J341,{"January","February","March","April","May","June","July","August","September","October","November","December"},0),1)</f>
        <v>45413</v>
      </c>
    </row>
    <row r="342" spans="1:26" x14ac:dyDescent="0.3">
      <c r="A342" s="4" t="s">
        <v>410</v>
      </c>
      <c r="B342" s="4" t="s">
        <v>96</v>
      </c>
      <c r="C342" s="4" t="s">
        <v>36</v>
      </c>
      <c r="D342" s="5">
        <v>4277.1499999999996</v>
      </c>
      <c r="E342" s="6">
        <v>4</v>
      </c>
      <c r="F342" s="5">
        <v>17108.599999999999</v>
      </c>
      <c r="G342" s="1">
        <v>45516</v>
      </c>
      <c r="H342" t="s">
        <v>64</v>
      </c>
      <c r="I342">
        <v>2.1</v>
      </c>
      <c r="J342" t="s">
        <v>88</v>
      </c>
      <c r="K342">
        <v>2024</v>
      </c>
      <c r="L342">
        <v>3421.72</v>
      </c>
      <c r="M342">
        <v>28</v>
      </c>
      <c r="N342" t="s">
        <v>20</v>
      </c>
      <c r="O342" t="s">
        <v>21</v>
      </c>
      <c r="P342">
        <f>FlipkartSales[[#This Row],[Price (INR)]]*FlipkartSales[[#This Row],[Quantity Sold]]</f>
        <v>17108.599999999999</v>
      </c>
      <c r="Q342">
        <f>FlipkartSales[[#This Row],[Total Sales (INR)]]-FlipkartSales[[#This Row],[Calculated Sales]]</f>
        <v>0</v>
      </c>
      <c r="R342" s="9">
        <f t="shared" si="40"/>
        <v>0.2</v>
      </c>
      <c r="S342">
        <f t="shared" si="41"/>
        <v>4277.1499999999996</v>
      </c>
      <c r="T342">
        <f t="shared" si="42"/>
        <v>855.43</v>
      </c>
      <c r="U342">
        <f t="shared" si="43"/>
        <v>8</v>
      </c>
      <c r="V342" t="str">
        <f t="shared" si="44"/>
        <v>Q3</v>
      </c>
      <c r="W342" t="str">
        <f t="shared" si="45"/>
        <v>Aug-2024</v>
      </c>
      <c r="X342">
        <f t="shared" si="46"/>
        <v>4790.4079999999994</v>
      </c>
      <c r="Y342" s="5">
        <f t="shared" si="47"/>
        <v>12318.191999999999</v>
      </c>
      <c r="Z342" s="21">
        <f>DATE(K342,MATCH(J342,{"January","February","March","April","May","June","July","August","September","October","November","December"},0),1)</f>
        <v>45505</v>
      </c>
    </row>
    <row r="343" spans="1:26" x14ac:dyDescent="0.3">
      <c r="A343" s="4" t="s">
        <v>411</v>
      </c>
      <c r="B343" s="4" t="s">
        <v>145</v>
      </c>
      <c r="C343" s="4" t="s">
        <v>40</v>
      </c>
      <c r="D343" s="5">
        <v>15648.85</v>
      </c>
      <c r="E343" s="6">
        <v>2</v>
      </c>
      <c r="F343" s="5">
        <v>31297.7</v>
      </c>
      <c r="G343" s="1">
        <v>45691</v>
      </c>
      <c r="H343" t="s">
        <v>71</v>
      </c>
      <c r="I343">
        <v>4.4000000000000004</v>
      </c>
      <c r="J343" t="s">
        <v>59</v>
      </c>
      <c r="K343">
        <v>2025</v>
      </c>
      <c r="L343">
        <v>6259.5400000000009</v>
      </c>
      <c r="M343">
        <v>12</v>
      </c>
      <c r="N343" t="s">
        <v>20</v>
      </c>
      <c r="O343" t="s">
        <v>68</v>
      </c>
      <c r="P343">
        <f>FlipkartSales[[#This Row],[Price (INR)]]*FlipkartSales[[#This Row],[Quantity Sold]]</f>
        <v>31297.7</v>
      </c>
      <c r="Q343">
        <f>FlipkartSales[[#This Row],[Total Sales (INR)]]-FlipkartSales[[#This Row],[Calculated Sales]]</f>
        <v>0</v>
      </c>
      <c r="R343" s="9">
        <f t="shared" si="40"/>
        <v>0.2</v>
      </c>
      <c r="S343">
        <f t="shared" si="41"/>
        <v>15648.85</v>
      </c>
      <c r="T343">
        <f t="shared" si="42"/>
        <v>3129.7700000000004</v>
      </c>
      <c r="U343">
        <f t="shared" si="43"/>
        <v>2</v>
      </c>
      <c r="V343" t="str">
        <f t="shared" si="44"/>
        <v>Q1</v>
      </c>
      <c r="W343" t="str">
        <f t="shared" si="45"/>
        <v>Feb-2025</v>
      </c>
      <c r="X343">
        <f t="shared" si="46"/>
        <v>3755.7240000000002</v>
      </c>
      <c r="Y343" s="5">
        <f t="shared" si="47"/>
        <v>27541.976000000002</v>
      </c>
      <c r="Z343" s="21">
        <f>DATE(K343,MATCH(J343,{"January","February","March","April","May","June","July","August","September","October","November","December"},0),1)</f>
        <v>45689</v>
      </c>
    </row>
    <row r="344" spans="1:26" x14ac:dyDescent="0.3">
      <c r="A344" s="4" t="s">
        <v>412</v>
      </c>
      <c r="B344" s="4" t="s">
        <v>107</v>
      </c>
      <c r="C344" s="4" t="s">
        <v>36</v>
      </c>
      <c r="D344" s="5">
        <v>26992.720000000001</v>
      </c>
      <c r="E344" s="6">
        <v>3</v>
      </c>
      <c r="F344" s="5">
        <v>80978.16</v>
      </c>
      <c r="G344" s="1">
        <v>45337</v>
      </c>
      <c r="H344" t="s">
        <v>44</v>
      </c>
      <c r="I344">
        <v>1.1000000000000001</v>
      </c>
      <c r="J344" t="s">
        <v>59</v>
      </c>
      <c r="K344">
        <v>2024</v>
      </c>
      <c r="L344">
        <v>16195.632000000001</v>
      </c>
      <c r="M344">
        <v>11</v>
      </c>
      <c r="N344" t="s">
        <v>20</v>
      </c>
      <c r="O344" t="s">
        <v>21</v>
      </c>
      <c r="P344">
        <f>FlipkartSales[[#This Row],[Price (INR)]]*FlipkartSales[[#This Row],[Quantity Sold]]</f>
        <v>80978.16</v>
      </c>
      <c r="Q344">
        <f>FlipkartSales[[#This Row],[Total Sales (INR)]]-FlipkartSales[[#This Row],[Calculated Sales]]</f>
        <v>0</v>
      </c>
      <c r="R344" s="9">
        <f t="shared" si="40"/>
        <v>0.2</v>
      </c>
      <c r="S344">
        <f t="shared" si="41"/>
        <v>26992.720000000001</v>
      </c>
      <c r="T344">
        <f t="shared" si="42"/>
        <v>5398.5440000000008</v>
      </c>
      <c r="U344">
        <f t="shared" si="43"/>
        <v>2</v>
      </c>
      <c r="V344" t="str">
        <f t="shared" si="44"/>
        <v>Q1</v>
      </c>
      <c r="W344" t="str">
        <f t="shared" si="45"/>
        <v>Feb-2024</v>
      </c>
      <c r="X344">
        <f t="shared" si="46"/>
        <v>8907.597600000001</v>
      </c>
      <c r="Y344" s="5">
        <f t="shared" si="47"/>
        <v>72070.562399999995</v>
      </c>
      <c r="Z344" s="21">
        <f>DATE(K344,MATCH(J344,{"January","February","March","April","May","June","July","August","September","October","November","December"},0),1)</f>
        <v>45323</v>
      </c>
    </row>
    <row r="345" spans="1:26" x14ac:dyDescent="0.3">
      <c r="A345" s="4" t="s">
        <v>413</v>
      </c>
      <c r="B345" s="4" t="s">
        <v>107</v>
      </c>
      <c r="C345" s="4" t="s">
        <v>36</v>
      </c>
      <c r="D345" s="5">
        <v>49586.31</v>
      </c>
      <c r="E345" s="6">
        <v>4</v>
      </c>
      <c r="F345" s="5">
        <v>198345.24</v>
      </c>
      <c r="G345" s="1">
        <v>45415</v>
      </c>
      <c r="H345" t="s">
        <v>25</v>
      </c>
      <c r="I345">
        <v>4.3</v>
      </c>
      <c r="J345" t="s">
        <v>32</v>
      </c>
      <c r="K345">
        <v>2024</v>
      </c>
      <c r="L345">
        <v>39669.048000000003</v>
      </c>
      <c r="M345">
        <v>7</v>
      </c>
      <c r="N345" t="s">
        <v>20</v>
      </c>
      <c r="O345" t="s">
        <v>28</v>
      </c>
      <c r="P345">
        <f>FlipkartSales[[#This Row],[Price (INR)]]*FlipkartSales[[#This Row],[Quantity Sold]]</f>
        <v>198345.24</v>
      </c>
      <c r="Q345">
        <f>FlipkartSales[[#This Row],[Total Sales (INR)]]-FlipkartSales[[#This Row],[Calculated Sales]]</f>
        <v>0</v>
      </c>
      <c r="R345" s="9">
        <f t="shared" si="40"/>
        <v>0.2</v>
      </c>
      <c r="S345">
        <f t="shared" si="41"/>
        <v>49586.31</v>
      </c>
      <c r="T345">
        <f t="shared" si="42"/>
        <v>9917.2620000000006</v>
      </c>
      <c r="U345">
        <f t="shared" si="43"/>
        <v>5</v>
      </c>
      <c r="V345" t="str">
        <f t="shared" si="44"/>
        <v>Q2</v>
      </c>
      <c r="W345" t="str">
        <f t="shared" si="45"/>
        <v>May-2024</v>
      </c>
      <c r="X345">
        <f t="shared" si="46"/>
        <v>13884.166799999999</v>
      </c>
      <c r="Y345" s="5">
        <f t="shared" si="47"/>
        <v>184461.07319999998</v>
      </c>
      <c r="Z345" s="21">
        <f>DATE(K345,MATCH(J345,{"January","February","March","April","May","June","July","August","September","October","November","December"},0),1)</f>
        <v>45413</v>
      </c>
    </row>
    <row r="346" spans="1:26" x14ac:dyDescent="0.3">
      <c r="A346" s="4" t="s">
        <v>414</v>
      </c>
      <c r="B346" s="4" t="s">
        <v>55</v>
      </c>
      <c r="C346" s="4" t="s">
        <v>36</v>
      </c>
      <c r="D346" s="5">
        <v>37181.040000000001</v>
      </c>
      <c r="E346" s="6">
        <v>1</v>
      </c>
      <c r="F346" s="5">
        <v>37181.040000000001</v>
      </c>
      <c r="G346" s="1">
        <v>45372</v>
      </c>
      <c r="H346" t="s">
        <v>44</v>
      </c>
      <c r="I346">
        <v>1.2</v>
      </c>
      <c r="J346" t="s">
        <v>56</v>
      </c>
      <c r="K346">
        <v>2024</v>
      </c>
      <c r="L346">
        <v>7436.2080000000005</v>
      </c>
      <c r="M346">
        <v>21</v>
      </c>
      <c r="N346" t="s">
        <v>27</v>
      </c>
      <c r="O346" t="s">
        <v>33</v>
      </c>
      <c r="P346">
        <f>FlipkartSales[[#This Row],[Price (INR)]]*FlipkartSales[[#This Row],[Quantity Sold]]</f>
        <v>37181.040000000001</v>
      </c>
      <c r="Q346">
        <f>FlipkartSales[[#This Row],[Total Sales (INR)]]-FlipkartSales[[#This Row],[Calculated Sales]]</f>
        <v>0</v>
      </c>
      <c r="R346" s="9">
        <f t="shared" si="40"/>
        <v>0.2</v>
      </c>
      <c r="S346">
        <f t="shared" si="41"/>
        <v>37181.040000000001</v>
      </c>
      <c r="T346">
        <f t="shared" si="42"/>
        <v>7436.2080000000005</v>
      </c>
      <c r="U346">
        <f t="shared" si="43"/>
        <v>3</v>
      </c>
      <c r="V346" t="str">
        <f t="shared" si="44"/>
        <v>Q1</v>
      </c>
      <c r="W346" t="str">
        <f t="shared" si="45"/>
        <v>Mar-2024</v>
      </c>
      <c r="X346">
        <f t="shared" si="46"/>
        <v>7808.0183999999999</v>
      </c>
      <c r="Y346" s="5">
        <f t="shared" si="47"/>
        <v>29373.0216</v>
      </c>
      <c r="Z346" s="21">
        <f>DATE(K346,MATCH(J346,{"January","February","March","April","May","June","July","August","September","October","November","December"},0),1)</f>
        <v>45352</v>
      </c>
    </row>
    <row r="347" spans="1:26" x14ac:dyDescent="0.3">
      <c r="A347" s="4" t="s">
        <v>415</v>
      </c>
      <c r="B347" s="4" t="s">
        <v>47</v>
      </c>
      <c r="C347" s="4" t="s">
        <v>24</v>
      </c>
      <c r="D347" s="5">
        <v>46090.65</v>
      </c>
      <c r="E347" s="6">
        <v>4</v>
      </c>
      <c r="F347" s="5">
        <v>184362.6</v>
      </c>
      <c r="G347" s="1">
        <v>45682</v>
      </c>
      <c r="H347" t="s">
        <v>25</v>
      </c>
      <c r="I347">
        <v>3.3</v>
      </c>
      <c r="J347" t="s">
        <v>53</v>
      </c>
      <c r="K347">
        <v>2025</v>
      </c>
      <c r="L347">
        <v>36872.520000000004</v>
      </c>
      <c r="M347">
        <v>5</v>
      </c>
      <c r="N347" t="s">
        <v>27</v>
      </c>
      <c r="O347" t="s">
        <v>21</v>
      </c>
      <c r="P347">
        <f>FlipkartSales[[#This Row],[Price (INR)]]*FlipkartSales[[#This Row],[Quantity Sold]]</f>
        <v>184362.6</v>
      </c>
      <c r="Q347">
        <f>FlipkartSales[[#This Row],[Total Sales (INR)]]-FlipkartSales[[#This Row],[Calculated Sales]]</f>
        <v>0</v>
      </c>
      <c r="R347" s="9">
        <f t="shared" si="40"/>
        <v>0.2</v>
      </c>
      <c r="S347">
        <f t="shared" si="41"/>
        <v>46090.65</v>
      </c>
      <c r="T347">
        <f t="shared" si="42"/>
        <v>9218.130000000001</v>
      </c>
      <c r="U347">
        <f t="shared" si="43"/>
        <v>1</v>
      </c>
      <c r="V347" t="str">
        <f t="shared" si="44"/>
        <v>Q1</v>
      </c>
      <c r="W347" t="str">
        <f t="shared" si="45"/>
        <v>Jan-2025</v>
      </c>
      <c r="X347">
        <f t="shared" si="46"/>
        <v>9218.1299999999992</v>
      </c>
      <c r="Y347" s="5">
        <f t="shared" si="47"/>
        <v>175144.47</v>
      </c>
      <c r="Z347" s="21">
        <f>DATE(K347,MATCH(J347,{"January","February","March","April","May","June","July","August","September","October","November","December"},0),1)</f>
        <v>45658</v>
      </c>
    </row>
    <row r="348" spans="1:26" x14ac:dyDescent="0.3">
      <c r="A348" s="4" t="s">
        <v>416</v>
      </c>
      <c r="B348" s="4" t="s">
        <v>16</v>
      </c>
      <c r="C348" s="4" t="s">
        <v>17</v>
      </c>
      <c r="D348" s="5">
        <v>48151.09</v>
      </c>
      <c r="E348" s="6">
        <v>4</v>
      </c>
      <c r="F348" s="5">
        <v>192604.36</v>
      </c>
      <c r="G348" s="1">
        <v>45496</v>
      </c>
      <c r="H348" t="s">
        <v>25</v>
      </c>
      <c r="I348">
        <v>2.9</v>
      </c>
      <c r="J348" t="s">
        <v>48</v>
      </c>
      <c r="K348">
        <v>2024</v>
      </c>
      <c r="L348">
        <v>38520.871999999996</v>
      </c>
      <c r="M348">
        <v>20</v>
      </c>
      <c r="N348" t="s">
        <v>41</v>
      </c>
      <c r="O348" t="s">
        <v>28</v>
      </c>
      <c r="P348">
        <f>FlipkartSales[[#This Row],[Price (INR)]]*FlipkartSales[[#This Row],[Quantity Sold]]</f>
        <v>192604.36</v>
      </c>
      <c r="Q348">
        <f>FlipkartSales[[#This Row],[Total Sales (INR)]]-FlipkartSales[[#This Row],[Calculated Sales]]</f>
        <v>0</v>
      </c>
      <c r="R348" s="9">
        <f t="shared" si="40"/>
        <v>0.19999999999999998</v>
      </c>
      <c r="S348">
        <f t="shared" si="41"/>
        <v>48151.09</v>
      </c>
      <c r="T348">
        <f t="shared" si="42"/>
        <v>9630.2179999999989</v>
      </c>
      <c r="U348">
        <f t="shared" si="43"/>
        <v>7</v>
      </c>
      <c r="V348" t="str">
        <f t="shared" si="44"/>
        <v>Q3</v>
      </c>
      <c r="W348" t="str">
        <f t="shared" si="45"/>
        <v>Jul-2024</v>
      </c>
      <c r="X348">
        <f t="shared" si="46"/>
        <v>38520.871999999996</v>
      </c>
      <c r="Y348" s="5">
        <f t="shared" si="47"/>
        <v>154083.48799999998</v>
      </c>
      <c r="Z348" s="21">
        <f>DATE(K348,MATCH(J348,{"January","February","March","April","May","June","July","August","September","October","November","December"},0),1)</f>
        <v>45474</v>
      </c>
    </row>
    <row r="349" spans="1:26" x14ac:dyDescent="0.3">
      <c r="A349" s="4" t="s">
        <v>417</v>
      </c>
      <c r="B349" s="4" t="s">
        <v>35</v>
      </c>
      <c r="C349" s="4" t="s">
        <v>36</v>
      </c>
      <c r="D349" s="5">
        <v>8197.4699999999993</v>
      </c>
      <c r="E349" s="6">
        <v>2</v>
      </c>
      <c r="F349" s="5">
        <v>16394.939999999999</v>
      </c>
      <c r="G349" s="1">
        <v>45563</v>
      </c>
      <c r="H349" t="s">
        <v>44</v>
      </c>
      <c r="I349">
        <v>3</v>
      </c>
      <c r="J349" t="s">
        <v>19</v>
      </c>
      <c r="K349">
        <v>2024</v>
      </c>
      <c r="L349">
        <v>3278.9879999999998</v>
      </c>
      <c r="M349">
        <v>16</v>
      </c>
      <c r="N349" t="s">
        <v>41</v>
      </c>
      <c r="O349" t="s">
        <v>28</v>
      </c>
      <c r="P349">
        <f>FlipkartSales[[#This Row],[Price (INR)]]*FlipkartSales[[#This Row],[Quantity Sold]]</f>
        <v>16394.939999999999</v>
      </c>
      <c r="Q349">
        <f>FlipkartSales[[#This Row],[Total Sales (INR)]]-FlipkartSales[[#This Row],[Calculated Sales]]</f>
        <v>0</v>
      </c>
      <c r="R349" s="9">
        <f t="shared" si="40"/>
        <v>0.2</v>
      </c>
      <c r="S349">
        <f t="shared" si="41"/>
        <v>8197.4699999999993</v>
      </c>
      <c r="T349">
        <f t="shared" si="42"/>
        <v>1639.4939999999999</v>
      </c>
      <c r="U349">
        <f t="shared" si="43"/>
        <v>9</v>
      </c>
      <c r="V349" t="str">
        <f t="shared" si="44"/>
        <v>Q3</v>
      </c>
      <c r="W349" t="str">
        <f t="shared" si="45"/>
        <v>Sep-2024</v>
      </c>
      <c r="X349">
        <f t="shared" si="46"/>
        <v>2623.1904</v>
      </c>
      <c r="Y349" s="5">
        <f t="shared" si="47"/>
        <v>13771.749599999999</v>
      </c>
      <c r="Z349" s="21">
        <f>DATE(K349,MATCH(J349,{"January","February","March","April","May","June","July","August","September","October","November","December"},0),1)</f>
        <v>45536</v>
      </c>
    </row>
    <row r="350" spans="1:26" x14ac:dyDescent="0.3">
      <c r="A350" s="4" t="s">
        <v>418</v>
      </c>
      <c r="B350" s="4" t="s">
        <v>39</v>
      </c>
      <c r="C350" s="4" t="s">
        <v>40</v>
      </c>
      <c r="D350" s="5">
        <v>40679.29</v>
      </c>
      <c r="E350" s="6">
        <v>2</v>
      </c>
      <c r="F350" s="5">
        <v>81358.58</v>
      </c>
      <c r="G350" s="1">
        <v>45486</v>
      </c>
      <c r="H350" t="s">
        <v>44</v>
      </c>
      <c r="I350">
        <v>1.5</v>
      </c>
      <c r="J350" t="s">
        <v>48</v>
      </c>
      <c r="K350">
        <v>2024</v>
      </c>
      <c r="L350">
        <v>16271.716</v>
      </c>
      <c r="M350">
        <v>23</v>
      </c>
      <c r="N350" t="s">
        <v>41</v>
      </c>
      <c r="O350" t="s">
        <v>68</v>
      </c>
      <c r="P350">
        <f>FlipkartSales[[#This Row],[Price (INR)]]*FlipkartSales[[#This Row],[Quantity Sold]]</f>
        <v>81358.58</v>
      </c>
      <c r="Q350">
        <f>FlipkartSales[[#This Row],[Total Sales (INR)]]-FlipkartSales[[#This Row],[Calculated Sales]]</f>
        <v>0</v>
      </c>
      <c r="R350" s="9">
        <f t="shared" si="40"/>
        <v>0.2</v>
      </c>
      <c r="S350">
        <f t="shared" si="41"/>
        <v>40679.29</v>
      </c>
      <c r="T350">
        <f t="shared" si="42"/>
        <v>8135.8580000000002</v>
      </c>
      <c r="U350">
        <f t="shared" si="43"/>
        <v>7</v>
      </c>
      <c r="V350" t="str">
        <f t="shared" si="44"/>
        <v>Q3</v>
      </c>
      <c r="W350" t="str">
        <f t="shared" si="45"/>
        <v>Jul-2024</v>
      </c>
      <c r="X350">
        <f t="shared" si="46"/>
        <v>18712.473400000003</v>
      </c>
      <c r="Y350" s="5">
        <f t="shared" si="47"/>
        <v>62646.106599999999</v>
      </c>
      <c r="Z350" s="21">
        <f>DATE(K350,MATCH(J350,{"January","February","March","April","May","June","July","August","September","October","November","December"},0),1)</f>
        <v>45474</v>
      </c>
    </row>
    <row r="351" spans="1:26" x14ac:dyDescent="0.3">
      <c r="A351" s="4" t="s">
        <v>419</v>
      </c>
      <c r="B351" s="4" t="s">
        <v>58</v>
      </c>
      <c r="C351" s="4" t="s">
        <v>31</v>
      </c>
      <c r="D351" s="5">
        <v>45012.71</v>
      </c>
      <c r="E351" s="6">
        <v>3</v>
      </c>
      <c r="F351" s="5">
        <v>135038.13</v>
      </c>
      <c r="G351" s="1">
        <v>45580</v>
      </c>
      <c r="H351" t="s">
        <v>25</v>
      </c>
      <c r="I351">
        <v>4.9000000000000004</v>
      </c>
      <c r="J351" t="s">
        <v>45</v>
      </c>
      <c r="K351">
        <v>2024</v>
      </c>
      <c r="L351">
        <v>27007.626000000004</v>
      </c>
      <c r="M351">
        <v>26</v>
      </c>
      <c r="N351" t="s">
        <v>41</v>
      </c>
      <c r="O351" t="s">
        <v>68</v>
      </c>
      <c r="P351">
        <f>FlipkartSales[[#This Row],[Price (INR)]]*FlipkartSales[[#This Row],[Quantity Sold]]</f>
        <v>135038.13</v>
      </c>
      <c r="Q351">
        <f>FlipkartSales[[#This Row],[Total Sales (INR)]]-FlipkartSales[[#This Row],[Calculated Sales]]</f>
        <v>0</v>
      </c>
      <c r="R351" s="9">
        <f t="shared" si="40"/>
        <v>0.2</v>
      </c>
      <c r="S351">
        <f t="shared" si="41"/>
        <v>45012.71</v>
      </c>
      <c r="T351">
        <f t="shared" si="42"/>
        <v>9002.5420000000013</v>
      </c>
      <c r="U351">
        <f t="shared" si="43"/>
        <v>10</v>
      </c>
      <c r="V351" t="str">
        <f t="shared" si="44"/>
        <v>Q4</v>
      </c>
      <c r="W351" t="str">
        <f t="shared" si="45"/>
        <v>Oct-2024</v>
      </c>
      <c r="X351">
        <f t="shared" si="46"/>
        <v>35109.913800000002</v>
      </c>
      <c r="Y351" s="5">
        <f t="shared" si="47"/>
        <v>99928.216199999995</v>
      </c>
      <c r="Z351" s="21">
        <f>DATE(K351,MATCH(J351,{"January","February","March","April","May","June","July","August","September","October","November","December"},0),1)</f>
        <v>45566</v>
      </c>
    </row>
    <row r="352" spans="1:26" x14ac:dyDescent="0.3">
      <c r="A352" s="4" t="s">
        <v>420</v>
      </c>
      <c r="B352" s="4" t="s">
        <v>58</v>
      </c>
      <c r="C352" s="4" t="s">
        <v>31</v>
      </c>
      <c r="D352" s="5">
        <v>5127.0200000000004</v>
      </c>
      <c r="E352" s="6">
        <v>3</v>
      </c>
      <c r="F352" s="5">
        <v>15381.06</v>
      </c>
      <c r="G352" s="1">
        <v>45695</v>
      </c>
      <c r="H352" t="s">
        <v>18</v>
      </c>
      <c r="I352">
        <v>4.5</v>
      </c>
      <c r="J352" t="s">
        <v>59</v>
      </c>
      <c r="K352">
        <v>2025</v>
      </c>
      <c r="L352">
        <v>3076.212</v>
      </c>
      <c r="M352">
        <v>27</v>
      </c>
      <c r="N352" t="s">
        <v>27</v>
      </c>
      <c r="O352" t="s">
        <v>21</v>
      </c>
      <c r="P352">
        <f>FlipkartSales[[#This Row],[Price (INR)]]*FlipkartSales[[#This Row],[Quantity Sold]]</f>
        <v>15381.060000000001</v>
      </c>
      <c r="Q352">
        <f>FlipkartSales[[#This Row],[Total Sales (INR)]]-FlipkartSales[[#This Row],[Calculated Sales]]</f>
        <v>0</v>
      </c>
      <c r="R352" s="9">
        <f t="shared" si="40"/>
        <v>0.2</v>
      </c>
      <c r="S352">
        <f t="shared" si="41"/>
        <v>5127.0199999999995</v>
      </c>
      <c r="T352">
        <f t="shared" si="42"/>
        <v>1025.404</v>
      </c>
      <c r="U352">
        <f t="shared" si="43"/>
        <v>2</v>
      </c>
      <c r="V352" t="str">
        <f t="shared" si="44"/>
        <v>Q1</v>
      </c>
      <c r="W352" t="str">
        <f t="shared" si="45"/>
        <v>Feb-2025</v>
      </c>
      <c r="X352">
        <f t="shared" si="46"/>
        <v>4152.8861999999999</v>
      </c>
      <c r="Y352" s="5">
        <f t="shared" si="47"/>
        <v>11228.1738</v>
      </c>
      <c r="Z352" s="21">
        <f>DATE(K352,MATCH(J352,{"January","February","March","April","May","June","July","August","September","October","November","December"},0),1)</f>
        <v>45689</v>
      </c>
    </row>
    <row r="353" spans="1:26" x14ac:dyDescent="0.3">
      <c r="A353" s="4" t="s">
        <v>421</v>
      </c>
      <c r="B353" s="4" t="s">
        <v>96</v>
      </c>
      <c r="C353" s="4" t="s">
        <v>36</v>
      </c>
      <c r="D353" s="5">
        <v>13954.48</v>
      </c>
      <c r="E353" s="6">
        <v>3</v>
      </c>
      <c r="F353" s="5">
        <v>41863.440000000002</v>
      </c>
      <c r="G353" s="1">
        <v>45669</v>
      </c>
      <c r="H353" t="s">
        <v>25</v>
      </c>
      <c r="I353">
        <v>1.5</v>
      </c>
      <c r="J353" t="s">
        <v>53</v>
      </c>
      <c r="K353">
        <v>2025</v>
      </c>
      <c r="L353">
        <v>8372.6880000000001</v>
      </c>
      <c r="M353">
        <v>26</v>
      </c>
      <c r="N353" t="s">
        <v>20</v>
      </c>
      <c r="O353" t="s">
        <v>33</v>
      </c>
      <c r="P353">
        <f>FlipkartSales[[#This Row],[Price (INR)]]*FlipkartSales[[#This Row],[Quantity Sold]]</f>
        <v>41863.440000000002</v>
      </c>
      <c r="Q353">
        <f>FlipkartSales[[#This Row],[Total Sales (INR)]]-FlipkartSales[[#This Row],[Calculated Sales]]</f>
        <v>0</v>
      </c>
      <c r="R353" s="9">
        <f t="shared" si="40"/>
        <v>0.19999999999999998</v>
      </c>
      <c r="S353">
        <f t="shared" si="41"/>
        <v>13954.480000000001</v>
      </c>
      <c r="T353">
        <f t="shared" si="42"/>
        <v>2790.8960000000002</v>
      </c>
      <c r="U353">
        <f t="shared" si="43"/>
        <v>1</v>
      </c>
      <c r="V353" t="str">
        <f t="shared" si="44"/>
        <v>Q1</v>
      </c>
      <c r="W353" t="str">
        <f t="shared" si="45"/>
        <v>Jan-2025</v>
      </c>
      <c r="X353">
        <f t="shared" si="46"/>
        <v>10884.4944</v>
      </c>
      <c r="Y353" s="5">
        <f t="shared" si="47"/>
        <v>30978.945600000003</v>
      </c>
      <c r="Z353" s="21">
        <f>DATE(K353,MATCH(J353,{"January","February","March","April","May","June","July","August","September","October","November","December"},0),1)</f>
        <v>45658</v>
      </c>
    </row>
    <row r="354" spans="1:26" x14ac:dyDescent="0.3">
      <c r="A354" s="4" t="s">
        <v>422</v>
      </c>
      <c r="B354" s="4" t="s">
        <v>78</v>
      </c>
      <c r="C354" s="4" t="s">
        <v>24</v>
      </c>
      <c r="D354" s="5">
        <v>26166.89</v>
      </c>
      <c r="E354" s="6">
        <v>4</v>
      </c>
      <c r="F354" s="5">
        <v>104667.56</v>
      </c>
      <c r="G354" s="1">
        <v>45541</v>
      </c>
      <c r="H354" t="s">
        <v>71</v>
      </c>
      <c r="I354">
        <v>3.7</v>
      </c>
      <c r="J354" t="s">
        <v>19</v>
      </c>
      <c r="K354">
        <v>2024</v>
      </c>
      <c r="L354">
        <v>20933.512000000002</v>
      </c>
      <c r="M354">
        <v>18</v>
      </c>
      <c r="N354" t="s">
        <v>27</v>
      </c>
      <c r="O354" t="s">
        <v>28</v>
      </c>
      <c r="P354">
        <f>FlipkartSales[[#This Row],[Price (INR)]]*FlipkartSales[[#This Row],[Quantity Sold]]</f>
        <v>104667.56</v>
      </c>
      <c r="Q354">
        <f>FlipkartSales[[#This Row],[Total Sales (INR)]]-FlipkartSales[[#This Row],[Calculated Sales]]</f>
        <v>0</v>
      </c>
      <c r="R354" s="9">
        <f t="shared" si="40"/>
        <v>0.20000000000000004</v>
      </c>
      <c r="S354">
        <f t="shared" si="41"/>
        <v>26166.89</v>
      </c>
      <c r="T354">
        <f t="shared" si="42"/>
        <v>5233.3780000000006</v>
      </c>
      <c r="U354">
        <f t="shared" si="43"/>
        <v>9</v>
      </c>
      <c r="V354" t="str">
        <f t="shared" si="44"/>
        <v>Q3</v>
      </c>
      <c r="W354" t="str">
        <f t="shared" si="45"/>
        <v>Sep-2024</v>
      </c>
      <c r="X354">
        <f t="shared" si="46"/>
        <v>18840.160800000001</v>
      </c>
      <c r="Y354" s="5">
        <f t="shared" si="47"/>
        <v>85827.3992</v>
      </c>
      <c r="Z354" s="21">
        <f>DATE(K354,MATCH(J354,{"January","February","March","April","May","June","July","August","September","October","November","December"},0),1)</f>
        <v>45536</v>
      </c>
    </row>
    <row r="355" spans="1:26" x14ac:dyDescent="0.3">
      <c r="A355" s="4" t="s">
        <v>423</v>
      </c>
      <c r="B355" s="4" t="s">
        <v>94</v>
      </c>
      <c r="C355" s="4" t="s">
        <v>31</v>
      </c>
      <c r="D355" s="5">
        <v>45072.69</v>
      </c>
      <c r="E355" s="6">
        <v>2</v>
      </c>
      <c r="F355" s="5">
        <v>90145.38</v>
      </c>
      <c r="G355" s="1">
        <v>45656</v>
      </c>
      <c r="H355" t="s">
        <v>44</v>
      </c>
      <c r="I355">
        <v>2.6</v>
      </c>
      <c r="J355" t="s">
        <v>26</v>
      </c>
      <c r="K355">
        <v>2024</v>
      </c>
      <c r="L355">
        <v>18029.076000000001</v>
      </c>
      <c r="M355">
        <v>10</v>
      </c>
      <c r="N355" t="s">
        <v>41</v>
      </c>
      <c r="O355" t="s">
        <v>21</v>
      </c>
      <c r="P355">
        <f>FlipkartSales[[#This Row],[Price (INR)]]*FlipkartSales[[#This Row],[Quantity Sold]]</f>
        <v>90145.38</v>
      </c>
      <c r="Q355">
        <f>FlipkartSales[[#This Row],[Total Sales (INR)]]-FlipkartSales[[#This Row],[Calculated Sales]]</f>
        <v>0</v>
      </c>
      <c r="R355" s="9">
        <f t="shared" si="40"/>
        <v>0.2</v>
      </c>
      <c r="S355">
        <f t="shared" si="41"/>
        <v>45072.69</v>
      </c>
      <c r="T355">
        <f t="shared" si="42"/>
        <v>9014.5380000000005</v>
      </c>
      <c r="U355">
        <f t="shared" si="43"/>
        <v>12</v>
      </c>
      <c r="V355" t="str">
        <f t="shared" si="44"/>
        <v>Q4</v>
      </c>
      <c r="W355" t="str">
        <f t="shared" si="45"/>
        <v>Dec-2024</v>
      </c>
      <c r="X355">
        <f t="shared" si="46"/>
        <v>9014.5380000000005</v>
      </c>
      <c r="Y355" s="5">
        <f t="shared" si="47"/>
        <v>81130.842000000004</v>
      </c>
      <c r="Z355" s="21">
        <f>DATE(K355,MATCH(J355,{"January","February","March","April","May","June","July","August","September","October","November","December"},0),1)</f>
        <v>45627</v>
      </c>
    </row>
    <row r="356" spans="1:26" x14ac:dyDescent="0.3">
      <c r="A356" s="4" t="s">
        <v>424</v>
      </c>
      <c r="B356" s="4" t="s">
        <v>78</v>
      </c>
      <c r="C356" s="4" t="s">
        <v>24</v>
      </c>
      <c r="D356" s="5">
        <v>33543.19</v>
      </c>
      <c r="E356" s="6">
        <v>2</v>
      </c>
      <c r="F356" s="5">
        <v>67086.38</v>
      </c>
      <c r="G356" s="1">
        <v>45360</v>
      </c>
      <c r="H356" t="s">
        <v>25</v>
      </c>
      <c r="I356">
        <v>3.7</v>
      </c>
      <c r="J356" t="s">
        <v>56</v>
      </c>
      <c r="K356">
        <v>2024</v>
      </c>
      <c r="L356">
        <v>13417.276000000002</v>
      </c>
      <c r="M356">
        <v>10</v>
      </c>
      <c r="N356" t="s">
        <v>27</v>
      </c>
      <c r="O356" t="s">
        <v>28</v>
      </c>
      <c r="P356">
        <f>FlipkartSales[[#This Row],[Price (INR)]]*FlipkartSales[[#This Row],[Quantity Sold]]</f>
        <v>67086.38</v>
      </c>
      <c r="Q356">
        <f>FlipkartSales[[#This Row],[Total Sales (INR)]]-FlipkartSales[[#This Row],[Calculated Sales]]</f>
        <v>0</v>
      </c>
      <c r="R356" s="9">
        <f t="shared" si="40"/>
        <v>0.2</v>
      </c>
      <c r="S356">
        <f t="shared" si="41"/>
        <v>33543.19</v>
      </c>
      <c r="T356">
        <f t="shared" si="42"/>
        <v>6708.6380000000008</v>
      </c>
      <c r="U356">
        <f t="shared" si="43"/>
        <v>3</v>
      </c>
      <c r="V356" t="str">
        <f t="shared" si="44"/>
        <v>Q1</v>
      </c>
      <c r="W356" t="str">
        <f t="shared" si="45"/>
        <v>Mar-2024</v>
      </c>
      <c r="X356">
        <f t="shared" si="46"/>
        <v>6708.6380000000008</v>
      </c>
      <c r="Y356" s="5">
        <f t="shared" si="47"/>
        <v>60377.742000000006</v>
      </c>
      <c r="Z356" s="21">
        <f>DATE(K356,MATCH(J356,{"January","February","March","April","May","June","July","August","September","October","November","December"},0),1)</f>
        <v>45352</v>
      </c>
    </row>
    <row r="357" spans="1:26" x14ac:dyDescent="0.3">
      <c r="A357" s="4" t="s">
        <v>425</v>
      </c>
      <c r="B357" s="4" t="s">
        <v>125</v>
      </c>
      <c r="C357" s="4" t="s">
        <v>17</v>
      </c>
      <c r="D357" s="5">
        <v>34116.230000000003</v>
      </c>
      <c r="E357" s="6">
        <v>3</v>
      </c>
      <c r="F357" s="5">
        <v>102348.69</v>
      </c>
      <c r="G357" s="1">
        <v>45371</v>
      </c>
      <c r="H357" t="s">
        <v>44</v>
      </c>
      <c r="I357">
        <v>1.4</v>
      </c>
      <c r="J357" t="s">
        <v>56</v>
      </c>
      <c r="K357">
        <v>2024</v>
      </c>
      <c r="L357">
        <v>20469.738000000001</v>
      </c>
      <c r="M357">
        <v>17</v>
      </c>
      <c r="N357" t="s">
        <v>20</v>
      </c>
      <c r="O357" t="s">
        <v>28</v>
      </c>
      <c r="P357">
        <f>FlipkartSales[[#This Row],[Price (INR)]]*FlipkartSales[[#This Row],[Quantity Sold]]</f>
        <v>102348.69</v>
      </c>
      <c r="Q357">
        <f>FlipkartSales[[#This Row],[Total Sales (INR)]]-FlipkartSales[[#This Row],[Calculated Sales]]</f>
        <v>0</v>
      </c>
      <c r="R357" s="9">
        <f t="shared" si="40"/>
        <v>0.2</v>
      </c>
      <c r="S357">
        <f t="shared" si="41"/>
        <v>34116.230000000003</v>
      </c>
      <c r="T357">
        <f t="shared" si="42"/>
        <v>6823.2460000000001</v>
      </c>
      <c r="U357">
        <f t="shared" si="43"/>
        <v>3</v>
      </c>
      <c r="V357" t="str">
        <f t="shared" si="44"/>
        <v>Q1</v>
      </c>
      <c r="W357" t="str">
        <f t="shared" si="45"/>
        <v>Mar-2024</v>
      </c>
      <c r="X357">
        <f t="shared" si="46"/>
        <v>17399.277300000002</v>
      </c>
      <c r="Y357" s="5">
        <f t="shared" si="47"/>
        <v>84949.412700000001</v>
      </c>
      <c r="Z357" s="21">
        <f>DATE(K357,MATCH(J357,{"January","February","March","April","May","June","July","August","September","October","November","December"},0),1)</f>
        <v>45352</v>
      </c>
    </row>
    <row r="358" spans="1:26" x14ac:dyDescent="0.3">
      <c r="A358" s="4" t="s">
        <v>426</v>
      </c>
      <c r="B358" s="4" t="s">
        <v>125</v>
      </c>
      <c r="C358" s="4" t="s">
        <v>17</v>
      </c>
      <c r="D358" s="5">
        <v>15466.4</v>
      </c>
      <c r="E358" s="6">
        <v>5</v>
      </c>
      <c r="F358" s="5">
        <v>77332</v>
      </c>
      <c r="G358" s="1">
        <v>45502</v>
      </c>
      <c r="H358" t="s">
        <v>44</v>
      </c>
      <c r="I358">
        <v>2.9</v>
      </c>
      <c r="J358" t="s">
        <v>48</v>
      </c>
      <c r="K358">
        <v>2024</v>
      </c>
      <c r="L358">
        <v>15466.400000000001</v>
      </c>
      <c r="M358">
        <v>23</v>
      </c>
      <c r="N358" t="s">
        <v>20</v>
      </c>
      <c r="O358" t="s">
        <v>33</v>
      </c>
      <c r="P358">
        <f>FlipkartSales[[#This Row],[Price (INR)]]*FlipkartSales[[#This Row],[Quantity Sold]]</f>
        <v>77332</v>
      </c>
      <c r="Q358">
        <f>FlipkartSales[[#This Row],[Total Sales (INR)]]-FlipkartSales[[#This Row],[Calculated Sales]]</f>
        <v>0</v>
      </c>
      <c r="R358" s="9">
        <f t="shared" si="40"/>
        <v>0.2</v>
      </c>
      <c r="S358">
        <f t="shared" si="41"/>
        <v>15466.4</v>
      </c>
      <c r="T358">
        <f t="shared" si="42"/>
        <v>3093.28</v>
      </c>
      <c r="U358">
        <f t="shared" si="43"/>
        <v>7</v>
      </c>
      <c r="V358" t="str">
        <f t="shared" si="44"/>
        <v>Q3</v>
      </c>
      <c r="W358" t="str">
        <f t="shared" si="45"/>
        <v>Jul-2024</v>
      </c>
      <c r="X358">
        <f t="shared" si="46"/>
        <v>17786.36</v>
      </c>
      <c r="Y358" s="5">
        <f t="shared" si="47"/>
        <v>59545.64</v>
      </c>
      <c r="Z358" s="21">
        <f>DATE(K358,MATCH(J358,{"January","February","March","April","May","June","July","August","September","October","November","December"},0),1)</f>
        <v>45474</v>
      </c>
    </row>
    <row r="359" spans="1:26" x14ac:dyDescent="0.3">
      <c r="A359" s="4" t="s">
        <v>427</v>
      </c>
      <c r="B359" s="4" t="s">
        <v>96</v>
      </c>
      <c r="C359" s="4" t="s">
        <v>36</v>
      </c>
      <c r="D359" s="5">
        <v>19879.400000000001</v>
      </c>
      <c r="E359" s="6">
        <v>4</v>
      </c>
      <c r="F359" s="5">
        <v>79517.600000000006</v>
      </c>
      <c r="G359" s="1">
        <v>45366</v>
      </c>
      <c r="H359" t="s">
        <v>18</v>
      </c>
      <c r="I359">
        <v>3.2</v>
      </c>
      <c r="J359" t="s">
        <v>56</v>
      </c>
      <c r="K359">
        <v>2024</v>
      </c>
      <c r="L359">
        <v>15903.520000000002</v>
      </c>
      <c r="M359">
        <v>26</v>
      </c>
      <c r="N359" t="s">
        <v>27</v>
      </c>
      <c r="O359" t="s">
        <v>33</v>
      </c>
      <c r="P359">
        <f>FlipkartSales[[#This Row],[Price (INR)]]*FlipkartSales[[#This Row],[Quantity Sold]]</f>
        <v>79517.600000000006</v>
      </c>
      <c r="Q359">
        <f>FlipkartSales[[#This Row],[Total Sales (INR)]]-FlipkartSales[[#This Row],[Calculated Sales]]</f>
        <v>0</v>
      </c>
      <c r="R359" s="9">
        <f t="shared" si="40"/>
        <v>0.2</v>
      </c>
      <c r="S359">
        <f t="shared" si="41"/>
        <v>19879.400000000001</v>
      </c>
      <c r="T359">
        <f t="shared" si="42"/>
        <v>3975.8800000000006</v>
      </c>
      <c r="U359">
        <f t="shared" si="43"/>
        <v>3</v>
      </c>
      <c r="V359" t="str">
        <f t="shared" si="44"/>
        <v>Q1</v>
      </c>
      <c r="W359" t="str">
        <f t="shared" si="45"/>
        <v>Mar-2024</v>
      </c>
      <c r="X359">
        <f t="shared" si="46"/>
        <v>20674.576000000001</v>
      </c>
      <c r="Y359" s="5">
        <f t="shared" si="47"/>
        <v>58843.024000000005</v>
      </c>
      <c r="Z359" s="21">
        <f>DATE(K359,MATCH(J359,{"January","February","March","April","May","June","July","August","September","October","November","December"},0),1)</f>
        <v>45352</v>
      </c>
    </row>
    <row r="360" spans="1:26" x14ac:dyDescent="0.3">
      <c r="A360" s="4" t="s">
        <v>428</v>
      </c>
      <c r="B360" s="4" t="s">
        <v>145</v>
      </c>
      <c r="C360" s="4" t="s">
        <v>40</v>
      </c>
      <c r="D360" s="5">
        <v>11914.15</v>
      </c>
      <c r="E360" s="6">
        <v>2</v>
      </c>
      <c r="F360" s="5">
        <v>23828.3</v>
      </c>
      <c r="G360" s="1">
        <v>45453</v>
      </c>
      <c r="H360" t="s">
        <v>44</v>
      </c>
      <c r="I360">
        <v>2.4</v>
      </c>
      <c r="J360" t="s">
        <v>67</v>
      </c>
      <c r="K360">
        <v>2024</v>
      </c>
      <c r="L360">
        <v>4765.66</v>
      </c>
      <c r="M360">
        <v>12</v>
      </c>
      <c r="N360" t="s">
        <v>27</v>
      </c>
      <c r="O360" t="s">
        <v>21</v>
      </c>
      <c r="P360">
        <f>FlipkartSales[[#This Row],[Price (INR)]]*FlipkartSales[[#This Row],[Quantity Sold]]</f>
        <v>23828.3</v>
      </c>
      <c r="Q360">
        <f>FlipkartSales[[#This Row],[Total Sales (INR)]]-FlipkartSales[[#This Row],[Calculated Sales]]</f>
        <v>0</v>
      </c>
      <c r="R360" s="9">
        <f t="shared" si="40"/>
        <v>0.2</v>
      </c>
      <c r="S360">
        <f t="shared" si="41"/>
        <v>11914.15</v>
      </c>
      <c r="T360">
        <f t="shared" si="42"/>
        <v>2382.83</v>
      </c>
      <c r="U360">
        <f t="shared" si="43"/>
        <v>6</v>
      </c>
      <c r="V360" t="str">
        <f t="shared" si="44"/>
        <v>Q2</v>
      </c>
      <c r="W360" t="str">
        <f t="shared" si="45"/>
        <v>Jun-2024</v>
      </c>
      <c r="X360">
        <f t="shared" si="46"/>
        <v>2859.3959999999997</v>
      </c>
      <c r="Y360" s="5">
        <f t="shared" si="47"/>
        <v>20968.903999999999</v>
      </c>
      <c r="Z360" s="21">
        <f>DATE(K360,MATCH(J360,{"January","February","March","April","May","June","July","August","September","October","November","December"},0),1)</f>
        <v>45444</v>
      </c>
    </row>
    <row r="361" spans="1:26" x14ac:dyDescent="0.3">
      <c r="A361" s="4" t="s">
        <v>429</v>
      </c>
      <c r="B361" s="4" t="s">
        <v>176</v>
      </c>
      <c r="C361" s="4" t="s">
        <v>24</v>
      </c>
      <c r="D361" s="5">
        <v>7936.32</v>
      </c>
      <c r="E361" s="6">
        <v>4</v>
      </c>
      <c r="F361" s="5">
        <v>31745.279999999999</v>
      </c>
      <c r="G361" s="1">
        <v>45556</v>
      </c>
      <c r="H361" t="s">
        <v>71</v>
      </c>
      <c r="I361">
        <v>1.5</v>
      </c>
      <c r="J361" t="s">
        <v>19</v>
      </c>
      <c r="K361">
        <v>2024</v>
      </c>
      <c r="L361">
        <v>6349.0560000000005</v>
      </c>
      <c r="M361">
        <v>6</v>
      </c>
      <c r="N361" t="s">
        <v>27</v>
      </c>
      <c r="O361" t="s">
        <v>33</v>
      </c>
      <c r="P361">
        <f>FlipkartSales[[#This Row],[Price (INR)]]*FlipkartSales[[#This Row],[Quantity Sold]]</f>
        <v>31745.279999999999</v>
      </c>
      <c r="Q361">
        <f>FlipkartSales[[#This Row],[Total Sales (INR)]]-FlipkartSales[[#This Row],[Calculated Sales]]</f>
        <v>0</v>
      </c>
      <c r="R361" s="9">
        <f t="shared" si="40"/>
        <v>0.2</v>
      </c>
      <c r="S361">
        <f t="shared" si="41"/>
        <v>7936.32</v>
      </c>
      <c r="T361">
        <f t="shared" si="42"/>
        <v>1587.2640000000001</v>
      </c>
      <c r="U361">
        <f t="shared" si="43"/>
        <v>9</v>
      </c>
      <c r="V361" t="str">
        <f t="shared" si="44"/>
        <v>Q3</v>
      </c>
      <c r="W361" t="str">
        <f t="shared" si="45"/>
        <v>Sep-2024</v>
      </c>
      <c r="X361">
        <f t="shared" si="46"/>
        <v>1904.7167999999999</v>
      </c>
      <c r="Y361" s="5">
        <f t="shared" si="47"/>
        <v>29840.563200000001</v>
      </c>
      <c r="Z361" s="21">
        <f>DATE(K361,MATCH(J361,{"January","February","March","April","May","June","July","August","September","October","November","December"},0),1)</f>
        <v>45536</v>
      </c>
    </row>
    <row r="362" spans="1:26" x14ac:dyDescent="0.3">
      <c r="A362" s="4" t="s">
        <v>430</v>
      </c>
      <c r="B362" s="4" t="s">
        <v>16</v>
      </c>
      <c r="C362" s="4" t="s">
        <v>17</v>
      </c>
      <c r="D362" s="5">
        <v>7633.85</v>
      </c>
      <c r="E362" s="6">
        <v>2</v>
      </c>
      <c r="F362" s="5">
        <v>15267.7</v>
      </c>
      <c r="G362" s="1">
        <v>45536</v>
      </c>
      <c r="H362" t="s">
        <v>80</v>
      </c>
      <c r="I362">
        <v>3.8</v>
      </c>
      <c r="J362" t="s">
        <v>19</v>
      </c>
      <c r="K362">
        <v>2024</v>
      </c>
      <c r="L362">
        <v>3053.5400000000004</v>
      </c>
      <c r="M362">
        <v>25</v>
      </c>
      <c r="N362" t="s">
        <v>41</v>
      </c>
      <c r="O362" t="s">
        <v>33</v>
      </c>
      <c r="P362">
        <f>FlipkartSales[[#This Row],[Price (INR)]]*FlipkartSales[[#This Row],[Quantity Sold]]</f>
        <v>15267.7</v>
      </c>
      <c r="Q362">
        <f>FlipkartSales[[#This Row],[Total Sales (INR)]]-FlipkartSales[[#This Row],[Calculated Sales]]</f>
        <v>0</v>
      </c>
      <c r="R362" s="9">
        <f t="shared" si="40"/>
        <v>0.2</v>
      </c>
      <c r="S362">
        <f t="shared" si="41"/>
        <v>7633.85</v>
      </c>
      <c r="T362">
        <f t="shared" si="42"/>
        <v>1526.7700000000002</v>
      </c>
      <c r="U362">
        <f t="shared" si="43"/>
        <v>9</v>
      </c>
      <c r="V362" t="str">
        <f t="shared" si="44"/>
        <v>Q3</v>
      </c>
      <c r="W362" t="str">
        <f t="shared" si="45"/>
        <v>Sep-2024</v>
      </c>
      <c r="X362">
        <f t="shared" si="46"/>
        <v>3816.9250000000002</v>
      </c>
      <c r="Y362" s="5">
        <f t="shared" si="47"/>
        <v>11450.775000000001</v>
      </c>
      <c r="Z362" s="21">
        <f>DATE(K362,MATCH(J362,{"January","February","March","April","May","June","July","August","September","October","November","December"},0),1)</f>
        <v>45536</v>
      </c>
    </row>
    <row r="363" spans="1:26" x14ac:dyDescent="0.3">
      <c r="A363" s="4" t="s">
        <v>431</v>
      </c>
      <c r="B363" s="4" t="s">
        <v>30</v>
      </c>
      <c r="C363" s="4" t="s">
        <v>31</v>
      </c>
      <c r="D363" s="5">
        <v>2470.8200000000002</v>
      </c>
      <c r="E363" s="6">
        <v>4</v>
      </c>
      <c r="F363" s="5">
        <v>9883.2800000000007</v>
      </c>
      <c r="G363" s="1">
        <v>45438</v>
      </c>
      <c r="H363" t="s">
        <v>25</v>
      </c>
      <c r="I363">
        <v>2</v>
      </c>
      <c r="J363" t="s">
        <v>32</v>
      </c>
      <c r="K363">
        <v>2024</v>
      </c>
      <c r="L363">
        <v>1976.6560000000002</v>
      </c>
      <c r="M363">
        <v>5</v>
      </c>
      <c r="N363" t="s">
        <v>27</v>
      </c>
      <c r="O363" t="s">
        <v>21</v>
      </c>
      <c r="P363">
        <f>FlipkartSales[[#This Row],[Price (INR)]]*FlipkartSales[[#This Row],[Quantity Sold]]</f>
        <v>9883.2800000000007</v>
      </c>
      <c r="Q363">
        <f>FlipkartSales[[#This Row],[Total Sales (INR)]]-FlipkartSales[[#This Row],[Calculated Sales]]</f>
        <v>0</v>
      </c>
      <c r="R363" s="9">
        <f t="shared" si="40"/>
        <v>0.2</v>
      </c>
      <c r="S363">
        <f t="shared" si="41"/>
        <v>2470.8200000000002</v>
      </c>
      <c r="T363">
        <f t="shared" si="42"/>
        <v>494.16400000000004</v>
      </c>
      <c r="U363">
        <f t="shared" si="43"/>
        <v>5</v>
      </c>
      <c r="V363" t="str">
        <f t="shared" si="44"/>
        <v>Q2</v>
      </c>
      <c r="W363" t="str">
        <f t="shared" si="45"/>
        <v>May-2024</v>
      </c>
      <c r="X363">
        <f t="shared" si="46"/>
        <v>494.16399999999999</v>
      </c>
      <c r="Y363" s="5">
        <f t="shared" si="47"/>
        <v>9389.116</v>
      </c>
      <c r="Z363" s="21">
        <f>DATE(K363,MATCH(J363,{"January","February","March","April","May","June","July","August","September","October","November","December"},0),1)</f>
        <v>45413</v>
      </c>
    </row>
    <row r="364" spans="1:26" x14ac:dyDescent="0.3">
      <c r="A364" s="4" t="s">
        <v>432</v>
      </c>
      <c r="B364" s="4" t="s">
        <v>145</v>
      </c>
      <c r="C364" s="4" t="s">
        <v>40</v>
      </c>
      <c r="D364" s="5">
        <v>908.47</v>
      </c>
      <c r="E364" s="6">
        <v>3</v>
      </c>
      <c r="F364" s="5">
        <v>2725.41</v>
      </c>
      <c r="G364" s="1">
        <v>45562</v>
      </c>
      <c r="H364" t="s">
        <v>64</v>
      </c>
      <c r="I364">
        <v>4.5999999999999996</v>
      </c>
      <c r="J364" t="s">
        <v>19</v>
      </c>
      <c r="K364">
        <v>2024</v>
      </c>
      <c r="L364">
        <v>545.08199999999999</v>
      </c>
      <c r="M364">
        <v>19</v>
      </c>
      <c r="N364" t="s">
        <v>27</v>
      </c>
      <c r="O364" t="s">
        <v>33</v>
      </c>
      <c r="P364">
        <f>FlipkartSales[[#This Row],[Price (INR)]]*FlipkartSales[[#This Row],[Quantity Sold]]</f>
        <v>2725.41</v>
      </c>
      <c r="Q364">
        <f>FlipkartSales[[#This Row],[Total Sales (INR)]]-FlipkartSales[[#This Row],[Calculated Sales]]</f>
        <v>0</v>
      </c>
      <c r="R364" s="9">
        <f t="shared" si="40"/>
        <v>0.2</v>
      </c>
      <c r="S364">
        <f t="shared" si="41"/>
        <v>908.46999999999991</v>
      </c>
      <c r="T364">
        <f t="shared" si="42"/>
        <v>181.69399999999999</v>
      </c>
      <c r="U364">
        <f t="shared" si="43"/>
        <v>9</v>
      </c>
      <c r="V364" t="str">
        <f t="shared" si="44"/>
        <v>Q3</v>
      </c>
      <c r="W364" t="str">
        <f t="shared" si="45"/>
        <v>Sep-2024</v>
      </c>
      <c r="X364">
        <f t="shared" si="46"/>
        <v>517.82789999999989</v>
      </c>
      <c r="Y364" s="5">
        <f t="shared" si="47"/>
        <v>2207.5821000000001</v>
      </c>
      <c r="Z364" s="21">
        <f>DATE(K364,MATCH(J364,{"January","February","March","April","May","June","July","August","September","October","November","December"},0),1)</f>
        <v>45536</v>
      </c>
    </row>
    <row r="365" spans="1:26" x14ac:dyDescent="0.3">
      <c r="A365" s="4" t="s">
        <v>433</v>
      </c>
      <c r="B365" s="4" t="s">
        <v>50</v>
      </c>
      <c r="C365" s="4" t="s">
        <v>40</v>
      </c>
      <c r="D365" s="5">
        <v>14102.56</v>
      </c>
      <c r="E365" s="6">
        <v>4</v>
      </c>
      <c r="F365" s="5">
        <v>56410.239999999998</v>
      </c>
      <c r="G365" s="1">
        <v>45555</v>
      </c>
      <c r="H365" t="s">
        <v>64</v>
      </c>
      <c r="I365">
        <v>2.9</v>
      </c>
      <c r="J365" t="s">
        <v>19</v>
      </c>
      <c r="K365">
        <v>2024</v>
      </c>
      <c r="L365">
        <v>11282.048000000001</v>
      </c>
      <c r="M365">
        <v>5</v>
      </c>
      <c r="N365" t="s">
        <v>27</v>
      </c>
      <c r="O365" t="s">
        <v>68</v>
      </c>
      <c r="P365">
        <f>FlipkartSales[[#This Row],[Price (INR)]]*FlipkartSales[[#This Row],[Quantity Sold]]</f>
        <v>56410.239999999998</v>
      </c>
      <c r="Q365">
        <f>FlipkartSales[[#This Row],[Total Sales (INR)]]-FlipkartSales[[#This Row],[Calculated Sales]]</f>
        <v>0</v>
      </c>
      <c r="R365" s="9">
        <f t="shared" si="40"/>
        <v>0.2</v>
      </c>
      <c r="S365">
        <f t="shared" si="41"/>
        <v>14102.56</v>
      </c>
      <c r="T365">
        <f t="shared" si="42"/>
        <v>2820.5120000000002</v>
      </c>
      <c r="U365">
        <f t="shared" si="43"/>
        <v>9</v>
      </c>
      <c r="V365" t="str">
        <f t="shared" si="44"/>
        <v>Q3</v>
      </c>
      <c r="W365" t="str">
        <f t="shared" si="45"/>
        <v>Sep-2024</v>
      </c>
      <c r="X365">
        <f t="shared" si="46"/>
        <v>2820.5120000000002</v>
      </c>
      <c r="Y365" s="5">
        <f t="shared" si="47"/>
        <v>53589.727999999996</v>
      </c>
      <c r="Z365" s="21">
        <f>DATE(K365,MATCH(J365,{"January","February","March","April","May","June","July","August","September","October","November","December"},0),1)</f>
        <v>45536</v>
      </c>
    </row>
    <row r="366" spans="1:26" x14ac:dyDescent="0.3">
      <c r="A366" s="4" t="s">
        <v>434</v>
      </c>
      <c r="B366" s="4" t="s">
        <v>96</v>
      </c>
      <c r="C366" s="4" t="s">
        <v>36</v>
      </c>
      <c r="D366" s="5">
        <v>23287.93</v>
      </c>
      <c r="E366" s="6">
        <v>4</v>
      </c>
      <c r="F366" s="5">
        <v>93151.72</v>
      </c>
      <c r="G366" s="1">
        <v>45518</v>
      </c>
      <c r="H366" t="s">
        <v>18</v>
      </c>
      <c r="I366">
        <v>2</v>
      </c>
      <c r="J366" t="s">
        <v>88</v>
      </c>
      <c r="K366">
        <v>2024</v>
      </c>
      <c r="L366">
        <v>18630.344000000001</v>
      </c>
      <c r="M366">
        <v>9</v>
      </c>
      <c r="N366" t="s">
        <v>20</v>
      </c>
      <c r="O366" t="s">
        <v>28</v>
      </c>
      <c r="P366">
        <f>FlipkartSales[[#This Row],[Price (INR)]]*FlipkartSales[[#This Row],[Quantity Sold]]</f>
        <v>93151.72</v>
      </c>
      <c r="Q366">
        <f>FlipkartSales[[#This Row],[Total Sales (INR)]]-FlipkartSales[[#This Row],[Calculated Sales]]</f>
        <v>0</v>
      </c>
      <c r="R366" s="9">
        <f t="shared" si="40"/>
        <v>0.2</v>
      </c>
      <c r="S366">
        <f t="shared" si="41"/>
        <v>23287.93</v>
      </c>
      <c r="T366">
        <f t="shared" si="42"/>
        <v>4657.5860000000002</v>
      </c>
      <c r="U366">
        <f t="shared" si="43"/>
        <v>8</v>
      </c>
      <c r="V366" t="str">
        <f t="shared" si="44"/>
        <v>Q3</v>
      </c>
      <c r="W366" t="str">
        <f t="shared" si="45"/>
        <v>Aug-2024</v>
      </c>
      <c r="X366">
        <f t="shared" si="46"/>
        <v>8383.6548000000003</v>
      </c>
      <c r="Y366" s="5">
        <f t="shared" si="47"/>
        <v>84768.065199999997</v>
      </c>
      <c r="Z366" s="21">
        <f>DATE(K366,MATCH(J366,{"January","February","March","April","May","June","July","August","September","October","November","December"},0),1)</f>
        <v>45505</v>
      </c>
    </row>
    <row r="367" spans="1:26" x14ac:dyDescent="0.3">
      <c r="A367" s="4" t="s">
        <v>435</v>
      </c>
      <c r="B367" s="4" t="s">
        <v>43</v>
      </c>
      <c r="C367" s="4" t="s">
        <v>40</v>
      </c>
      <c r="D367" s="5">
        <v>41333.21</v>
      </c>
      <c r="E367" s="6">
        <v>1</v>
      </c>
      <c r="F367" s="5">
        <v>41333.21</v>
      </c>
      <c r="G367" s="1">
        <v>45685</v>
      </c>
      <c r="H367" t="s">
        <v>80</v>
      </c>
      <c r="I367">
        <v>4</v>
      </c>
      <c r="J367" t="s">
        <v>53</v>
      </c>
      <c r="K367">
        <v>2025</v>
      </c>
      <c r="L367">
        <v>8266.6419999999998</v>
      </c>
      <c r="M367">
        <v>20</v>
      </c>
      <c r="N367" t="s">
        <v>20</v>
      </c>
      <c r="O367" t="s">
        <v>28</v>
      </c>
      <c r="P367">
        <f>FlipkartSales[[#This Row],[Price (INR)]]*FlipkartSales[[#This Row],[Quantity Sold]]</f>
        <v>41333.21</v>
      </c>
      <c r="Q367">
        <f>FlipkartSales[[#This Row],[Total Sales (INR)]]-FlipkartSales[[#This Row],[Calculated Sales]]</f>
        <v>0</v>
      </c>
      <c r="R367" s="9">
        <f t="shared" si="40"/>
        <v>0.2</v>
      </c>
      <c r="S367">
        <f t="shared" si="41"/>
        <v>41333.21</v>
      </c>
      <c r="T367">
        <f t="shared" si="42"/>
        <v>8266.6419999999998</v>
      </c>
      <c r="U367">
        <f t="shared" si="43"/>
        <v>1</v>
      </c>
      <c r="V367" t="str">
        <f t="shared" si="44"/>
        <v>Q1</v>
      </c>
      <c r="W367" t="str">
        <f t="shared" si="45"/>
        <v>Jan-2025</v>
      </c>
      <c r="X367">
        <f t="shared" si="46"/>
        <v>8266.6419999999998</v>
      </c>
      <c r="Y367" s="5">
        <f t="shared" si="47"/>
        <v>33066.567999999999</v>
      </c>
      <c r="Z367" s="21">
        <f>DATE(K367,MATCH(J367,{"January","February","March","April","May","June","July","August","September","October","November","December"},0),1)</f>
        <v>45658</v>
      </c>
    </row>
    <row r="368" spans="1:26" x14ac:dyDescent="0.3">
      <c r="A368" s="4" t="s">
        <v>436</v>
      </c>
      <c r="B368" s="4" t="s">
        <v>16</v>
      </c>
      <c r="C368" s="4" t="s">
        <v>17</v>
      </c>
      <c r="D368" s="5">
        <v>35304.99</v>
      </c>
      <c r="E368" s="6">
        <v>1</v>
      </c>
      <c r="F368" s="5">
        <v>35304.99</v>
      </c>
      <c r="G368" s="1">
        <v>45510</v>
      </c>
      <c r="H368" t="s">
        <v>64</v>
      </c>
      <c r="I368">
        <v>2</v>
      </c>
      <c r="J368" t="s">
        <v>88</v>
      </c>
      <c r="K368">
        <v>2024</v>
      </c>
      <c r="L368">
        <v>7060.9979999999996</v>
      </c>
      <c r="M368">
        <v>23</v>
      </c>
      <c r="N368" t="s">
        <v>41</v>
      </c>
      <c r="O368" t="s">
        <v>28</v>
      </c>
      <c r="P368">
        <f>FlipkartSales[[#This Row],[Price (INR)]]*FlipkartSales[[#This Row],[Quantity Sold]]</f>
        <v>35304.99</v>
      </c>
      <c r="Q368">
        <f>FlipkartSales[[#This Row],[Total Sales (INR)]]-FlipkartSales[[#This Row],[Calculated Sales]]</f>
        <v>0</v>
      </c>
      <c r="R368" s="9">
        <f t="shared" si="40"/>
        <v>0.2</v>
      </c>
      <c r="S368">
        <f t="shared" si="41"/>
        <v>35304.99</v>
      </c>
      <c r="T368">
        <f t="shared" si="42"/>
        <v>7060.9979999999996</v>
      </c>
      <c r="U368">
        <f t="shared" si="43"/>
        <v>8</v>
      </c>
      <c r="V368" t="str">
        <f t="shared" si="44"/>
        <v>Q3</v>
      </c>
      <c r="W368" t="str">
        <f t="shared" si="45"/>
        <v>Aug-2024</v>
      </c>
      <c r="X368">
        <f t="shared" si="46"/>
        <v>8120.1476999999986</v>
      </c>
      <c r="Y368" s="5">
        <f t="shared" si="47"/>
        <v>27184.8423</v>
      </c>
      <c r="Z368" s="21">
        <f>DATE(K368,MATCH(J368,{"January","February","March","April","May","June","July","August","September","October","November","December"},0),1)</f>
        <v>45505</v>
      </c>
    </row>
    <row r="369" spans="1:26" x14ac:dyDescent="0.3">
      <c r="A369" s="4" t="s">
        <v>437</v>
      </c>
      <c r="B369" s="4" t="s">
        <v>23</v>
      </c>
      <c r="C369" s="4" t="s">
        <v>24</v>
      </c>
      <c r="D369" s="5">
        <v>22335.58</v>
      </c>
      <c r="E369" s="6">
        <v>2</v>
      </c>
      <c r="F369" s="5">
        <v>44671.16</v>
      </c>
      <c r="G369" s="1">
        <v>45504</v>
      </c>
      <c r="H369" t="s">
        <v>44</v>
      </c>
      <c r="I369">
        <v>3.8</v>
      </c>
      <c r="J369" t="s">
        <v>48</v>
      </c>
      <c r="K369">
        <v>2024</v>
      </c>
      <c r="L369">
        <v>8934.2320000000018</v>
      </c>
      <c r="M369">
        <v>8</v>
      </c>
      <c r="N369" t="s">
        <v>41</v>
      </c>
      <c r="O369" t="s">
        <v>28</v>
      </c>
      <c r="P369">
        <f>FlipkartSales[[#This Row],[Price (INR)]]*FlipkartSales[[#This Row],[Quantity Sold]]</f>
        <v>44671.16</v>
      </c>
      <c r="Q369">
        <f>FlipkartSales[[#This Row],[Total Sales (INR)]]-FlipkartSales[[#This Row],[Calculated Sales]]</f>
        <v>0</v>
      </c>
      <c r="R369" s="9">
        <f t="shared" si="40"/>
        <v>0.2</v>
      </c>
      <c r="S369">
        <f t="shared" si="41"/>
        <v>22335.58</v>
      </c>
      <c r="T369">
        <f t="shared" si="42"/>
        <v>4467.1160000000009</v>
      </c>
      <c r="U369">
        <f t="shared" si="43"/>
        <v>7</v>
      </c>
      <c r="V369" t="str">
        <f t="shared" si="44"/>
        <v>Q3</v>
      </c>
      <c r="W369" t="str">
        <f t="shared" si="45"/>
        <v>Jul-2024</v>
      </c>
      <c r="X369">
        <f t="shared" si="46"/>
        <v>3573.6928000000003</v>
      </c>
      <c r="Y369" s="5">
        <f t="shared" si="47"/>
        <v>41097.467200000006</v>
      </c>
      <c r="Z369" s="21">
        <f>DATE(K369,MATCH(J369,{"January","February","March","April","May","June","July","August","September","October","November","December"},0),1)</f>
        <v>45474</v>
      </c>
    </row>
    <row r="370" spans="1:26" x14ac:dyDescent="0.3">
      <c r="A370" s="4" t="s">
        <v>438</v>
      </c>
      <c r="B370" s="4" t="s">
        <v>39</v>
      </c>
      <c r="C370" s="4" t="s">
        <v>40</v>
      </c>
      <c r="D370" s="5">
        <v>40486.080000000002</v>
      </c>
      <c r="E370" s="6">
        <v>5</v>
      </c>
      <c r="F370" s="5">
        <v>202430.4</v>
      </c>
      <c r="G370" s="1">
        <v>45622</v>
      </c>
      <c r="H370" t="s">
        <v>44</v>
      </c>
      <c r="I370">
        <v>3.6</v>
      </c>
      <c r="J370" t="s">
        <v>37</v>
      </c>
      <c r="K370">
        <v>2024</v>
      </c>
      <c r="L370">
        <v>40486.080000000002</v>
      </c>
      <c r="M370">
        <v>7</v>
      </c>
      <c r="N370" t="s">
        <v>20</v>
      </c>
      <c r="O370" t="s">
        <v>21</v>
      </c>
      <c r="P370">
        <f>FlipkartSales[[#This Row],[Price (INR)]]*FlipkartSales[[#This Row],[Quantity Sold]]</f>
        <v>202430.40000000002</v>
      </c>
      <c r="Q370">
        <f>FlipkartSales[[#This Row],[Total Sales (INR)]]-FlipkartSales[[#This Row],[Calculated Sales]]</f>
        <v>0</v>
      </c>
      <c r="R370" s="9">
        <f t="shared" si="40"/>
        <v>0.2</v>
      </c>
      <c r="S370">
        <f t="shared" si="41"/>
        <v>40486.080000000002</v>
      </c>
      <c r="T370">
        <f t="shared" si="42"/>
        <v>8097.2160000000003</v>
      </c>
      <c r="U370">
        <f t="shared" si="43"/>
        <v>11</v>
      </c>
      <c r="V370" t="str">
        <f t="shared" si="44"/>
        <v>Q4</v>
      </c>
      <c r="W370" t="str">
        <f t="shared" si="45"/>
        <v>Nov-2024</v>
      </c>
      <c r="X370">
        <f t="shared" si="46"/>
        <v>14170.128000000001</v>
      </c>
      <c r="Y370" s="5">
        <f t="shared" si="47"/>
        <v>188260.272</v>
      </c>
      <c r="Z370" s="21">
        <f>DATE(K370,MATCH(J370,{"January","February","March","April","May","June","July","August","September","October","November","December"},0),1)</f>
        <v>45597</v>
      </c>
    </row>
    <row r="371" spans="1:26" x14ac:dyDescent="0.3">
      <c r="A371" s="4" t="s">
        <v>439</v>
      </c>
      <c r="B371" s="4" t="s">
        <v>16</v>
      </c>
      <c r="C371" s="4" t="s">
        <v>17</v>
      </c>
      <c r="D371" s="5">
        <v>20353.400000000001</v>
      </c>
      <c r="E371" s="6">
        <v>1</v>
      </c>
      <c r="F371" s="5">
        <v>20353.400000000001</v>
      </c>
      <c r="G371" s="1">
        <v>45480</v>
      </c>
      <c r="H371" t="s">
        <v>25</v>
      </c>
      <c r="I371">
        <v>2.9</v>
      </c>
      <c r="J371" t="s">
        <v>48</v>
      </c>
      <c r="K371">
        <v>2024</v>
      </c>
      <c r="L371">
        <v>4070.6800000000003</v>
      </c>
      <c r="M371">
        <v>21</v>
      </c>
      <c r="N371" t="s">
        <v>20</v>
      </c>
      <c r="O371" t="s">
        <v>28</v>
      </c>
      <c r="P371">
        <f>FlipkartSales[[#This Row],[Price (INR)]]*FlipkartSales[[#This Row],[Quantity Sold]]</f>
        <v>20353.400000000001</v>
      </c>
      <c r="Q371">
        <f>FlipkartSales[[#This Row],[Total Sales (INR)]]-FlipkartSales[[#This Row],[Calculated Sales]]</f>
        <v>0</v>
      </c>
      <c r="R371" s="9">
        <f t="shared" si="40"/>
        <v>0.2</v>
      </c>
      <c r="S371">
        <f t="shared" si="41"/>
        <v>20353.400000000001</v>
      </c>
      <c r="T371">
        <f t="shared" si="42"/>
        <v>4070.6800000000003</v>
      </c>
      <c r="U371">
        <f t="shared" si="43"/>
        <v>7</v>
      </c>
      <c r="V371" t="str">
        <f t="shared" si="44"/>
        <v>Q3</v>
      </c>
      <c r="W371" t="str">
        <f t="shared" si="45"/>
        <v>Jul-2024</v>
      </c>
      <c r="X371">
        <f t="shared" si="46"/>
        <v>4274.2139999999999</v>
      </c>
      <c r="Y371" s="5">
        <f t="shared" si="47"/>
        <v>16079.186000000002</v>
      </c>
      <c r="Z371" s="21">
        <f>DATE(K371,MATCH(J371,{"January","February","March","April","May","June","July","August","September","October","November","December"},0),1)</f>
        <v>45474</v>
      </c>
    </row>
    <row r="372" spans="1:26" x14ac:dyDescent="0.3">
      <c r="A372" s="4" t="s">
        <v>440</v>
      </c>
      <c r="B372" s="4" t="s">
        <v>96</v>
      </c>
      <c r="C372" s="4" t="s">
        <v>36</v>
      </c>
      <c r="D372" s="5">
        <v>2258.27</v>
      </c>
      <c r="E372" s="6">
        <v>3</v>
      </c>
      <c r="F372" s="5">
        <v>6774.81</v>
      </c>
      <c r="G372" s="1">
        <v>45589</v>
      </c>
      <c r="H372" t="s">
        <v>44</v>
      </c>
      <c r="I372">
        <v>4.8</v>
      </c>
      <c r="J372" t="s">
        <v>45</v>
      </c>
      <c r="K372">
        <v>2024</v>
      </c>
      <c r="L372">
        <v>1354.9620000000002</v>
      </c>
      <c r="M372">
        <v>21</v>
      </c>
      <c r="N372" t="s">
        <v>20</v>
      </c>
      <c r="O372" t="s">
        <v>28</v>
      </c>
      <c r="P372">
        <f>FlipkartSales[[#This Row],[Price (INR)]]*FlipkartSales[[#This Row],[Quantity Sold]]</f>
        <v>6774.8099999999995</v>
      </c>
      <c r="Q372">
        <f>FlipkartSales[[#This Row],[Total Sales (INR)]]-FlipkartSales[[#This Row],[Calculated Sales]]</f>
        <v>0</v>
      </c>
      <c r="R372" s="9">
        <f t="shared" si="40"/>
        <v>0.2</v>
      </c>
      <c r="S372">
        <f t="shared" si="41"/>
        <v>2258.27</v>
      </c>
      <c r="T372">
        <f t="shared" si="42"/>
        <v>451.65400000000005</v>
      </c>
      <c r="U372">
        <f t="shared" si="43"/>
        <v>10</v>
      </c>
      <c r="V372" t="str">
        <f t="shared" si="44"/>
        <v>Q4</v>
      </c>
      <c r="W372" t="str">
        <f t="shared" si="45"/>
        <v>Oct-2024</v>
      </c>
      <c r="X372">
        <f t="shared" si="46"/>
        <v>1422.7101</v>
      </c>
      <c r="Y372" s="5">
        <f t="shared" si="47"/>
        <v>5352.0999000000002</v>
      </c>
      <c r="Z372" s="21">
        <f>DATE(K372,MATCH(J372,{"January","February","March","April","May","June","July","August","September","October","November","December"},0),1)</f>
        <v>45566</v>
      </c>
    </row>
    <row r="373" spans="1:26" x14ac:dyDescent="0.3">
      <c r="A373" s="4" t="s">
        <v>441</v>
      </c>
      <c r="B373" s="4" t="s">
        <v>66</v>
      </c>
      <c r="C373" s="4" t="s">
        <v>36</v>
      </c>
      <c r="D373" s="5">
        <v>704.55</v>
      </c>
      <c r="E373" s="6">
        <v>5</v>
      </c>
      <c r="F373" s="5">
        <v>3522.75</v>
      </c>
      <c r="G373" s="1">
        <v>45440</v>
      </c>
      <c r="H373" t="s">
        <v>18</v>
      </c>
      <c r="I373">
        <v>4</v>
      </c>
      <c r="J373" t="s">
        <v>32</v>
      </c>
      <c r="K373">
        <v>2024</v>
      </c>
      <c r="L373">
        <v>704.55000000000007</v>
      </c>
      <c r="M373">
        <v>16</v>
      </c>
      <c r="N373" t="s">
        <v>27</v>
      </c>
      <c r="O373" t="s">
        <v>28</v>
      </c>
      <c r="P373">
        <f>FlipkartSales[[#This Row],[Price (INR)]]*FlipkartSales[[#This Row],[Quantity Sold]]</f>
        <v>3522.75</v>
      </c>
      <c r="Q373">
        <f>FlipkartSales[[#This Row],[Total Sales (INR)]]-FlipkartSales[[#This Row],[Calculated Sales]]</f>
        <v>0</v>
      </c>
      <c r="R373" s="9">
        <f t="shared" si="40"/>
        <v>0.2</v>
      </c>
      <c r="S373">
        <f t="shared" si="41"/>
        <v>704.55</v>
      </c>
      <c r="T373">
        <f t="shared" si="42"/>
        <v>140.91000000000003</v>
      </c>
      <c r="U373">
        <f t="shared" si="43"/>
        <v>5</v>
      </c>
      <c r="V373" t="str">
        <f t="shared" si="44"/>
        <v>Q2</v>
      </c>
      <c r="W373" t="str">
        <f t="shared" si="45"/>
        <v>May-2024</v>
      </c>
      <c r="X373">
        <f t="shared" si="46"/>
        <v>563.64</v>
      </c>
      <c r="Y373" s="5">
        <f t="shared" si="47"/>
        <v>2959.11</v>
      </c>
      <c r="Z373" s="21">
        <f>DATE(K373,MATCH(J373,{"January","February","March","April","May","June","July","August","September","October","November","December"},0),1)</f>
        <v>45413</v>
      </c>
    </row>
    <row r="374" spans="1:26" x14ac:dyDescent="0.3">
      <c r="A374" s="4" t="s">
        <v>442</v>
      </c>
      <c r="B374" s="4" t="s">
        <v>50</v>
      </c>
      <c r="C374" s="4" t="s">
        <v>40</v>
      </c>
      <c r="D374" s="5">
        <v>38629</v>
      </c>
      <c r="E374" s="6">
        <v>1</v>
      </c>
      <c r="F374" s="5">
        <v>38629</v>
      </c>
      <c r="G374" s="1">
        <v>45488</v>
      </c>
      <c r="H374" t="s">
        <v>80</v>
      </c>
      <c r="I374">
        <v>4</v>
      </c>
      <c r="J374" t="s">
        <v>48</v>
      </c>
      <c r="K374">
        <v>2024</v>
      </c>
      <c r="L374">
        <v>7725.8</v>
      </c>
      <c r="M374">
        <v>18</v>
      </c>
      <c r="N374" t="s">
        <v>27</v>
      </c>
      <c r="O374" t="s">
        <v>28</v>
      </c>
      <c r="P374">
        <f>FlipkartSales[[#This Row],[Price (INR)]]*FlipkartSales[[#This Row],[Quantity Sold]]</f>
        <v>38629</v>
      </c>
      <c r="Q374">
        <f>FlipkartSales[[#This Row],[Total Sales (INR)]]-FlipkartSales[[#This Row],[Calculated Sales]]</f>
        <v>0</v>
      </c>
      <c r="R374" s="9">
        <f t="shared" si="40"/>
        <v>0.2</v>
      </c>
      <c r="S374">
        <f t="shared" si="41"/>
        <v>38629</v>
      </c>
      <c r="T374">
        <f t="shared" si="42"/>
        <v>7725.8</v>
      </c>
      <c r="U374">
        <f t="shared" si="43"/>
        <v>7</v>
      </c>
      <c r="V374" t="str">
        <f t="shared" si="44"/>
        <v>Q3</v>
      </c>
      <c r="W374" t="str">
        <f t="shared" si="45"/>
        <v>Jul-2024</v>
      </c>
      <c r="X374">
        <f t="shared" si="46"/>
        <v>6953.22</v>
      </c>
      <c r="Y374" s="5">
        <f t="shared" si="47"/>
        <v>31675.78</v>
      </c>
      <c r="Z374" s="21">
        <f>DATE(K374,MATCH(J374,{"January","February","March","April","May","June","July","August","September","October","November","December"},0),1)</f>
        <v>45474</v>
      </c>
    </row>
    <row r="375" spans="1:26" x14ac:dyDescent="0.3">
      <c r="A375" s="4" t="s">
        <v>443</v>
      </c>
      <c r="B375" s="4" t="s">
        <v>118</v>
      </c>
      <c r="C375" s="4" t="s">
        <v>17</v>
      </c>
      <c r="D375" s="5">
        <v>37303.26</v>
      </c>
      <c r="E375" s="6">
        <v>4</v>
      </c>
      <c r="F375" s="5">
        <v>149213.04</v>
      </c>
      <c r="G375" s="1">
        <v>45664</v>
      </c>
      <c r="H375" t="s">
        <v>64</v>
      </c>
      <c r="I375">
        <v>2.9</v>
      </c>
      <c r="J375" t="s">
        <v>53</v>
      </c>
      <c r="K375">
        <v>2025</v>
      </c>
      <c r="L375">
        <v>29842.608000000004</v>
      </c>
      <c r="M375">
        <v>25</v>
      </c>
      <c r="N375" t="s">
        <v>20</v>
      </c>
      <c r="O375" t="s">
        <v>68</v>
      </c>
      <c r="P375">
        <f>FlipkartSales[[#This Row],[Price (INR)]]*FlipkartSales[[#This Row],[Quantity Sold]]</f>
        <v>149213.04</v>
      </c>
      <c r="Q375">
        <f>FlipkartSales[[#This Row],[Total Sales (INR)]]-FlipkartSales[[#This Row],[Calculated Sales]]</f>
        <v>0</v>
      </c>
      <c r="R375" s="9">
        <f t="shared" si="40"/>
        <v>0.2</v>
      </c>
      <c r="S375">
        <f t="shared" si="41"/>
        <v>37303.26</v>
      </c>
      <c r="T375">
        <f t="shared" si="42"/>
        <v>7460.652000000001</v>
      </c>
      <c r="U375">
        <f t="shared" si="43"/>
        <v>1</v>
      </c>
      <c r="V375" t="str">
        <f t="shared" si="44"/>
        <v>Q1</v>
      </c>
      <c r="W375" t="str">
        <f t="shared" si="45"/>
        <v>Jan-2025</v>
      </c>
      <c r="X375">
        <f t="shared" si="46"/>
        <v>37303.26</v>
      </c>
      <c r="Y375" s="5">
        <f t="shared" si="47"/>
        <v>111909.78</v>
      </c>
      <c r="Z375" s="21">
        <f>DATE(K375,MATCH(J375,{"January","February","March","April","May","June","July","August","September","October","November","December"},0),1)</f>
        <v>45658</v>
      </c>
    </row>
    <row r="376" spans="1:26" x14ac:dyDescent="0.3">
      <c r="A376" s="4" t="s">
        <v>444</v>
      </c>
      <c r="B376" s="4" t="s">
        <v>66</v>
      </c>
      <c r="C376" s="4" t="s">
        <v>36</v>
      </c>
      <c r="D376" s="5">
        <v>11507.22</v>
      </c>
      <c r="E376" s="6">
        <v>4</v>
      </c>
      <c r="F376" s="5">
        <v>46028.88</v>
      </c>
      <c r="G376" s="1">
        <v>45399</v>
      </c>
      <c r="H376" t="s">
        <v>18</v>
      </c>
      <c r="I376">
        <v>1.4</v>
      </c>
      <c r="J376" t="s">
        <v>62</v>
      </c>
      <c r="K376">
        <v>2024</v>
      </c>
      <c r="L376">
        <v>9205.7759999999998</v>
      </c>
      <c r="M376">
        <v>10</v>
      </c>
      <c r="N376" t="s">
        <v>27</v>
      </c>
      <c r="O376" t="s">
        <v>28</v>
      </c>
      <c r="P376">
        <f>FlipkartSales[[#This Row],[Price (INR)]]*FlipkartSales[[#This Row],[Quantity Sold]]</f>
        <v>46028.88</v>
      </c>
      <c r="Q376">
        <f>FlipkartSales[[#This Row],[Total Sales (INR)]]-FlipkartSales[[#This Row],[Calculated Sales]]</f>
        <v>0</v>
      </c>
      <c r="R376" s="9">
        <f t="shared" si="40"/>
        <v>0.2</v>
      </c>
      <c r="S376">
        <f t="shared" si="41"/>
        <v>11507.22</v>
      </c>
      <c r="T376">
        <f t="shared" si="42"/>
        <v>2301.444</v>
      </c>
      <c r="U376">
        <f t="shared" si="43"/>
        <v>4</v>
      </c>
      <c r="V376" t="str">
        <f t="shared" si="44"/>
        <v>Q2</v>
      </c>
      <c r="W376" t="str">
        <f t="shared" si="45"/>
        <v>Apr-2024</v>
      </c>
      <c r="X376">
        <f t="shared" si="46"/>
        <v>4602.8879999999999</v>
      </c>
      <c r="Y376" s="5">
        <f t="shared" si="47"/>
        <v>41425.991999999998</v>
      </c>
      <c r="Z376" s="21">
        <f>DATE(K376,MATCH(J376,{"January","February","March","April","May","June","July","August","September","October","November","December"},0),1)</f>
        <v>45383</v>
      </c>
    </row>
    <row r="377" spans="1:26" x14ac:dyDescent="0.3">
      <c r="A377" s="4" t="s">
        <v>445</v>
      </c>
      <c r="B377" s="4" t="s">
        <v>50</v>
      </c>
      <c r="C377" s="4" t="s">
        <v>40</v>
      </c>
      <c r="D377" s="5">
        <v>48710.25</v>
      </c>
      <c r="E377" s="6">
        <v>1</v>
      </c>
      <c r="F377" s="5">
        <v>48710.25</v>
      </c>
      <c r="G377" s="1">
        <v>45571</v>
      </c>
      <c r="H377" t="s">
        <v>71</v>
      </c>
      <c r="I377">
        <v>1.7</v>
      </c>
      <c r="J377" t="s">
        <v>45</v>
      </c>
      <c r="K377">
        <v>2024</v>
      </c>
      <c r="L377">
        <v>9742.0500000000011</v>
      </c>
      <c r="M377">
        <v>7</v>
      </c>
      <c r="N377" t="s">
        <v>27</v>
      </c>
      <c r="O377" t="s">
        <v>68</v>
      </c>
      <c r="P377">
        <f>FlipkartSales[[#This Row],[Price (INR)]]*FlipkartSales[[#This Row],[Quantity Sold]]</f>
        <v>48710.25</v>
      </c>
      <c r="Q377">
        <f>FlipkartSales[[#This Row],[Total Sales (INR)]]-FlipkartSales[[#This Row],[Calculated Sales]]</f>
        <v>0</v>
      </c>
      <c r="R377" s="9">
        <f t="shared" si="40"/>
        <v>0.2</v>
      </c>
      <c r="S377">
        <f t="shared" si="41"/>
        <v>48710.25</v>
      </c>
      <c r="T377">
        <f t="shared" si="42"/>
        <v>9742.0500000000011</v>
      </c>
      <c r="U377">
        <f t="shared" si="43"/>
        <v>10</v>
      </c>
      <c r="V377" t="str">
        <f t="shared" si="44"/>
        <v>Q4</v>
      </c>
      <c r="W377" t="str">
        <f t="shared" si="45"/>
        <v>Oct-2024</v>
      </c>
      <c r="X377">
        <f t="shared" si="46"/>
        <v>3409.7175000000002</v>
      </c>
      <c r="Y377" s="5">
        <f t="shared" si="47"/>
        <v>45300.532500000001</v>
      </c>
      <c r="Z377" s="21">
        <f>DATE(K377,MATCH(J377,{"January","February","March","April","May","June","July","August","September","October","November","December"},0),1)</f>
        <v>45566</v>
      </c>
    </row>
    <row r="378" spans="1:26" x14ac:dyDescent="0.3">
      <c r="A378" s="4" t="s">
        <v>446</v>
      </c>
      <c r="B378" s="4" t="s">
        <v>16</v>
      </c>
      <c r="C378" s="4" t="s">
        <v>17</v>
      </c>
      <c r="D378" s="5">
        <v>20075.810000000001</v>
      </c>
      <c r="E378" s="6">
        <v>1</v>
      </c>
      <c r="F378" s="5">
        <v>20075.810000000001</v>
      </c>
      <c r="G378" s="1">
        <v>45455</v>
      </c>
      <c r="H378" t="s">
        <v>18</v>
      </c>
      <c r="I378">
        <v>4.9000000000000004</v>
      </c>
      <c r="J378" t="s">
        <v>67</v>
      </c>
      <c r="K378">
        <v>2024</v>
      </c>
      <c r="L378">
        <v>4015.1620000000003</v>
      </c>
      <c r="M378">
        <v>13</v>
      </c>
      <c r="N378" t="s">
        <v>41</v>
      </c>
      <c r="O378" t="s">
        <v>21</v>
      </c>
      <c r="P378">
        <f>FlipkartSales[[#This Row],[Price (INR)]]*FlipkartSales[[#This Row],[Quantity Sold]]</f>
        <v>20075.810000000001</v>
      </c>
      <c r="Q378">
        <f>FlipkartSales[[#This Row],[Total Sales (INR)]]-FlipkartSales[[#This Row],[Calculated Sales]]</f>
        <v>0</v>
      </c>
      <c r="R378" s="9">
        <f t="shared" si="40"/>
        <v>0.2</v>
      </c>
      <c r="S378">
        <f t="shared" si="41"/>
        <v>20075.810000000001</v>
      </c>
      <c r="T378">
        <f t="shared" si="42"/>
        <v>4015.1620000000003</v>
      </c>
      <c r="U378">
        <f t="shared" si="43"/>
        <v>6</v>
      </c>
      <c r="V378" t="str">
        <f t="shared" si="44"/>
        <v>Q2</v>
      </c>
      <c r="W378" t="str">
        <f t="shared" si="45"/>
        <v>Jun-2024</v>
      </c>
      <c r="X378">
        <f t="shared" si="46"/>
        <v>2609.8553000000002</v>
      </c>
      <c r="Y378" s="5">
        <f t="shared" si="47"/>
        <v>17465.954700000002</v>
      </c>
      <c r="Z378" s="21">
        <f>DATE(K378,MATCH(J378,{"January","February","March","April","May","June","July","August","September","October","November","December"},0),1)</f>
        <v>45444</v>
      </c>
    </row>
    <row r="379" spans="1:26" x14ac:dyDescent="0.3">
      <c r="A379" s="4" t="s">
        <v>447</v>
      </c>
      <c r="B379" s="4" t="s">
        <v>70</v>
      </c>
      <c r="C379" s="4" t="s">
        <v>17</v>
      </c>
      <c r="D379" s="5">
        <v>8448.77</v>
      </c>
      <c r="E379" s="6">
        <v>2</v>
      </c>
      <c r="F379" s="5">
        <v>16897.54</v>
      </c>
      <c r="G379" s="1">
        <v>45424</v>
      </c>
      <c r="H379" t="s">
        <v>25</v>
      </c>
      <c r="I379">
        <v>3.8</v>
      </c>
      <c r="J379" t="s">
        <v>32</v>
      </c>
      <c r="K379">
        <v>2024</v>
      </c>
      <c r="L379">
        <v>3379.5080000000003</v>
      </c>
      <c r="M379">
        <v>9</v>
      </c>
      <c r="N379" t="s">
        <v>20</v>
      </c>
      <c r="O379" t="s">
        <v>33</v>
      </c>
      <c r="P379">
        <f>FlipkartSales[[#This Row],[Price (INR)]]*FlipkartSales[[#This Row],[Quantity Sold]]</f>
        <v>16897.54</v>
      </c>
      <c r="Q379">
        <f>FlipkartSales[[#This Row],[Total Sales (INR)]]-FlipkartSales[[#This Row],[Calculated Sales]]</f>
        <v>0</v>
      </c>
      <c r="R379" s="9">
        <f t="shared" si="40"/>
        <v>0.2</v>
      </c>
      <c r="S379">
        <f t="shared" si="41"/>
        <v>8448.77</v>
      </c>
      <c r="T379">
        <f t="shared" si="42"/>
        <v>1689.7540000000001</v>
      </c>
      <c r="U379">
        <f t="shared" si="43"/>
        <v>5</v>
      </c>
      <c r="V379" t="str">
        <f t="shared" si="44"/>
        <v>Q2</v>
      </c>
      <c r="W379" t="str">
        <f t="shared" si="45"/>
        <v>May-2024</v>
      </c>
      <c r="X379">
        <f t="shared" si="46"/>
        <v>1520.7786000000001</v>
      </c>
      <c r="Y379" s="5">
        <f t="shared" si="47"/>
        <v>15376.761400000001</v>
      </c>
      <c r="Z379" s="21">
        <f>DATE(K379,MATCH(J379,{"January","February","March","April","May","June","July","August","September","October","November","December"},0),1)</f>
        <v>45413</v>
      </c>
    </row>
    <row r="380" spans="1:26" x14ac:dyDescent="0.3">
      <c r="A380" s="4" t="s">
        <v>448</v>
      </c>
      <c r="B380" s="4" t="s">
        <v>47</v>
      </c>
      <c r="C380" s="4" t="s">
        <v>24</v>
      </c>
      <c r="D380" s="5">
        <v>29310.76</v>
      </c>
      <c r="E380" s="6">
        <v>4</v>
      </c>
      <c r="F380" s="5">
        <v>117243.04</v>
      </c>
      <c r="G380" s="1">
        <v>45476</v>
      </c>
      <c r="H380" t="s">
        <v>44</v>
      </c>
      <c r="I380">
        <v>4.4000000000000004</v>
      </c>
      <c r="J380" t="s">
        <v>48</v>
      </c>
      <c r="K380">
        <v>2024</v>
      </c>
      <c r="L380">
        <v>23448.608</v>
      </c>
      <c r="M380">
        <v>28</v>
      </c>
      <c r="N380" t="s">
        <v>20</v>
      </c>
      <c r="O380" t="s">
        <v>28</v>
      </c>
      <c r="P380">
        <f>FlipkartSales[[#This Row],[Price (INR)]]*FlipkartSales[[#This Row],[Quantity Sold]]</f>
        <v>117243.04</v>
      </c>
      <c r="Q380">
        <f>FlipkartSales[[#This Row],[Total Sales (INR)]]-FlipkartSales[[#This Row],[Calculated Sales]]</f>
        <v>0</v>
      </c>
      <c r="R380" s="9">
        <f t="shared" si="40"/>
        <v>0.2</v>
      </c>
      <c r="S380">
        <f t="shared" si="41"/>
        <v>29310.76</v>
      </c>
      <c r="T380">
        <f t="shared" si="42"/>
        <v>5862.152</v>
      </c>
      <c r="U380">
        <f t="shared" si="43"/>
        <v>7</v>
      </c>
      <c r="V380" t="str">
        <f t="shared" si="44"/>
        <v>Q3</v>
      </c>
      <c r="W380" t="str">
        <f t="shared" si="45"/>
        <v>Jul-2024</v>
      </c>
      <c r="X380">
        <f t="shared" si="46"/>
        <v>32828.051199999994</v>
      </c>
      <c r="Y380" s="5">
        <f t="shared" si="47"/>
        <v>84414.988799999992</v>
      </c>
      <c r="Z380" s="21">
        <f>DATE(K380,MATCH(J380,{"January","February","March","April","May","June","July","August","September","October","November","December"},0),1)</f>
        <v>45474</v>
      </c>
    </row>
    <row r="381" spans="1:26" x14ac:dyDescent="0.3">
      <c r="A381" s="4" t="s">
        <v>449</v>
      </c>
      <c r="B381" s="4" t="s">
        <v>16</v>
      </c>
      <c r="C381" s="4" t="s">
        <v>17</v>
      </c>
      <c r="D381" s="5">
        <v>708.78</v>
      </c>
      <c r="E381" s="6">
        <v>4</v>
      </c>
      <c r="F381" s="5">
        <v>2835.12</v>
      </c>
      <c r="G381" s="1">
        <v>45625</v>
      </c>
      <c r="H381" t="s">
        <v>64</v>
      </c>
      <c r="I381">
        <v>2</v>
      </c>
      <c r="J381" t="s">
        <v>37</v>
      </c>
      <c r="K381">
        <v>2024</v>
      </c>
      <c r="L381">
        <v>567.024</v>
      </c>
      <c r="M381">
        <v>21</v>
      </c>
      <c r="N381" t="s">
        <v>27</v>
      </c>
      <c r="O381" t="s">
        <v>33</v>
      </c>
      <c r="P381">
        <f>FlipkartSales[[#This Row],[Price (INR)]]*FlipkartSales[[#This Row],[Quantity Sold]]</f>
        <v>2835.12</v>
      </c>
      <c r="Q381">
        <f>FlipkartSales[[#This Row],[Total Sales (INR)]]-FlipkartSales[[#This Row],[Calculated Sales]]</f>
        <v>0</v>
      </c>
      <c r="R381" s="9">
        <f t="shared" si="40"/>
        <v>0.2</v>
      </c>
      <c r="S381">
        <f t="shared" si="41"/>
        <v>708.78</v>
      </c>
      <c r="T381">
        <f t="shared" si="42"/>
        <v>141.756</v>
      </c>
      <c r="U381">
        <f t="shared" si="43"/>
        <v>11</v>
      </c>
      <c r="V381" t="str">
        <f t="shared" si="44"/>
        <v>Q4</v>
      </c>
      <c r="W381" t="str">
        <f t="shared" si="45"/>
        <v>Nov-2024</v>
      </c>
      <c r="X381">
        <f t="shared" si="46"/>
        <v>595.37519999999995</v>
      </c>
      <c r="Y381" s="5">
        <f t="shared" si="47"/>
        <v>2239.7447999999999</v>
      </c>
      <c r="Z381" s="21">
        <f>DATE(K381,MATCH(J381,{"January","February","March","April","May","June","July","August","September","October","November","December"},0),1)</f>
        <v>45597</v>
      </c>
    </row>
    <row r="382" spans="1:26" x14ac:dyDescent="0.3">
      <c r="A382" s="4" t="s">
        <v>450</v>
      </c>
      <c r="B382" s="4" t="s">
        <v>52</v>
      </c>
      <c r="C382" s="4" t="s">
        <v>24</v>
      </c>
      <c r="D382" s="5">
        <v>24062.33</v>
      </c>
      <c r="E382" s="6">
        <v>4</v>
      </c>
      <c r="F382" s="5">
        <v>96249.32</v>
      </c>
      <c r="G382" s="1">
        <v>45676</v>
      </c>
      <c r="H382" t="s">
        <v>18</v>
      </c>
      <c r="I382">
        <v>1.1000000000000001</v>
      </c>
      <c r="J382" t="s">
        <v>53</v>
      </c>
      <c r="K382">
        <v>2025</v>
      </c>
      <c r="L382">
        <v>19249.864000000001</v>
      </c>
      <c r="M382">
        <v>18</v>
      </c>
      <c r="N382" t="s">
        <v>20</v>
      </c>
      <c r="O382" t="s">
        <v>33</v>
      </c>
      <c r="P382">
        <f>FlipkartSales[[#This Row],[Price (INR)]]*FlipkartSales[[#This Row],[Quantity Sold]]</f>
        <v>96249.32</v>
      </c>
      <c r="Q382">
        <f>FlipkartSales[[#This Row],[Total Sales (INR)]]-FlipkartSales[[#This Row],[Calculated Sales]]</f>
        <v>0</v>
      </c>
      <c r="R382" s="9">
        <f t="shared" si="40"/>
        <v>0.2</v>
      </c>
      <c r="S382">
        <f t="shared" si="41"/>
        <v>24062.33</v>
      </c>
      <c r="T382">
        <f t="shared" si="42"/>
        <v>4812.4660000000003</v>
      </c>
      <c r="U382">
        <f t="shared" si="43"/>
        <v>1</v>
      </c>
      <c r="V382" t="str">
        <f t="shared" si="44"/>
        <v>Q1</v>
      </c>
      <c r="W382" t="str">
        <f t="shared" si="45"/>
        <v>Jan-2025</v>
      </c>
      <c r="X382">
        <f t="shared" si="46"/>
        <v>17324.877600000003</v>
      </c>
      <c r="Y382" s="5">
        <f t="shared" si="47"/>
        <v>78924.4424</v>
      </c>
      <c r="Z382" s="21">
        <f>DATE(K382,MATCH(J382,{"January","February","March","April","May","June","July","August","September","October","November","December"},0),1)</f>
        <v>45658</v>
      </c>
    </row>
    <row r="383" spans="1:26" x14ac:dyDescent="0.3">
      <c r="A383" s="4" t="s">
        <v>451</v>
      </c>
      <c r="B383" s="4" t="s">
        <v>47</v>
      </c>
      <c r="C383" s="4" t="s">
        <v>24</v>
      </c>
      <c r="D383" s="5">
        <v>27827.66</v>
      </c>
      <c r="E383" s="6">
        <v>1</v>
      </c>
      <c r="F383" s="5">
        <v>27827.66</v>
      </c>
      <c r="G383" s="1">
        <v>45461</v>
      </c>
      <c r="H383" t="s">
        <v>64</v>
      </c>
      <c r="I383">
        <v>4.5</v>
      </c>
      <c r="J383" t="s">
        <v>67</v>
      </c>
      <c r="K383">
        <v>2024</v>
      </c>
      <c r="L383">
        <v>5565.5320000000002</v>
      </c>
      <c r="M383">
        <v>25</v>
      </c>
      <c r="N383" t="s">
        <v>41</v>
      </c>
      <c r="O383" t="s">
        <v>21</v>
      </c>
      <c r="P383">
        <f>FlipkartSales[[#This Row],[Price (INR)]]*FlipkartSales[[#This Row],[Quantity Sold]]</f>
        <v>27827.66</v>
      </c>
      <c r="Q383">
        <f>FlipkartSales[[#This Row],[Total Sales (INR)]]-FlipkartSales[[#This Row],[Calculated Sales]]</f>
        <v>0</v>
      </c>
      <c r="R383" s="9">
        <f t="shared" si="40"/>
        <v>0.2</v>
      </c>
      <c r="S383">
        <f t="shared" si="41"/>
        <v>27827.66</v>
      </c>
      <c r="T383">
        <f t="shared" si="42"/>
        <v>5565.5320000000002</v>
      </c>
      <c r="U383">
        <f t="shared" si="43"/>
        <v>6</v>
      </c>
      <c r="V383" t="str">
        <f t="shared" si="44"/>
        <v>Q2</v>
      </c>
      <c r="W383" t="str">
        <f t="shared" si="45"/>
        <v>Jun-2024</v>
      </c>
      <c r="X383">
        <f t="shared" si="46"/>
        <v>6956.915</v>
      </c>
      <c r="Y383" s="5">
        <f t="shared" si="47"/>
        <v>20870.744999999999</v>
      </c>
      <c r="Z383" s="21">
        <f>DATE(K383,MATCH(J383,{"January","February","March","April","May","June","July","August","September","October","November","December"},0),1)</f>
        <v>45444</v>
      </c>
    </row>
    <row r="384" spans="1:26" x14ac:dyDescent="0.3">
      <c r="A384" s="4" t="s">
        <v>452</v>
      </c>
      <c r="B384" s="4" t="s">
        <v>35</v>
      </c>
      <c r="C384" s="4" t="s">
        <v>36</v>
      </c>
      <c r="D384" s="5">
        <v>40862.870000000003</v>
      </c>
      <c r="E384" s="6">
        <v>2</v>
      </c>
      <c r="F384" s="5">
        <v>81725.740000000005</v>
      </c>
      <c r="G384" s="1">
        <v>45434</v>
      </c>
      <c r="H384" t="s">
        <v>18</v>
      </c>
      <c r="I384">
        <v>1.4</v>
      </c>
      <c r="J384" t="s">
        <v>32</v>
      </c>
      <c r="K384">
        <v>2024</v>
      </c>
      <c r="L384">
        <v>16345.148000000001</v>
      </c>
      <c r="M384">
        <v>7</v>
      </c>
      <c r="N384" t="s">
        <v>41</v>
      </c>
      <c r="O384" t="s">
        <v>33</v>
      </c>
      <c r="P384">
        <f>FlipkartSales[[#This Row],[Price (INR)]]*FlipkartSales[[#This Row],[Quantity Sold]]</f>
        <v>81725.740000000005</v>
      </c>
      <c r="Q384">
        <f>FlipkartSales[[#This Row],[Total Sales (INR)]]-FlipkartSales[[#This Row],[Calculated Sales]]</f>
        <v>0</v>
      </c>
      <c r="R384" s="9">
        <f t="shared" si="40"/>
        <v>0.2</v>
      </c>
      <c r="S384">
        <f t="shared" si="41"/>
        <v>40862.870000000003</v>
      </c>
      <c r="T384">
        <f t="shared" si="42"/>
        <v>8172.5740000000005</v>
      </c>
      <c r="U384">
        <f t="shared" si="43"/>
        <v>5</v>
      </c>
      <c r="V384" t="str">
        <f t="shared" si="44"/>
        <v>Q2</v>
      </c>
      <c r="W384" t="str">
        <f t="shared" si="45"/>
        <v>May-2024</v>
      </c>
      <c r="X384">
        <f t="shared" si="46"/>
        <v>5720.8018000000002</v>
      </c>
      <c r="Y384" s="5">
        <f t="shared" si="47"/>
        <v>76004.938200000004</v>
      </c>
      <c r="Z384" s="21">
        <f>DATE(K384,MATCH(J384,{"January","February","March","April","May","June","July","August","September","October","November","December"},0),1)</f>
        <v>45413</v>
      </c>
    </row>
    <row r="385" spans="1:26" x14ac:dyDescent="0.3">
      <c r="A385" s="4" t="s">
        <v>453</v>
      </c>
      <c r="B385" s="4" t="s">
        <v>47</v>
      </c>
      <c r="C385" s="4" t="s">
        <v>24</v>
      </c>
      <c r="D385" s="5">
        <v>11399.26</v>
      </c>
      <c r="E385" s="6">
        <v>2</v>
      </c>
      <c r="F385" s="5">
        <v>22798.52</v>
      </c>
      <c r="G385" s="1">
        <v>45339</v>
      </c>
      <c r="H385" t="s">
        <v>80</v>
      </c>
      <c r="I385">
        <v>1</v>
      </c>
      <c r="J385" t="s">
        <v>59</v>
      </c>
      <c r="K385">
        <v>2024</v>
      </c>
      <c r="L385">
        <v>4559.7040000000006</v>
      </c>
      <c r="M385">
        <v>5</v>
      </c>
      <c r="N385" t="s">
        <v>41</v>
      </c>
      <c r="O385" t="s">
        <v>68</v>
      </c>
      <c r="P385">
        <f>FlipkartSales[[#This Row],[Price (INR)]]*FlipkartSales[[#This Row],[Quantity Sold]]</f>
        <v>22798.52</v>
      </c>
      <c r="Q385">
        <f>FlipkartSales[[#This Row],[Total Sales (INR)]]-FlipkartSales[[#This Row],[Calculated Sales]]</f>
        <v>0</v>
      </c>
      <c r="R385" s="9">
        <f t="shared" si="40"/>
        <v>0.2</v>
      </c>
      <c r="S385">
        <f t="shared" si="41"/>
        <v>11399.26</v>
      </c>
      <c r="T385">
        <f t="shared" si="42"/>
        <v>2279.8520000000003</v>
      </c>
      <c r="U385">
        <f t="shared" si="43"/>
        <v>2</v>
      </c>
      <c r="V385" t="str">
        <f t="shared" si="44"/>
        <v>Q1</v>
      </c>
      <c r="W385" t="str">
        <f t="shared" si="45"/>
        <v>Feb-2024</v>
      </c>
      <c r="X385">
        <f t="shared" si="46"/>
        <v>1139.9260000000002</v>
      </c>
      <c r="Y385" s="5">
        <f t="shared" si="47"/>
        <v>21658.594000000001</v>
      </c>
      <c r="Z385" s="21">
        <f>DATE(K385,MATCH(J385,{"January","February","March","April","May","June","July","August","September","October","November","December"},0),1)</f>
        <v>45323</v>
      </c>
    </row>
    <row r="386" spans="1:26" x14ac:dyDescent="0.3">
      <c r="A386" s="4" t="s">
        <v>454</v>
      </c>
      <c r="B386" s="4" t="s">
        <v>94</v>
      </c>
      <c r="C386" s="4" t="s">
        <v>31</v>
      </c>
      <c r="D386" s="5">
        <v>5463.13</v>
      </c>
      <c r="E386" s="6">
        <v>1</v>
      </c>
      <c r="F386" s="5">
        <v>5463.13</v>
      </c>
      <c r="G386" s="1">
        <v>45473</v>
      </c>
      <c r="H386" t="s">
        <v>18</v>
      </c>
      <c r="I386">
        <v>3.9</v>
      </c>
      <c r="J386" t="s">
        <v>67</v>
      </c>
      <c r="K386">
        <v>2024</v>
      </c>
      <c r="L386">
        <v>1092.626</v>
      </c>
      <c r="M386">
        <v>24</v>
      </c>
      <c r="N386" t="s">
        <v>20</v>
      </c>
      <c r="O386" t="s">
        <v>33</v>
      </c>
      <c r="P386">
        <f>FlipkartSales[[#This Row],[Price (INR)]]*FlipkartSales[[#This Row],[Quantity Sold]]</f>
        <v>5463.13</v>
      </c>
      <c r="Q386">
        <f>FlipkartSales[[#This Row],[Total Sales (INR)]]-FlipkartSales[[#This Row],[Calculated Sales]]</f>
        <v>0</v>
      </c>
      <c r="R386" s="9">
        <f t="shared" ref="R386:R449" si="48">L386/F386</f>
        <v>0.19999999999999998</v>
      </c>
      <c r="S386">
        <f t="shared" ref="S386:S449" si="49">F386/E386</f>
        <v>5463.13</v>
      </c>
      <c r="T386">
        <f t="shared" ref="T386:T449" si="50">L386/E386</f>
        <v>1092.626</v>
      </c>
      <c r="U386">
        <f t="shared" ref="U386:U449" si="51">MONTH(G386)</f>
        <v>6</v>
      </c>
      <c r="V386" t="str">
        <f t="shared" ref="V386:V449" si="52">"Q"&amp;ROUNDUP(MONTH(G386)/3,0)</f>
        <v>Q2</v>
      </c>
      <c r="W386" t="str">
        <f t="shared" ref="W386:W449" si="53">TEXT(G386,"mmm-yyyy")</f>
        <v>Jun-2024</v>
      </c>
      <c r="X386">
        <f t="shared" ref="X386:X449" si="54">F386*M386/100</f>
        <v>1311.1512</v>
      </c>
      <c r="Y386" s="5">
        <f t="shared" ref="Y386:Y449" si="55">F386-X386</f>
        <v>4151.9787999999999</v>
      </c>
      <c r="Z386" s="21">
        <f>DATE(K386,MATCH(J386,{"January","February","March","April","May","June","July","August","September","October","November","December"},0),1)</f>
        <v>45444</v>
      </c>
    </row>
    <row r="387" spans="1:26" x14ac:dyDescent="0.3">
      <c r="A387" s="4" t="s">
        <v>455</v>
      </c>
      <c r="B387" s="4" t="s">
        <v>70</v>
      </c>
      <c r="C387" s="4" t="s">
        <v>17</v>
      </c>
      <c r="D387" s="5">
        <v>8644.99</v>
      </c>
      <c r="E387" s="6">
        <v>5</v>
      </c>
      <c r="F387" s="5">
        <v>43224.95</v>
      </c>
      <c r="G387" s="1">
        <v>45490</v>
      </c>
      <c r="H387" t="s">
        <v>18</v>
      </c>
      <c r="I387">
        <v>4.3</v>
      </c>
      <c r="J387" t="s">
        <v>48</v>
      </c>
      <c r="K387">
        <v>2024</v>
      </c>
      <c r="L387">
        <v>8644.99</v>
      </c>
      <c r="M387">
        <v>25</v>
      </c>
      <c r="N387" t="s">
        <v>20</v>
      </c>
      <c r="O387" t="s">
        <v>33</v>
      </c>
      <c r="P387">
        <f>FlipkartSales[[#This Row],[Price (INR)]]*FlipkartSales[[#This Row],[Quantity Sold]]</f>
        <v>43224.95</v>
      </c>
      <c r="Q387">
        <f>FlipkartSales[[#This Row],[Total Sales (INR)]]-FlipkartSales[[#This Row],[Calculated Sales]]</f>
        <v>0</v>
      </c>
      <c r="R387" s="9">
        <f t="shared" si="48"/>
        <v>0.2</v>
      </c>
      <c r="S387">
        <f t="shared" si="49"/>
        <v>8644.99</v>
      </c>
      <c r="T387">
        <f t="shared" si="50"/>
        <v>1728.998</v>
      </c>
      <c r="U387">
        <f t="shared" si="51"/>
        <v>7</v>
      </c>
      <c r="V387" t="str">
        <f t="shared" si="52"/>
        <v>Q3</v>
      </c>
      <c r="W387" t="str">
        <f t="shared" si="53"/>
        <v>Jul-2024</v>
      </c>
      <c r="X387">
        <f t="shared" si="54"/>
        <v>10806.237499999999</v>
      </c>
      <c r="Y387" s="5">
        <f t="shared" si="55"/>
        <v>32418.712499999998</v>
      </c>
      <c r="Z387" s="21">
        <f>DATE(K387,MATCH(J387,{"January","February","March","April","May","June","July","August","September","October","November","December"},0),1)</f>
        <v>45474</v>
      </c>
    </row>
    <row r="388" spans="1:26" x14ac:dyDescent="0.3">
      <c r="A388" s="4" t="s">
        <v>456</v>
      </c>
      <c r="B388" s="4" t="s">
        <v>107</v>
      </c>
      <c r="C388" s="4" t="s">
        <v>36</v>
      </c>
      <c r="D388" s="5">
        <v>27481.15</v>
      </c>
      <c r="E388" s="6">
        <v>2</v>
      </c>
      <c r="F388" s="5">
        <v>54962.3</v>
      </c>
      <c r="G388" s="1">
        <v>45592</v>
      </c>
      <c r="H388" t="s">
        <v>64</v>
      </c>
      <c r="I388">
        <v>3.2</v>
      </c>
      <c r="J388" t="s">
        <v>45</v>
      </c>
      <c r="K388">
        <v>2024</v>
      </c>
      <c r="L388">
        <v>10992.460000000001</v>
      </c>
      <c r="M388">
        <v>27</v>
      </c>
      <c r="N388" t="s">
        <v>20</v>
      </c>
      <c r="O388" t="s">
        <v>33</v>
      </c>
      <c r="P388">
        <f>FlipkartSales[[#This Row],[Price (INR)]]*FlipkartSales[[#This Row],[Quantity Sold]]</f>
        <v>54962.3</v>
      </c>
      <c r="Q388">
        <f>FlipkartSales[[#This Row],[Total Sales (INR)]]-FlipkartSales[[#This Row],[Calculated Sales]]</f>
        <v>0</v>
      </c>
      <c r="R388" s="9">
        <f t="shared" si="48"/>
        <v>0.2</v>
      </c>
      <c r="S388">
        <f t="shared" si="49"/>
        <v>27481.15</v>
      </c>
      <c r="T388">
        <f t="shared" si="50"/>
        <v>5496.2300000000005</v>
      </c>
      <c r="U388">
        <f t="shared" si="51"/>
        <v>10</v>
      </c>
      <c r="V388" t="str">
        <f t="shared" si="52"/>
        <v>Q4</v>
      </c>
      <c r="W388" t="str">
        <f t="shared" si="53"/>
        <v>Oct-2024</v>
      </c>
      <c r="X388">
        <f t="shared" si="54"/>
        <v>14839.821000000002</v>
      </c>
      <c r="Y388" s="5">
        <f t="shared" si="55"/>
        <v>40122.478999999999</v>
      </c>
      <c r="Z388" s="21">
        <f>DATE(K388,MATCH(J388,{"January","February","March","April","May","June","July","August","September","October","November","December"},0),1)</f>
        <v>45566</v>
      </c>
    </row>
    <row r="389" spans="1:26" x14ac:dyDescent="0.3">
      <c r="A389" s="4" t="s">
        <v>457</v>
      </c>
      <c r="B389" s="4" t="s">
        <v>125</v>
      </c>
      <c r="C389" s="4" t="s">
        <v>17</v>
      </c>
      <c r="D389" s="5">
        <v>47819.23</v>
      </c>
      <c r="E389" s="6">
        <v>4</v>
      </c>
      <c r="F389" s="5">
        <v>191276.92</v>
      </c>
      <c r="G389" s="1">
        <v>45446</v>
      </c>
      <c r="H389" t="s">
        <v>44</v>
      </c>
      <c r="I389">
        <v>1.1000000000000001</v>
      </c>
      <c r="J389" t="s">
        <v>67</v>
      </c>
      <c r="K389">
        <v>2024</v>
      </c>
      <c r="L389">
        <v>38255.384000000005</v>
      </c>
      <c r="M389">
        <v>5</v>
      </c>
      <c r="N389" t="s">
        <v>20</v>
      </c>
      <c r="O389" t="s">
        <v>28</v>
      </c>
      <c r="P389">
        <f>FlipkartSales[[#This Row],[Price (INR)]]*FlipkartSales[[#This Row],[Quantity Sold]]</f>
        <v>191276.92</v>
      </c>
      <c r="Q389">
        <f>FlipkartSales[[#This Row],[Total Sales (INR)]]-FlipkartSales[[#This Row],[Calculated Sales]]</f>
        <v>0</v>
      </c>
      <c r="R389" s="9">
        <f t="shared" si="48"/>
        <v>0.2</v>
      </c>
      <c r="S389">
        <f t="shared" si="49"/>
        <v>47819.23</v>
      </c>
      <c r="T389">
        <f t="shared" si="50"/>
        <v>9563.8460000000014</v>
      </c>
      <c r="U389">
        <f t="shared" si="51"/>
        <v>6</v>
      </c>
      <c r="V389" t="str">
        <f t="shared" si="52"/>
        <v>Q2</v>
      </c>
      <c r="W389" t="str">
        <f t="shared" si="53"/>
        <v>Jun-2024</v>
      </c>
      <c r="X389">
        <f t="shared" si="54"/>
        <v>9563.8460000000014</v>
      </c>
      <c r="Y389" s="5">
        <f t="shared" si="55"/>
        <v>181713.07400000002</v>
      </c>
      <c r="Z389" s="21">
        <f>DATE(K389,MATCH(J389,{"January","February","March","April","May","June","July","August","September","October","November","December"},0),1)</f>
        <v>45444</v>
      </c>
    </row>
    <row r="390" spans="1:26" x14ac:dyDescent="0.3">
      <c r="A390" s="4" t="s">
        <v>458</v>
      </c>
      <c r="B390" s="4" t="s">
        <v>61</v>
      </c>
      <c r="C390" s="4" t="s">
        <v>31</v>
      </c>
      <c r="D390" s="5">
        <v>7145.81</v>
      </c>
      <c r="E390" s="6">
        <v>4</v>
      </c>
      <c r="F390" s="5">
        <v>28583.24</v>
      </c>
      <c r="G390" s="1">
        <v>45360</v>
      </c>
      <c r="H390" t="s">
        <v>44</v>
      </c>
      <c r="I390">
        <v>1.9</v>
      </c>
      <c r="J390" t="s">
        <v>56</v>
      </c>
      <c r="K390">
        <v>2024</v>
      </c>
      <c r="L390">
        <v>5716.648000000001</v>
      </c>
      <c r="M390">
        <v>7</v>
      </c>
      <c r="N390" t="s">
        <v>20</v>
      </c>
      <c r="O390" t="s">
        <v>28</v>
      </c>
      <c r="P390">
        <f>FlipkartSales[[#This Row],[Price (INR)]]*FlipkartSales[[#This Row],[Quantity Sold]]</f>
        <v>28583.24</v>
      </c>
      <c r="Q390">
        <f>FlipkartSales[[#This Row],[Total Sales (INR)]]-FlipkartSales[[#This Row],[Calculated Sales]]</f>
        <v>0</v>
      </c>
      <c r="R390" s="9">
        <f t="shared" si="48"/>
        <v>0.20000000000000004</v>
      </c>
      <c r="S390">
        <f t="shared" si="49"/>
        <v>7145.81</v>
      </c>
      <c r="T390">
        <f t="shared" si="50"/>
        <v>1429.1620000000003</v>
      </c>
      <c r="U390">
        <f t="shared" si="51"/>
        <v>3</v>
      </c>
      <c r="V390" t="str">
        <f t="shared" si="52"/>
        <v>Q1</v>
      </c>
      <c r="W390" t="str">
        <f t="shared" si="53"/>
        <v>Mar-2024</v>
      </c>
      <c r="X390">
        <f t="shared" si="54"/>
        <v>2000.8268000000003</v>
      </c>
      <c r="Y390" s="5">
        <f t="shared" si="55"/>
        <v>26582.413200000003</v>
      </c>
      <c r="Z390" s="21">
        <f>DATE(K390,MATCH(J390,{"January","February","March","April","May","June","July","August","September","October","November","December"},0),1)</f>
        <v>45352</v>
      </c>
    </row>
    <row r="391" spans="1:26" x14ac:dyDescent="0.3">
      <c r="A391" s="4" t="s">
        <v>459</v>
      </c>
      <c r="B391" s="4" t="s">
        <v>107</v>
      </c>
      <c r="C391" s="4" t="s">
        <v>36</v>
      </c>
      <c r="D391" s="5">
        <v>29847.4</v>
      </c>
      <c r="E391" s="6">
        <v>3</v>
      </c>
      <c r="F391" s="5">
        <v>89542.2</v>
      </c>
      <c r="G391" s="1">
        <v>45447</v>
      </c>
      <c r="H391" t="s">
        <v>18</v>
      </c>
      <c r="I391">
        <v>2.9</v>
      </c>
      <c r="J391" t="s">
        <v>67</v>
      </c>
      <c r="K391">
        <v>2024</v>
      </c>
      <c r="L391">
        <v>17908.439999999999</v>
      </c>
      <c r="M391">
        <v>22</v>
      </c>
      <c r="N391" t="s">
        <v>41</v>
      </c>
      <c r="O391" t="s">
        <v>68</v>
      </c>
      <c r="P391">
        <f>FlipkartSales[[#This Row],[Price (INR)]]*FlipkartSales[[#This Row],[Quantity Sold]]</f>
        <v>89542.200000000012</v>
      </c>
      <c r="Q391">
        <f>FlipkartSales[[#This Row],[Total Sales (INR)]]-FlipkartSales[[#This Row],[Calculated Sales]]</f>
        <v>0</v>
      </c>
      <c r="R391" s="9">
        <f t="shared" si="48"/>
        <v>0.19999999999999998</v>
      </c>
      <c r="S391">
        <f t="shared" si="49"/>
        <v>29847.399999999998</v>
      </c>
      <c r="T391">
        <f t="shared" si="50"/>
        <v>5969.48</v>
      </c>
      <c r="U391">
        <f t="shared" si="51"/>
        <v>6</v>
      </c>
      <c r="V391" t="str">
        <f t="shared" si="52"/>
        <v>Q2</v>
      </c>
      <c r="W391" t="str">
        <f t="shared" si="53"/>
        <v>Jun-2024</v>
      </c>
      <c r="X391">
        <f t="shared" si="54"/>
        <v>19699.284</v>
      </c>
      <c r="Y391" s="5">
        <f t="shared" si="55"/>
        <v>69842.915999999997</v>
      </c>
      <c r="Z391" s="21">
        <f>DATE(K391,MATCH(J391,{"January","February","March","April","May","June","July","August","September","October","November","December"},0),1)</f>
        <v>45444</v>
      </c>
    </row>
    <row r="392" spans="1:26" x14ac:dyDescent="0.3">
      <c r="A392" s="4" t="s">
        <v>460</v>
      </c>
      <c r="B392" s="4" t="s">
        <v>61</v>
      </c>
      <c r="C392" s="4" t="s">
        <v>31</v>
      </c>
      <c r="D392" s="5">
        <v>11186.35</v>
      </c>
      <c r="E392" s="6">
        <v>2</v>
      </c>
      <c r="F392" s="5">
        <v>22372.7</v>
      </c>
      <c r="G392" s="1">
        <v>45593</v>
      </c>
      <c r="H392" t="s">
        <v>64</v>
      </c>
      <c r="I392">
        <v>1.1000000000000001</v>
      </c>
      <c r="J392" t="s">
        <v>45</v>
      </c>
      <c r="K392">
        <v>2024</v>
      </c>
      <c r="L392">
        <v>4474.54</v>
      </c>
      <c r="M392">
        <v>29</v>
      </c>
      <c r="N392" t="s">
        <v>27</v>
      </c>
      <c r="O392" t="s">
        <v>68</v>
      </c>
      <c r="P392">
        <f>FlipkartSales[[#This Row],[Price (INR)]]*FlipkartSales[[#This Row],[Quantity Sold]]</f>
        <v>22372.7</v>
      </c>
      <c r="Q392">
        <f>FlipkartSales[[#This Row],[Total Sales (INR)]]-FlipkartSales[[#This Row],[Calculated Sales]]</f>
        <v>0</v>
      </c>
      <c r="R392" s="9">
        <f t="shared" si="48"/>
        <v>0.19999999999999998</v>
      </c>
      <c r="S392">
        <f t="shared" si="49"/>
        <v>11186.35</v>
      </c>
      <c r="T392">
        <f t="shared" si="50"/>
        <v>2237.27</v>
      </c>
      <c r="U392">
        <f t="shared" si="51"/>
        <v>10</v>
      </c>
      <c r="V392" t="str">
        <f t="shared" si="52"/>
        <v>Q4</v>
      </c>
      <c r="W392" t="str">
        <f t="shared" si="53"/>
        <v>Oct-2024</v>
      </c>
      <c r="X392">
        <f t="shared" si="54"/>
        <v>6488.0830000000005</v>
      </c>
      <c r="Y392" s="5">
        <f t="shared" si="55"/>
        <v>15884.617</v>
      </c>
      <c r="Z392" s="21">
        <f>DATE(K392,MATCH(J392,{"January","February","March","April","May","June","July","August","September","October","November","December"},0),1)</f>
        <v>45566</v>
      </c>
    </row>
    <row r="393" spans="1:26" x14ac:dyDescent="0.3">
      <c r="A393" s="4" t="s">
        <v>461</v>
      </c>
      <c r="B393" s="4" t="s">
        <v>16</v>
      </c>
      <c r="C393" s="4" t="s">
        <v>17</v>
      </c>
      <c r="D393" s="5">
        <v>36535.74</v>
      </c>
      <c r="E393" s="6">
        <v>3</v>
      </c>
      <c r="F393" s="5">
        <v>109607.22</v>
      </c>
      <c r="G393" s="1">
        <v>45475</v>
      </c>
      <c r="H393" t="s">
        <v>25</v>
      </c>
      <c r="I393">
        <v>1.2</v>
      </c>
      <c r="J393" t="s">
        <v>48</v>
      </c>
      <c r="K393">
        <v>2024</v>
      </c>
      <c r="L393">
        <v>21921.444000000003</v>
      </c>
      <c r="M393">
        <v>14</v>
      </c>
      <c r="N393" t="s">
        <v>41</v>
      </c>
      <c r="O393" t="s">
        <v>28</v>
      </c>
      <c r="P393">
        <f>FlipkartSales[[#This Row],[Price (INR)]]*FlipkartSales[[#This Row],[Quantity Sold]]</f>
        <v>109607.22</v>
      </c>
      <c r="Q393">
        <f>FlipkartSales[[#This Row],[Total Sales (INR)]]-FlipkartSales[[#This Row],[Calculated Sales]]</f>
        <v>0</v>
      </c>
      <c r="R393" s="9">
        <f t="shared" si="48"/>
        <v>0.20000000000000004</v>
      </c>
      <c r="S393">
        <f t="shared" si="49"/>
        <v>36535.74</v>
      </c>
      <c r="T393">
        <f t="shared" si="50"/>
        <v>7307.148000000001</v>
      </c>
      <c r="U393">
        <f t="shared" si="51"/>
        <v>7</v>
      </c>
      <c r="V393" t="str">
        <f t="shared" si="52"/>
        <v>Q3</v>
      </c>
      <c r="W393" t="str">
        <f t="shared" si="53"/>
        <v>Jul-2024</v>
      </c>
      <c r="X393">
        <f t="shared" si="54"/>
        <v>15345.0108</v>
      </c>
      <c r="Y393" s="5">
        <f t="shared" si="55"/>
        <v>94262.209199999998</v>
      </c>
      <c r="Z393" s="21">
        <f>DATE(K393,MATCH(J393,{"January","February","March","April","May","June","July","August","September","October","November","December"},0),1)</f>
        <v>45474</v>
      </c>
    </row>
    <row r="394" spans="1:26" x14ac:dyDescent="0.3">
      <c r="A394" s="4" t="s">
        <v>462</v>
      </c>
      <c r="B394" s="4" t="s">
        <v>47</v>
      </c>
      <c r="C394" s="4" t="s">
        <v>24</v>
      </c>
      <c r="D394" s="5">
        <v>12046.9</v>
      </c>
      <c r="E394" s="6">
        <v>3</v>
      </c>
      <c r="F394" s="5">
        <v>36140.699999999997</v>
      </c>
      <c r="G394" s="1">
        <v>45662</v>
      </c>
      <c r="H394" t="s">
        <v>64</v>
      </c>
      <c r="I394">
        <v>3.2</v>
      </c>
      <c r="J394" t="s">
        <v>53</v>
      </c>
      <c r="K394">
        <v>2025</v>
      </c>
      <c r="L394">
        <v>7228.1399999999994</v>
      </c>
      <c r="M394">
        <v>26</v>
      </c>
      <c r="N394" t="s">
        <v>20</v>
      </c>
      <c r="O394" t="s">
        <v>68</v>
      </c>
      <c r="P394">
        <f>FlipkartSales[[#This Row],[Price (INR)]]*FlipkartSales[[#This Row],[Quantity Sold]]</f>
        <v>36140.699999999997</v>
      </c>
      <c r="Q394">
        <f>FlipkartSales[[#This Row],[Total Sales (INR)]]-FlipkartSales[[#This Row],[Calculated Sales]]</f>
        <v>0</v>
      </c>
      <c r="R394" s="9">
        <f t="shared" si="48"/>
        <v>0.2</v>
      </c>
      <c r="S394">
        <f t="shared" si="49"/>
        <v>12046.9</v>
      </c>
      <c r="T394">
        <f t="shared" si="50"/>
        <v>2409.3799999999997</v>
      </c>
      <c r="U394">
        <f t="shared" si="51"/>
        <v>1</v>
      </c>
      <c r="V394" t="str">
        <f t="shared" si="52"/>
        <v>Q1</v>
      </c>
      <c r="W394" t="str">
        <f t="shared" si="53"/>
        <v>Jan-2025</v>
      </c>
      <c r="X394">
        <f t="shared" si="54"/>
        <v>9396.5820000000003</v>
      </c>
      <c r="Y394" s="5">
        <f t="shared" si="55"/>
        <v>26744.117999999995</v>
      </c>
      <c r="Z394" s="21">
        <f>DATE(K394,MATCH(J394,{"January","February","March","April","May","June","July","August","September","October","November","December"},0),1)</f>
        <v>45658</v>
      </c>
    </row>
    <row r="395" spans="1:26" x14ac:dyDescent="0.3">
      <c r="A395" s="4" t="s">
        <v>463</v>
      </c>
      <c r="B395" s="4" t="s">
        <v>94</v>
      </c>
      <c r="C395" s="4" t="s">
        <v>31</v>
      </c>
      <c r="D395" s="5">
        <v>7043.51</v>
      </c>
      <c r="E395" s="6">
        <v>4</v>
      </c>
      <c r="F395" s="5">
        <v>28174.04</v>
      </c>
      <c r="G395" s="1">
        <v>45363</v>
      </c>
      <c r="H395" t="s">
        <v>25</v>
      </c>
      <c r="I395">
        <v>2.2999999999999998</v>
      </c>
      <c r="J395" t="s">
        <v>56</v>
      </c>
      <c r="K395">
        <v>2024</v>
      </c>
      <c r="L395">
        <v>5634.8080000000009</v>
      </c>
      <c r="M395">
        <v>30</v>
      </c>
      <c r="N395" t="s">
        <v>41</v>
      </c>
      <c r="O395" t="s">
        <v>28</v>
      </c>
      <c r="P395">
        <f>FlipkartSales[[#This Row],[Price (INR)]]*FlipkartSales[[#This Row],[Quantity Sold]]</f>
        <v>28174.04</v>
      </c>
      <c r="Q395">
        <f>FlipkartSales[[#This Row],[Total Sales (INR)]]-FlipkartSales[[#This Row],[Calculated Sales]]</f>
        <v>0</v>
      </c>
      <c r="R395" s="9">
        <f t="shared" si="48"/>
        <v>0.20000000000000004</v>
      </c>
      <c r="S395">
        <f t="shared" si="49"/>
        <v>7043.51</v>
      </c>
      <c r="T395">
        <f t="shared" si="50"/>
        <v>1408.7020000000002</v>
      </c>
      <c r="U395">
        <f t="shared" si="51"/>
        <v>3</v>
      </c>
      <c r="V395" t="str">
        <f t="shared" si="52"/>
        <v>Q1</v>
      </c>
      <c r="W395" t="str">
        <f t="shared" si="53"/>
        <v>Mar-2024</v>
      </c>
      <c r="X395">
        <f t="shared" si="54"/>
        <v>8452.2120000000014</v>
      </c>
      <c r="Y395" s="5">
        <f t="shared" si="55"/>
        <v>19721.828000000001</v>
      </c>
      <c r="Z395" s="21">
        <f>DATE(K395,MATCH(J395,{"January","February","March","April","May","June","July","August","September","October","November","December"},0),1)</f>
        <v>45352</v>
      </c>
    </row>
    <row r="396" spans="1:26" x14ac:dyDescent="0.3">
      <c r="A396" s="4" t="s">
        <v>464</v>
      </c>
      <c r="B396" s="4" t="s">
        <v>47</v>
      </c>
      <c r="C396" s="4" t="s">
        <v>24</v>
      </c>
      <c r="D396" s="5">
        <v>34369.57</v>
      </c>
      <c r="E396" s="6">
        <v>4</v>
      </c>
      <c r="F396" s="5">
        <v>137478.28</v>
      </c>
      <c r="G396" s="1">
        <v>45504</v>
      </c>
      <c r="H396" t="s">
        <v>80</v>
      </c>
      <c r="I396">
        <v>1.6</v>
      </c>
      <c r="J396" t="s">
        <v>48</v>
      </c>
      <c r="K396">
        <v>2024</v>
      </c>
      <c r="L396">
        <v>27495.656000000003</v>
      </c>
      <c r="M396">
        <v>7</v>
      </c>
      <c r="N396" t="s">
        <v>20</v>
      </c>
      <c r="O396" t="s">
        <v>21</v>
      </c>
      <c r="P396">
        <f>FlipkartSales[[#This Row],[Price (INR)]]*FlipkartSales[[#This Row],[Quantity Sold]]</f>
        <v>137478.28</v>
      </c>
      <c r="Q396">
        <f>FlipkartSales[[#This Row],[Total Sales (INR)]]-FlipkartSales[[#This Row],[Calculated Sales]]</f>
        <v>0</v>
      </c>
      <c r="R396" s="9">
        <f t="shared" si="48"/>
        <v>0.2</v>
      </c>
      <c r="S396">
        <f t="shared" si="49"/>
        <v>34369.57</v>
      </c>
      <c r="T396">
        <f t="shared" si="50"/>
        <v>6873.9140000000007</v>
      </c>
      <c r="U396">
        <f t="shared" si="51"/>
        <v>7</v>
      </c>
      <c r="V396" t="str">
        <f t="shared" si="52"/>
        <v>Q3</v>
      </c>
      <c r="W396" t="str">
        <f t="shared" si="53"/>
        <v>Jul-2024</v>
      </c>
      <c r="X396">
        <f t="shared" si="54"/>
        <v>9623.4795999999988</v>
      </c>
      <c r="Y396" s="5">
        <f t="shared" si="55"/>
        <v>127854.80040000001</v>
      </c>
      <c r="Z396" s="21">
        <f>DATE(K396,MATCH(J396,{"January","February","March","April","May","June","July","August","September","October","November","December"},0),1)</f>
        <v>45474</v>
      </c>
    </row>
    <row r="397" spans="1:26" x14ac:dyDescent="0.3">
      <c r="A397" s="4" t="s">
        <v>465</v>
      </c>
      <c r="B397" s="4" t="s">
        <v>47</v>
      </c>
      <c r="C397" s="4" t="s">
        <v>24</v>
      </c>
      <c r="D397" s="5">
        <v>4827.49</v>
      </c>
      <c r="E397" s="6">
        <v>3</v>
      </c>
      <c r="F397" s="5">
        <v>14482.47</v>
      </c>
      <c r="G397" s="1">
        <v>45361</v>
      </c>
      <c r="H397" t="s">
        <v>18</v>
      </c>
      <c r="I397">
        <v>4.2</v>
      </c>
      <c r="J397" t="s">
        <v>56</v>
      </c>
      <c r="K397">
        <v>2024</v>
      </c>
      <c r="L397">
        <v>2896.4940000000001</v>
      </c>
      <c r="M397">
        <v>12</v>
      </c>
      <c r="N397" t="s">
        <v>20</v>
      </c>
      <c r="O397" t="s">
        <v>33</v>
      </c>
      <c r="P397">
        <f>FlipkartSales[[#This Row],[Price (INR)]]*FlipkartSales[[#This Row],[Quantity Sold]]</f>
        <v>14482.47</v>
      </c>
      <c r="Q397">
        <f>FlipkartSales[[#This Row],[Total Sales (INR)]]-FlipkartSales[[#This Row],[Calculated Sales]]</f>
        <v>0</v>
      </c>
      <c r="R397" s="9">
        <f t="shared" si="48"/>
        <v>0.2</v>
      </c>
      <c r="S397">
        <f t="shared" si="49"/>
        <v>4827.49</v>
      </c>
      <c r="T397">
        <f t="shared" si="50"/>
        <v>965.49800000000005</v>
      </c>
      <c r="U397">
        <f t="shared" si="51"/>
        <v>3</v>
      </c>
      <c r="V397" t="str">
        <f t="shared" si="52"/>
        <v>Q1</v>
      </c>
      <c r="W397" t="str">
        <f t="shared" si="53"/>
        <v>Mar-2024</v>
      </c>
      <c r="X397">
        <f t="shared" si="54"/>
        <v>1737.8963999999999</v>
      </c>
      <c r="Y397" s="5">
        <f t="shared" si="55"/>
        <v>12744.5736</v>
      </c>
      <c r="Z397" s="21">
        <f>DATE(K397,MATCH(J397,{"January","February","March","April","May","June","July","August","September","October","November","December"},0),1)</f>
        <v>45352</v>
      </c>
    </row>
    <row r="398" spans="1:26" x14ac:dyDescent="0.3">
      <c r="A398" s="4" t="s">
        <v>466</v>
      </c>
      <c r="B398" s="4" t="s">
        <v>61</v>
      </c>
      <c r="C398" s="4" t="s">
        <v>31</v>
      </c>
      <c r="D398" s="5">
        <v>14851.66</v>
      </c>
      <c r="E398" s="6">
        <v>2</v>
      </c>
      <c r="F398" s="5">
        <v>29703.32</v>
      </c>
      <c r="G398" s="1">
        <v>45665</v>
      </c>
      <c r="H398" t="s">
        <v>18</v>
      </c>
      <c r="I398">
        <v>1.9</v>
      </c>
      <c r="J398" t="s">
        <v>53</v>
      </c>
      <c r="K398">
        <v>2025</v>
      </c>
      <c r="L398">
        <v>5940.6640000000007</v>
      </c>
      <c r="M398">
        <v>18</v>
      </c>
      <c r="N398" t="s">
        <v>41</v>
      </c>
      <c r="O398" t="s">
        <v>33</v>
      </c>
      <c r="P398">
        <f>FlipkartSales[[#This Row],[Price (INR)]]*FlipkartSales[[#This Row],[Quantity Sold]]</f>
        <v>29703.32</v>
      </c>
      <c r="Q398">
        <f>FlipkartSales[[#This Row],[Total Sales (INR)]]-FlipkartSales[[#This Row],[Calculated Sales]]</f>
        <v>0</v>
      </c>
      <c r="R398" s="9">
        <f t="shared" si="48"/>
        <v>0.2</v>
      </c>
      <c r="S398">
        <f t="shared" si="49"/>
        <v>14851.66</v>
      </c>
      <c r="T398">
        <f t="shared" si="50"/>
        <v>2970.3320000000003</v>
      </c>
      <c r="U398">
        <f t="shared" si="51"/>
        <v>1</v>
      </c>
      <c r="V398" t="str">
        <f t="shared" si="52"/>
        <v>Q1</v>
      </c>
      <c r="W398" t="str">
        <f t="shared" si="53"/>
        <v>Jan-2025</v>
      </c>
      <c r="X398">
        <f t="shared" si="54"/>
        <v>5346.5976000000001</v>
      </c>
      <c r="Y398" s="5">
        <f t="shared" si="55"/>
        <v>24356.722399999999</v>
      </c>
      <c r="Z398" s="21">
        <f>DATE(K398,MATCH(J398,{"January","February","March","April","May","June","July","August","September","October","November","December"},0),1)</f>
        <v>45658</v>
      </c>
    </row>
    <row r="399" spans="1:26" x14ac:dyDescent="0.3">
      <c r="A399" s="4" t="s">
        <v>467</v>
      </c>
      <c r="B399" s="4" t="s">
        <v>52</v>
      </c>
      <c r="C399" s="4" t="s">
        <v>24</v>
      </c>
      <c r="D399" s="5">
        <v>40248.269999999997</v>
      </c>
      <c r="E399" s="6">
        <v>3</v>
      </c>
      <c r="F399" s="5">
        <v>120744.81</v>
      </c>
      <c r="G399" s="1">
        <v>45401</v>
      </c>
      <c r="H399" t="s">
        <v>44</v>
      </c>
      <c r="I399">
        <v>3.9</v>
      </c>
      <c r="J399" t="s">
        <v>62</v>
      </c>
      <c r="K399">
        <v>2024</v>
      </c>
      <c r="L399">
        <v>24148.962</v>
      </c>
      <c r="M399">
        <v>28</v>
      </c>
      <c r="N399" t="s">
        <v>20</v>
      </c>
      <c r="O399" t="s">
        <v>68</v>
      </c>
      <c r="P399">
        <f>FlipkartSales[[#This Row],[Price (INR)]]*FlipkartSales[[#This Row],[Quantity Sold]]</f>
        <v>120744.81</v>
      </c>
      <c r="Q399">
        <f>FlipkartSales[[#This Row],[Total Sales (INR)]]-FlipkartSales[[#This Row],[Calculated Sales]]</f>
        <v>0</v>
      </c>
      <c r="R399" s="9">
        <f t="shared" si="48"/>
        <v>0.2</v>
      </c>
      <c r="S399">
        <f t="shared" si="49"/>
        <v>40248.269999999997</v>
      </c>
      <c r="T399">
        <f t="shared" si="50"/>
        <v>8049.6539999999995</v>
      </c>
      <c r="U399">
        <f t="shared" si="51"/>
        <v>4</v>
      </c>
      <c r="V399" t="str">
        <f t="shared" si="52"/>
        <v>Q2</v>
      </c>
      <c r="W399" t="str">
        <f t="shared" si="53"/>
        <v>Apr-2024</v>
      </c>
      <c r="X399">
        <f t="shared" si="54"/>
        <v>33808.546799999996</v>
      </c>
      <c r="Y399" s="5">
        <f t="shared" si="55"/>
        <v>86936.263200000001</v>
      </c>
      <c r="Z399" s="21">
        <f>DATE(K399,MATCH(J399,{"January","February","March","April","May","June","July","August","September","October","November","December"},0),1)</f>
        <v>45383</v>
      </c>
    </row>
    <row r="400" spans="1:26" x14ac:dyDescent="0.3">
      <c r="A400" s="4" t="s">
        <v>468</v>
      </c>
      <c r="B400" s="4" t="s">
        <v>23</v>
      </c>
      <c r="C400" s="4" t="s">
        <v>24</v>
      </c>
      <c r="D400" s="5">
        <v>37135.360000000001</v>
      </c>
      <c r="E400" s="6">
        <v>2</v>
      </c>
      <c r="F400" s="5">
        <v>74270.720000000001</v>
      </c>
      <c r="G400" s="1">
        <v>45649</v>
      </c>
      <c r="H400" t="s">
        <v>80</v>
      </c>
      <c r="I400">
        <v>3</v>
      </c>
      <c r="J400" t="s">
        <v>26</v>
      </c>
      <c r="K400">
        <v>2024</v>
      </c>
      <c r="L400">
        <v>14854.144</v>
      </c>
      <c r="M400">
        <v>22</v>
      </c>
      <c r="N400" t="s">
        <v>27</v>
      </c>
      <c r="O400" t="s">
        <v>28</v>
      </c>
      <c r="P400">
        <f>FlipkartSales[[#This Row],[Price (INR)]]*FlipkartSales[[#This Row],[Quantity Sold]]</f>
        <v>74270.720000000001</v>
      </c>
      <c r="Q400">
        <f>FlipkartSales[[#This Row],[Total Sales (INR)]]-FlipkartSales[[#This Row],[Calculated Sales]]</f>
        <v>0</v>
      </c>
      <c r="R400" s="9">
        <f t="shared" si="48"/>
        <v>0.2</v>
      </c>
      <c r="S400">
        <f t="shared" si="49"/>
        <v>37135.360000000001</v>
      </c>
      <c r="T400">
        <f t="shared" si="50"/>
        <v>7427.0720000000001</v>
      </c>
      <c r="U400">
        <f t="shared" si="51"/>
        <v>12</v>
      </c>
      <c r="V400" t="str">
        <f t="shared" si="52"/>
        <v>Q4</v>
      </c>
      <c r="W400" t="str">
        <f t="shared" si="53"/>
        <v>Dec-2024</v>
      </c>
      <c r="X400">
        <f t="shared" si="54"/>
        <v>16339.558400000002</v>
      </c>
      <c r="Y400" s="5">
        <f t="shared" si="55"/>
        <v>57931.161599999999</v>
      </c>
      <c r="Z400" s="21">
        <f>DATE(K400,MATCH(J400,{"January","February","March","April","May","June","July","August","September","October","November","December"},0),1)</f>
        <v>45627</v>
      </c>
    </row>
    <row r="401" spans="1:26" x14ac:dyDescent="0.3">
      <c r="A401" s="4" t="s">
        <v>469</v>
      </c>
      <c r="B401" s="4" t="s">
        <v>100</v>
      </c>
      <c r="C401" s="4" t="s">
        <v>31</v>
      </c>
      <c r="D401" s="5">
        <v>25794.78</v>
      </c>
      <c r="E401" s="6">
        <v>5</v>
      </c>
      <c r="F401" s="5">
        <v>128973.9</v>
      </c>
      <c r="G401" s="1">
        <v>45517</v>
      </c>
      <c r="H401" t="s">
        <v>18</v>
      </c>
      <c r="I401">
        <v>1</v>
      </c>
      <c r="J401" t="s">
        <v>88</v>
      </c>
      <c r="K401">
        <v>2024</v>
      </c>
      <c r="L401">
        <v>25794.78</v>
      </c>
      <c r="M401">
        <v>19</v>
      </c>
      <c r="N401" t="s">
        <v>20</v>
      </c>
      <c r="O401" t="s">
        <v>28</v>
      </c>
      <c r="P401">
        <f>FlipkartSales[[#This Row],[Price (INR)]]*FlipkartSales[[#This Row],[Quantity Sold]]</f>
        <v>128973.9</v>
      </c>
      <c r="Q401">
        <f>FlipkartSales[[#This Row],[Total Sales (INR)]]-FlipkartSales[[#This Row],[Calculated Sales]]</f>
        <v>0</v>
      </c>
      <c r="R401" s="9">
        <f t="shared" si="48"/>
        <v>0.2</v>
      </c>
      <c r="S401">
        <f t="shared" si="49"/>
        <v>25794.78</v>
      </c>
      <c r="T401">
        <f t="shared" si="50"/>
        <v>5158.9560000000001</v>
      </c>
      <c r="U401">
        <f t="shared" si="51"/>
        <v>8</v>
      </c>
      <c r="V401" t="str">
        <f t="shared" si="52"/>
        <v>Q3</v>
      </c>
      <c r="W401" t="str">
        <f t="shared" si="53"/>
        <v>Aug-2024</v>
      </c>
      <c r="X401">
        <f t="shared" si="54"/>
        <v>24505.041000000001</v>
      </c>
      <c r="Y401" s="5">
        <f t="shared" si="55"/>
        <v>104468.859</v>
      </c>
      <c r="Z401" s="21">
        <f>DATE(K401,MATCH(J401,{"January","February","March","April","May","June","July","August","September","October","November","December"},0),1)</f>
        <v>45505</v>
      </c>
    </row>
    <row r="402" spans="1:26" x14ac:dyDescent="0.3">
      <c r="A402" s="4" t="s">
        <v>470</v>
      </c>
      <c r="B402" s="4" t="s">
        <v>100</v>
      </c>
      <c r="C402" s="4" t="s">
        <v>31</v>
      </c>
      <c r="D402" s="5">
        <v>47564.29</v>
      </c>
      <c r="E402" s="6">
        <v>3</v>
      </c>
      <c r="F402" s="5">
        <v>142692.87</v>
      </c>
      <c r="G402" s="1">
        <v>45435</v>
      </c>
      <c r="H402" t="s">
        <v>80</v>
      </c>
      <c r="I402">
        <v>3.5</v>
      </c>
      <c r="J402" t="s">
        <v>32</v>
      </c>
      <c r="K402">
        <v>2024</v>
      </c>
      <c r="L402">
        <v>28538.574000000001</v>
      </c>
      <c r="M402">
        <v>26</v>
      </c>
      <c r="N402" t="s">
        <v>27</v>
      </c>
      <c r="O402" t="s">
        <v>68</v>
      </c>
      <c r="P402">
        <f>FlipkartSales[[#This Row],[Price (INR)]]*FlipkartSales[[#This Row],[Quantity Sold]]</f>
        <v>142692.87</v>
      </c>
      <c r="Q402">
        <f>FlipkartSales[[#This Row],[Total Sales (INR)]]-FlipkartSales[[#This Row],[Calculated Sales]]</f>
        <v>0</v>
      </c>
      <c r="R402" s="9">
        <f t="shared" si="48"/>
        <v>0.2</v>
      </c>
      <c r="S402">
        <f t="shared" si="49"/>
        <v>47564.29</v>
      </c>
      <c r="T402">
        <f t="shared" si="50"/>
        <v>9512.8580000000002</v>
      </c>
      <c r="U402">
        <f t="shared" si="51"/>
        <v>5</v>
      </c>
      <c r="V402" t="str">
        <f t="shared" si="52"/>
        <v>Q2</v>
      </c>
      <c r="W402" t="str">
        <f t="shared" si="53"/>
        <v>May-2024</v>
      </c>
      <c r="X402">
        <f t="shared" si="54"/>
        <v>37100.146200000003</v>
      </c>
      <c r="Y402" s="5">
        <f t="shared" si="55"/>
        <v>105592.72379999999</v>
      </c>
      <c r="Z402" s="21">
        <f>DATE(K402,MATCH(J402,{"January","February","March","April","May","June","July","August","September","October","November","December"},0),1)</f>
        <v>45413</v>
      </c>
    </row>
    <row r="403" spans="1:26" x14ac:dyDescent="0.3">
      <c r="A403" s="4" t="s">
        <v>471</v>
      </c>
      <c r="B403" s="4" t="s">
        <v>43</v>
      </c>
      <c r="C403" s="4" t="s">
        <v>40</v>
      </c>
      <c r="D403" s="5">
        <v>5500.92</v>
      </c>
      <c r="E403" s="6">
        <v>3</v>
      </c>
      <c r="F403" s="5">
        <v>16502.759999999998</v>
      </c>
      <c r="G403" s="1">
        <v>45500</v>
      </c>
      <c r="H403" t="s">
        <v>18</v>
      </c>
      <c r="I403">
        <v>2.2999999999999998</v>
      </c>
      <c r="J403" t="s">
        <v>48</v>
      </c>
      <c r="K403">
        <v>2024</v>
      </c>
      <c r="L403">
        <v>3300.5519999999997</v>
      </c>
      <c r="M403">
        <v>27</v>
      </c>
      <c r="N403" t="s">
        <v>27</v>
      </c>
      <c r="O403" t="s">
        <v>28</v>
      </c>
      <c r="P403">
        <f>FlipkartSales[[#This Row],[Price (INR)]]*FlipkartSales[[#This Row],[Quantity Sold]]</f>
        <v>16502.760000000002</v>
      </c>
      <c r="Q403">
        <f>FlipkartSales[[#This Row],[Total Sales (INR)]]-FlipkartSales[[#This Row],[Calculated Sales]]</f>
        <v>0</v>
      </c>
      <c r="R403" s="9">
        <f t="shared" si="48"/>
        <v>0.2</v>
      </c>
      <c r="S403">
        <f t="shared" si="49"/>
        <v>5500.9199999999992</v>
      </c>
      <c r="T403">
        <f t="shared" si="50"/>
        <v>1100.184</v>
      </c>
      <c r="U403">
        <f t="shared" si="51"/>
        <v>7</v>
      </c>
      <c r="V403" t="str">
        <f t="shared" si="52"/>
        <v>Q3</v>
      </c>
      <c r="W403" t="str">
        <f t="shared" si="53"/>
        <v>Jul-2024</v>
      </c>
      <c r="X403">
        <f t="shared" si="54"/>
        <v>4455.7451999999994</v>
      </c>
      <c r="Y403" s="5">
        <f t="shared" si="55"/>
        <v>12047.014799999999</v>
      </c>
      <c r="Z403" s="21">
        <f>DATE(K403,MATCH(J403,{"January","February","March","April","May","June","July","August","September","October","November","December"},0),1)</f>
        <v>45474</v>
      </c>
    </row>
    <row r="404" spans="1:26" x14ac:dyDescent="0.3">
      <c r="A404" s="4" t="s">
        <v>472</v>
      </c>
      <c r="B404" s="4" t="s">
        <v>70</v>
      </c>
      <c r="C404" s="4" t="s">
        <v>17</v>
      </c>
      <c r="D404" s="5">
        <v>904.29</v>
      </c>
      <c r="E404" s="6">
        <v>2</v>
      </c>
      <c r="F404" s="5">
        <v>1808.58</v>
      </c>
      <c r="G404" s="1">
        <v>45413</v>
      </c>
      <c r="H404" t="s">
        <v>18</v>
      </c>
      <c r="I404">
        <v>3.5</v>
      </c>
      <c r="J404" t="s">
        <v>32</v>
      </c>
      <c r="K404">
        <v>2024</v>
      </c>
      <c r="L404">
        <v>361.71600000000001</v>
      </c>
      <c r="M404">
        <v>6</v>
      </c>
      <c r="N404" t="s">
        <v>20</v>
      </c>
      <c r="O404" t="s">
        <v>21</v>
      </c>
      <c r="P404">
        <f>FlipkartSales[[#This Row],[Price (INR)]]*FlipkartSales[[#This Row],[Quantity Sold]]</f>
        <v>1808.58</v>
      </c>
      <c r="Q404">
        <f>FlipkartSales[[#This Row],[Total Sales (INR)]]-FlipkartSales[[#This Row],[Calculated Sales]]</f>
        <v>0</v>
      </c>
      <c r="R404" s="9">
        <f t="shared" si="48"/>
        <v>0.2</v>
      </c>
      <c r="S404">
        <f t="shared" si="49"/>
        <v>904.29</v>
      </c>
      <c r="T404">
        <f t="shared" si="50"/>
        <v>180.858</v>
      </c>
      <c r="U404">
        <f t="shared" si="51"/>
        <v>5</v>
      </c>
      <c r="V404" t="str">
        <f t="shared" si="52"/>
        <v>Q2</v>
      </c>
      <c r="W404" t="str">
        <f t="shared" si="53"/>
        <v>May-2024</v>
      </c>
      <c r="X404">
        <f t="shared" si="54"/>
        <v>108.51479999999999</v>
      </c>
      <c r="Y404" s="5">
        <f t="shared" si="55"/>
        <v>1700.0652</v>
      </c>
      <c r="Z404" s="21">
        <f>DATE(K404,MATCH(J404,{"January","February","March","April","May","June","July","August","September","October","November","December"},0),1)</f>
        <v>45413</v>
      </c>
    </row>
    <row r="405" spans="1:26" x14ac:dyDescent="0.3">
      <c r="A405" s="4" t="s">
        <v>473</v>
      </c>
      <c r="B405" s="4" t="s">
        <v>35</v>
      </c>
      <c r="C405" s="4" t="s">
        <v>36</v>
      </c>
      <c r="D405" s="5">
        <v>25035.46</v>
      </c>
      <c r="E405" s="6">
        <v>2</v>
      </c>
      <c r="F405" s="5">
        <v>50070.92</v>
      </c>
      <c r="G405" s="1">
        <v>45397</v>
      </c>
      <c r="H405" t="s">
        <v>18</v>
      </c>
      <c r="I405">
        <v>4.5</v>
      </c>
      <c r="J405" t="s">
        <v>62</v>
      </c>
      <c r="K405">
        <v>2024</v>
      </c>
      <c r="L405">
        <v>10014.184000000001</v>
      </c>
      <c r="M405">
        <v>14</v>
      </c>
      <c r="N405" t="s">
        <v>41</v>
      </c>
      <c r="O405" t="s">
        <v>33</v>
      </c>
      <c r="P405">
        <f>FlipkartSales[[#This Row],[Price (INR)]]*FlipkartSales[[#This Row],[Quantity Sold]]</f>
        <v>50070.92</v>
      </c>
      <c r="Q405">
        <f>FlipkartSales[[#This Row],[Total Sales (INR)]]-FlipkartSales[[#This Row],[Calculated Sales]]</f>
        <v>0</v>
      </c>
      <c r="R405" s="9">
        <f t="shared" si="48"/>
        <v>0.20000000000000004</v>
      </c>
      <c r="S405">
        <f t="shared" si="49"/>
        <v>25035.46</v>
      </c>
      <c r="T405">
        <f t="shared" si="50"/>
        <v>5007.0920000000006</v>
      </c>
      <c r="U405">
        <f t="shared" si="51"/>
        <v>4</v>
      </c>
      <c r="V405" t="str">
        <f t="shared" si="52"/>
        <v>Q2</v>
      </c>
      <c r="W405" t="str">
        <f t="shared" si="53"/>
        <v>Apr-2024</v>
      </c>
      <c r="X405">
        <f t="shared" si="54"/>
        <v>7009.9287999999997</v>
      </c>
      <c r="Y405" s="5">
        <f t="shared" si="55"/>
        <v>43060.991199999997</v>
      </c>
      <c r="Z405" s="21">
        <f>DATE(K405,MATCH(J405,{"January","February","March","April","May","June","July","August","September","October","November","December"},0),1)</f>
        <v>45383</v>
      </c>
    </row>
    <row r="406" spans="1:26" x14ac:dyDescent="0.3">
      <c r="A406" s="4" t="s">
        <v>474</v>
      </c>
      <c r="B406" s="4" t="s">
        <v>47</v>
      </c>
      <c r="C406" s="4" t="s">
        <v>24</v>
      </c>
      <c r="D406" s="5">
        <v>30156.36</v>
      </c>
      <c r="E406" s="6">
        <v>5</v>
      </c>
      <c r="F406" s="5">
        <v>150781.79999999999</v>
      </c>
      <c r="G406" s="1">
        <v>45663</v>
      </c>
      <c r="H406" t="s">
        <v>25</v>
      </c>
      <c r="I406">
        <v>4.4000000000000004</v>
      </c>
      <c r="J406" t="s">
        <v>53</v>
      </c>
      <c r="K406">
        <v>2025</v>
      </c>
      <c r="L406">
        <v>30156.36</v>
      </c>
      <c r="M406">
        <v>6</v>
      </c>
      <c r="N406" t="s">
        <v>27</v>
      </c>
      <c r="O406" t="s">
        <v>68</v>
      </c>
      <c r="P406">
        <f>FlipkartSales[[#This Row],[Price (INR)]]*FlipkartSales[[#This Row],[Quantity Sold]]</f>
        <v>150781.79999999999</v>
      </c>
      <c r="Q406">
        <f>FlipkartSales[[#This Row],[Total Sales (INR)]]-FlipkartSales[[#This Row],[Calculated Sales]]</f>
        <v>0</v>
      </c>
      <c r="R406" s="9">
        <f t="shared" si="48"/>
        <v>0.2</v>
      </c>
      <c r="S406">
        <f t="shared" si="49"/>
        <v>30156.359999999997</v>
      </c>
      <c r="T406">
        <f t="shared" si="50"/>
        <v>6031.2719999999999</v>
      </c>
      <c r="U406">
        <f t="shared" si="51"/>
        <v>1</v>
      </c>
      <c r="V406" t="str">
        <f t="shared" si="52"/>
        <v>Q1</v>
      </c>
      <c r="W406" t="str">
        <f t="shared" si="53"/>
        <v>Jan-2025</v>
      </c>
      <c r="X406">
        <f t="shared" si="54"/>
        <v>9046.9079999999994</v>
      </c>
      <c r="Y406" s="5">
        <f t="shared" si="55"/>
        <v>141734.89199999999</v>
      </c>
      <c r="Z406" s="21">
        <f>DATE(K406,MATCH(J406,{"January","February","March","April","May","June","July","August","September","October","November","December"},0),1)</f>
        <v>45658</v>
      </c>
    </row>
    <row r="407" spans="1:26" x14ac:dyDescent="0.3">
      <c r="A407" s="4" t="s">
        <v>475</v>
      </c>
      <c r="B407" s="4" t="s">
        <v>52</v>
      </c>
      <c r="C407" s="4" t="s">
        <v>24</v>
      </c>
      <c r="D407" s="5">
        <v>42189.9</v>
      </c>
      <c r="E407" s="6">
        <v>1</v>
      </c>
      <c r="F407" s="5">
        <v>42189.9</v>
      </c>
      <c r="G407" s="1">
        <v>45669</v>
      </c>
      <c r="H407" t="s">
        <v>71</v>
      </c>
      <c r="I407">
        <v>3.4</v>
      </c>
      <c r="J407" t="s">
        <v>53</v>
      </c>
      <c r="K407">
        <v>2025</v>
      </c>
      <c r="L407">
        <v>8437.9800000000014</v>
      </c>
      <c r="M407">
        <v>30</v>
      </c>
      <c r="N407" t="s">
        <v>41</v>
      </c>
      <c r="O407" t="s">
        <v>68</v>
      </c>
      <c r="P407">
        <f>FlipkartSales[[#This Row],[Price (INR)]]*FlipkartSales[[#This Row],[Quantity Sold]]</f>
        <v>42189.9</v>
      </c>
      <c r="Q407">
        <f>FlipkartSales[[#This Row],[Total Sales (INR)]]-FlipkartSales[[#This Row],[Calculated Sales]]</f>
        <v>0</v>
      </c>
      <c r="R407" s="9">
        <f t="shared" si="48"/>
        <v>0.20000000000000004</v>
      </c>
      <c r="S407">
        <f t="shared" si="49"/>
        <v>42189.9</v>
      </c>
      <c r="T407">
        <f t="shared" si="50"/>
        <v>8437.9800000000014</v>
      </c>
      <c r="U407">
        <f t="shared" si="51"/>
        <v>1</v>
      </c>
      <c r="V407" t="str">
        <f t="shared" si="52"/>
        <v>Q1</v>
      </c>
      <c r="W407" t="str">
        <f t="shared" si="53"/>
        <v>Jan-2025</v>
      </c>
      <c r="X407">
        <f t="shared" si="54"/>
        <v>12656.97</v>
      </c>
      <c r="Y407" s="5">
        <f t="shared" si="55"/>
        <v>29532.93</v>
      </c>
      <c r="Z407" s="21">
        <f>DATE(K407,MATCH(J407,{"January","February","March","April","May","June","July","August","September","October","November","December"},0),1)</f>
        <v>45658</v>
      </c>
    </row>
    <row r="408" spans="1:26" x14ac:dyDescent="0.3">
      <c r="A408" s="4" t="s">
        <v>476</v>
      </c>
      <c r="B408" s="4" t="s">
        <v>23</v>
      </c>
      <c r="C408" s="4" t="s">
        <v>24</v>
      </c>
      <c r="D408" s="5">
        <v>41122.81</v>
      </c>
      <c r="E408" s="6">
        <v>2</v>
      </c>
      <c r="F408" s="5">
        <v>82245.62</v>
      </c>
      <c r="G408" s="1">
        <v>45636</v>
      </c>
      <c r="H408" t="s">
        <v>80</v>
      </c>
      <c r="I408">
        <v>4.8</v>
      </c>
      <c r="J408" t="s">
        <v>26</v>
      </c>
      <c r="K408">
        <v>2024</v>
      </c>
      <c r="L408">
        <v>16449.124</v>
      </c>
      <c r="M408">
        <v>21</v>
      </c>
      <c r="N408" t="s">
        <v>27</v>
      </c>
      <c r="O408" t="s">
        <v>28</v>
      </c>
      <c r="P408">
        <f>FlipkartSales[[#This Row],[Price (INR)]]*FlipkartSales[[#This Row],[Quantity Sold]]</f>
        <v>82245.62</v>
      </c>
      <c r="Q408">
        <f>FlipkartSales[[#This Row],[Total Sales (INR)]]-FlipkartSales[[#This Row],[Calculated Sales]]</f>
        <v>0</v>
      </c>
      <c r="R408" s="9">
        <f t="shared" si="48"/>
        <v>0.2</v>
      </c>
      <c r="S408">
        <f t="shared" si="49"/>
        <v>41122.81</v>
      </c>
      <c r="T408">
        <f t="shared" si="50"/>
        <v>8224.5619999999999</v>
      </c>
      <c r="U408">
        <f t="shared" si="51"/>
        <v>12</v>
      </c>
      <c r="V408" t="str">
        <f t="shared" si="52"/>
        <v>Q4</v>
      </c>
      <c r="W408" t="str">
        <f t="shared" si="53"/>
        <v>Dec-2024</v>
      </c>
      <c r="X408">
        <f t="shared" si="54"/>
        <v>17271.5802</v>
      </c>
      <c r="Y408" s="5">
        <f t="shared" si="55"/>
        <v>64974.039799999999</v>
      </c>
      <c r="Z408" s="21">
        <f>DATE(K408,MATCH(J408,{"January","February","March","April","May","June","July","August","September","October","November","December"},0),1)</f>
        <v>45627</v>
      </c>
    </row>
    <row r="409" spans="1:26" x14ac:dyDescent="0.3">
      <c r="A409" s="4" t="s">
        <v>477</v>
      </c>
      <c r="B409" s="4" t="s">
        <v>78</v>
      </c>
      <c r="C409" s="4" t="s">
        <v>24</v>
      </c>
      <c r="D409" s="5">
        <v>21705.78</v>
      </c>
      <c r="E409" s="6">
        <v>1</v>
      </c>
      <c r="F409" s="5">
        <v>21705.78</v>
      </c>
      <c r="G409" s="1">
        <v>45570</v>
      </c>
      <c r="H409" t="s">
        <v>64</v>
      </c>
      <c r="I409">
        <v>1.1000000000000001</v>
      </c>
      <c r="J409" t="s">
        <v>45</v>
      </c>
      <c r="K409">
        <v>2024</v>
      </c>
      <c r="L409">
        <v>4341.1559999999999</v>
      </c>
      <c r="M409">
        <v>12</v>
      </c>
      <c r="N409" t="s">
        <v>20</v>
      </c>
      <c r="O409" t="s">
        <v>68</v>
      </c>
      <c r="P409">
        <f>FlipkartSales[[#This Row],[Price (INR)]]*FlipkartSales[[#This Row],[Quantity Sold]]</f>
        <v>21705.78</v>
      </c>
      <c r="Q409">
        <f>FlipkartSales[[#This Row],[Total Sales (INR)]]-FlipkartSales[[#This Row],[Calculated Sales]]</f>
        <v>0</v>
      </c>
      <c r="R409" s="9">
        <f t="shared" si="48"/>
        <v>0.2</v>
      </c>
      <c r="S409">
        <f t="shared" si="49"/>
        <v>21705.78</v>
      </c>
      <c r="T409">
        <f t="shared" si="50"/>
        <v>4341.1559999999999</v>
      </c>
      <c r="U409">
        <f t="shared" si="51"/>
        <v>10</v>
      </c>
      <c r="V409" t="str">
        <f t="shared" si="52"/>
        <v>Q4</v>
      </c>
      <c r="W409" t="str">
        <f t="shared" si="53"/>
        <v>Oct-2024</v>
      </c>
      <c r="X409">
        <f t="shared" si="54"/>
        <v>2604.6936000000001</v>
      </c>
      <c r="Y409" s="5">
        <f t="shared" si="55"/>
        <v>19101.0864</v>
      </c>
      <c r="Z409" s="21">
        <f>DATE(K409,MATCH(J409,{"January","February","March","April","May","June","July","August","September","October","November","December"},0),1)</f>
        <v>45566</v>
      </c>
    </row>
    <row r="410" spans="1:26" x14ac:dyDescent="0.3">
      <c r="A410" s="4" t="s">
        <v>478</v>
      </c>
      <c r="B410" s="4" t="s">
        <v>107</v>
      </c>
      <c r="C410" s="4" t="s">
        <v>36</v>
      </c>
      <c r="D410" s="5">
        <v>28391.65</v>
      </c>
      <c r="E410" s="6">
        <v>3</v>
      </c>
      <c r="F410" s="5">
        <v>85174.95</v>
      </c>
      <c r="G410" s="1">
        <v>45637</v>
      </c>
      <c r="H410" t="s">
        <v>18</v>
      </c>
      <c r="I410">
        <v>2.5</v>
      </c>
      <c r="J410" t="s">
        <v>26</v>
      </c>
      <c r="K410">
        <v>2024</v>
      </c>
      <c r="L410">
        <v>17034.990000000002</v>
      </c>
      <c r="M410">
        <v>5</v>
      </c>
      <c r="N410" t="s">
        <v>20</v>
      </c>
      <c r="O410" t="s">
        <v>21</v>
      </c>
      <c r="P410">
        <f>FlipkartSales[[#This Row],[Price (INR)]]*FlipkartSales[[#This Row],[Quantity Sold]]</f>
        <v>85174.950000000012</v>
      </c>
      <c r="Q410">
        <f>FlipkartSales[[#This Row],[Total Sales (INR)]]-FlipkartSales[[#This Row],[Calculated Sales]]</f>
        <v>0</v>
      </c>
      <c r="R410" s="9">
        <f t="shared" si="48"/>
        <v>0.20000000000000004</v>
      </c>
      <c r="S410">
        <f t="shared" si="49"/>
        <v>28391.649999999998</v>
      </c>
      <c r="T410">
        <f t="shared" si="50"/>
        <v>5678.3300000000008</v>
      </c>
      <c r="U410">
        <f t="shared" si="51"/>
        <v>12</v>
      </c>
      <c r="V410" t="str">
        <f t="shared" si="52"/>
        <v>Q4</v>
      </c>
      <c r="W410" t="str">
        <f t="shared" si="53"/>
        <v>Dec-2024</v>
      </c>
      <c r="X410">
        <f t="shared" si="54"/>
        <v>4258.7475000000004</v>
      </c>
      <c r="Y410" s="5">
        <f t="shared" si="55"/>
        <v>80916.202499999999</v>
      </c>
      <c r="Z410" s="21">
        <f>DATE(K410,MATCH(J410,{"January","February","March","April","May","June","July","August","September","October","November","December"},0),1)</f>
        <v>45627</v>
      </c>
    </row>
    <row r="411" spans="1:26" x14ac:dyDescent="0.3">
      <c r="A411" s="4" t="s">
        <v>479</v>
      </c>
      <c r="B411" s="4" t="s">
        <v>43</v>
      </c>
      <c r="C411" s="4" t="s">
        <v>40</v>
      </c>
      <c r="D411" s="5">
        <v>40031.86</v>
      </c>
      <c r="E411" s="6">
        <v>2</v>
      </c>
      <c r="F411" s="5">
        <v>80063.72</v>
      </c>
      <c r="G411" s="1">
        <v>45642</v>
      </c>
      <c r="H411" t="s">
        <v>64</v>
      </c>
      <c r="I411">
        <v>1.9</v>
      </c>
      <c r="J411" t="s">
        <v>26</v>
      </c>
      <c r="K411">
        <v>2024</v>
      </c>
      <c r="L411">
        <v>16012.744000000001</v>
      </c>
      <c r="M411">
        <v>13</v>
      </c>
      <c r="N411" t="s">
        <v>27</v>
      </c>
      <c r="O411" t="s">
        <v>28</v>
      </c>
      <c r="P411">
        <f>FlipkartSales[[#This Row],[Price (INR)]]*FlipkartSales[[#This Row],[Quantity Sold]]</f>
        <v>80063.72</v>
      </c>
      <c r="Q411">
        <f>FlipkartSales[[#This Row],[Total Sales (INR)]]-FlipkartSales[[#This Row],[Calculated Sales]]</f>
        <v>0</v>
      </c>
      <c r="R411" s="9">
        <f t="shared" si="48"/>
        <v>0.2</v>
      </c>
      <c r="S411">
        <f t="shared" si="49"/>
        <v>40031.86</v>
      </c>
      <c r="T411">
        <f t="shared" si="50"/>
        <v>8006.3720000000003</v>
      </c>
      <c r="U411">
        <f t="shared" si="51"/>
        <v>12</v>
      </c>
      <c r="V411" t="str">
        <f t="shared" si="52"/>
        <v>Q4</v>
      </c>
      <c r="W411" t="str">
        <f t="shared" si="53"/>
        <v>Dec-2024</v>
      </c>
      <c r="X411">
        <f t="shared" si="54"/>
        <v>10408.283600000001</v>
      </c>
      <c r="Y411" s="5">
        <f t="shared" si="55"/>
        <v>69655.436400000006</v>
      </c>
      <c r="Z411" s="21">
        <f>DATE(K411,MATCH(J411,{"January","February","March","April","May","June","July","August","September","October","November","December"},0),1)</f>
        <v>45627</v>
      </c>
    </row>
    <row r="412" spans="1:26" x14ac:dyDescent="0.3">
      <c r="A412" s="4" t="s">
        <v>480</v>
      </c>
      <c r="B412" s="4" t="s">
        <v>43</v>
      </c>
      <c r="C412" s="4" t="s">
        <v>40</v>
      </c>
      <c r="D412" s="5">
        <v>41248.019999999997</v>
      </c>
      <c r="E412" s="6">
        <v>4</v>
      </c>
      <c r="F412" s="5">
        <v>164992.07999999999</v>
      </c>
      <c r="G412" s="1">
        <v>45669</v>
      </c>
      <c r="H412" t="s">
        <v>71</v>
      </c>
      <c r="I412">
        <v>2.6</v>
      </c>
      <c r="J412" t="s">
        <v>53</v>
      </c>
      <c r="K412">
        <v>2025</v>
      </c>
      <c r="L412">
        <v>32998.415999999997</v>
      </c>
      <c r="M412">
        <v>15</v>
      </c>
      <c r="N412" t="s">
        <v>20</v>
      </c>
      <c r="O412" t="s">
        <v>28</v>
      </c>
      <c r="P412">
        <f>FlipkartSales[[#This Row],[Price (INR)]]*FlipkartSales[[#This Row],[Quantity Sold]]</f>
        <v>164992.07999999999</v>
      </c>
      <c r="Q412">
        <f>FlipkartSales[[#This Row],[Total Sales (INR)]]-FlipkartSales[[#This Row],[Calculated Sales]]</f>
        <v>0</v>
      </c>
      <c r="R412" s="9">
        <f t="shared" si="48"/>
        <v>0.2</v>
      </c>
      <c r="S412">
        <f t="shared" si="49"/>
        <v>41248.019999999997</v>
      </c>
      <c r="T412">
        <f t="shared" si="50"/>
        <v>8249.6039999999994</v>
      </c>
      <c r="U412">
        <f t="shared" si="51"/>
        <v>1</v>
      </c>
      <c r="V412" t="str">
        <f t="shared" si="52"/>
        <v>Q1</v>
      </c>
      <c r="W412" t="str">
        <f t="shared" si="53"/>
        <v>Jan-2025</v>
      </c>
      <c r="X412">
        <f t="shared" si="54"/>
        <v>24748.811999999998</v>
      </c>
      <c r="Y412" s="5">
        <f t="shared" si="55"/>
        <v>140243.26799999998</v>
      </c>
      <c r="Z412" s="21">
        <f>DATE(K412,MATCH(J412,{"January","February","March","April","May","June","July","August","September","October","November","December"},0),1)</f>
        <v>45658</v>
      </c>
    </row>
    <row r="413" spans="1:26" x14ac:dyDescent="0.3">
      <c r="A413" s="4" t="s">
        <v>481</v>
      </c>
      <c r="B413" s="4" t="s">
        <v>100</v>
      </c>
      <c r="C413" s="4" t="s">
        <v>31</v>
      </c>
      <c r="D413" s="5">
        <v>35325.379999999997</v>
      </c>
      <c r="E413" s="6">
        <v>2</v>
      </c>
      <c r="F413" s="5">
        <v>70650.759999999995</v>
      </c>
      <c r="G413" s="1">
        <v>45430</v>
      </c>
      <c r="H413" t="s">
        <v>25</v>
      </c>
      <c r="I413">
        <v>4.0999999999999996</v>
      </c>
      <c r="J413" t="s">
        <v>32</v>
      </c>
      <c r="K413">
        <v>2024</v>
      </c>
      <c r="L413">
        <v>14130.152</v>
      </c>
      <c r="M413">
        <v>26</v>
      </c>
      <c r="N413" t="s">
        <v>27</v>
      </c>
      <c r="O413" t="s">
        <v>28</v>
      </c>
      <c r="P413">
        <f>FlipkartSales[[#This Row],[Price (INR)]]*FlipkartSales[[#This Row],[Quantity Sold]]</f>
        <v>70650.759999999995</v>
      </c>
      <c r="Q413">
        <f>FlipkartSales[[#This Row],[Total Sales (INR)]]-FlipkartSales[[#This Row],[Calculated Sales]]</f>
        <v>0</v>
      </c>
      <c r="R413" s="9">
        <f t="shared" si="48"/>
        <v>0.2</v>
      </c>
      <c r="S413">
        <f t="shared" si="49"/>
        <v>35325.379999999997</v>
      </c>
      <c r="T413">
        <f t="shared" si="50"/>
        <v>7065.076</v>
      </c>
      <c r="U413">
        <f t="shared" si="51"/>
        <v>5</v>
      </c>
      <c r="V413" t="str">
        <f t="shared" si="52"/>
        <v>Q2</v>
      </c>
      <c r="W413" t="str">
        <f t="shared" si="53"/>
        <v>May-2024</v>
      </c>
      <c r="X413">
        <f t="shared" si="54"/>
        <v>18369.1976</v>
      </c>
      <c r="Y413" s="5">
        <f t="shared" si="55"/>
        <v>52281.562399999995</v>
      </c>
      <c r="Z413" s="21">
        <f>DATE(K413,MATCH(J413,{"January","February","March","April","May","June","July","August","September","October","November","December"},0),1)</f>
        <v>45413</v>
      </c>
    </row>
    <row r="414" spans="1:26" x14ac:dyDescent="0.3">
      <c r="A414" s="4" t="s">
        <v>482</v>
      </c>
      <c r="B414" s="4" t="s">
        <v>43</v>
      </c>
      <c r="C414" s="4" t="s">
        <v>40</v>
      </c>
      <c r="D414" s="5">
        <v>45866.22</v>
      </c>
      <c r="E414" s="6">
        <v>1</v>
      </c>
      <c r="F414" s="5">
        <v>45866.22</v>
      </c>
      <c r="G414" s="1">
        <v>45635</v>
      </c>
      <c r="H414" t="s">
        <v>64</v>
      </c>
      <c r="I414">
        <v>3.9</v>
      </c>
      <c r="J414" t="s">
        <v>26</v>
      </c>
      <c r="K414">
        <v>2024</v>
      </c>
      <c r="L414">
        <v>9173.2440000000006</v>
      </c>
      <c r="M414">
        <v>20</v>
      </c>
      <c r="N414" t="s">
        <v>20</v>
      </c>
      <c r="O414" t="s">
        <v>28</v>
      </c>
      <c r="P414">
        <f>FlipkartSales[[#This Row],[Price (INR)]]*FlipkartSales[[#This Row],[Quantity Sold]]</f>
        <v>45866.22</v>
      </c>
      <c r="Q414">
        <f>FlipkartSales[[#This Row],[Total Sales (INR)]]-FlipkartSales[[#This Row],[Calculated Sales]]</f>
        <v>0</v>
      </c>
      <c r="R414" s="9">
        <f t="shared" si="48"/>
        <v>0.2</v>
      </c>
      <c r="S414">
        <f t="shared" si="49"/>
        <v>45866.22</v>
      </c>
      <c r="T414">
        <f t="shared" si="50"/>
        <v>9173.2440000000006</v>
      </c>
      <c r="U414">
        <f t="shared" si="51"/>
        <v>12</v>
      </c>
      <c r="V414" t="str">
        <f t="shared" si="52"/>
        <v>Q4</v>
      </c>
      <c r="W414" t="str">
        <f t="shared" si="53"/>
        <v>Dec-2024</v>
      </c>
      <c r="X414">
        <f t="shared" si="54"/>
        <v>9173.2440000000006</v>
      </c>
      <c r="Y414" s="5">
        <f t="shared" si="55"/>
        <v>36692.976000000002</v>
      </c>
      <c r="Z414" s="21">
        <f>DATE(K414,MATCH(J414,{"January","February","March","April","May","June","July","August","September","October","November","December"},0),1)</f>
        <v>45627</v>
      </c>
    </row>
    <row r="415" spans="1:26" x14ac:dyDescent="0.3">
      <c r="A415" s="4" t="s">
        <v>483</v>
      </c>
      <c r="B415" s="4" t="s">
        <v>176</v>
      </c>
      <c r="C415" s="4" t="s">
        <v>24</v>
      </c>
      <c r="D415" s="5">
        <v>42975.360000000001</v>
      </c>
      <c r="E415" s="6">
        <v>4</v>
      </c>
      <c r="F415" s="5">
        <v>171901.44</v>
      </c>
      <c r="G415" s="1">
        <v>45522</v>
      </c>
      <c r="H415" t="s">
        <v>64</v>
      </c>
      <c r="I415">
        <v>3.3</v>
      </c>
      <c r="J415" t="s">
        <v>88</v>
      </c>
      <c r="K415">
        <v>2024</v>
      </c>
      <c r="L415">
        <v>34380.288</v>
      </c>
      <c r="M415">
        <v>11</v>
      </c>
      <c r="N415" t="s">
        <v>41</v>
      </c>
      <c r="O415" t="s">
        <v>21</v>
      </c>
      <c r="P415">
        <f>FlipkartSales[[#This Row],[Price (INR)]]*FlipkartSales[[#This Row],[Quantity Sold]]</f>
        <v>171901.44</v>
      </c>
      <c r="Q415">
        <f>FlipkartSales[[#This Row],[Total Sales (INR)]]-FlipkartSales[[#This Row],[Calculated Sales]]</f>
        <v>0</v>
      </c>
      <c r="R415" s="9">
        <f t="shared" si="48"/>
        <v>0.2</v>
      </c>
      <c r="S415">
        <f t="shared" si="49"/>
        <v>42975.360000000001</v>
      </c>
      <c r="T415">
        <f t="shared" si="50"/>
        <v>8595.0720000000001</v>
      </c>
      <c r="U415">
        <f t="shared" si="51"/>
        <v>8</v>
      </c>
      <c r="V415" t="str">
        <f t="shared" si="52"/>
        <v>Q3</v>
      </c>
      <c r="W415" t="str">
        <f t="shared" si="53"/>
        <v>Aug-2024</v>
      </c>
      <c r="X415">
        <f t="shared" si="54"/>
        <v>18909.1584</v>
      </c>
      <c r="Y415" s="5">
        <f t="shared" si="55"/>
        <v>152992.28159999999</v>
      </c>
      <c r="Z415" s="21">
        <f>DATE(K415,MATCH(J415,{"January","February","March","April","May","June","July","August","September","October","November","December"},0),1)</f>
        <v>45505</v>
      </c>
    </row>
    <row r="416" spans="1:26" x14ac:dyDescent="0.3">
      <c r="A416" s="4" t="s">
        <v>484</v>
      </c>
      <c r="B416" s="4" t="s">
        <v>55</v>
      </c>
      <c r="C416" s="4" t="s">
        <v>36</v>
      </c>
      <c r="D416" s="5">
        <v>7532.86</v>
      </c>
      <c r="E416" s="6">
        <v>5</v>
      </c>
      <c r="F416" s="5">
        <v>37664.300000000003</v>
      </c>
      <c r="G416" s="1">
        <v>45695</v>
      </c>
      <c r="H416" t="s">
        <v>25</v>
      </c>
      <c r="I416">
        <v>1.5</v>
      </c>
      <c r="J416" t="s">
        <v>59</v>
      </c>
      <c r="K416">
        <v>2025</v>
      </c>
      <c r="L416">
        <v>7532.8600000000006</v>
      </c>
      <c r="M416">
        <v>14</v>
      </c>
      <c r="N416" t="s">
        <v>20</v>
      </c>
      <c r="O416" t="s">
        <v>28</v>
      </c>
      <c r="P416">
        <f>FlipkartSales[[#This Row],[Price (INR)]]*FlipkartSales[[#This Row],[Quantity Sold]]</f>
        <v>37664.299999999996</v>
      </c>
      <c r="Q416">
        <f>FlipkartSales[[#This Row],[Total Sales (INR)]]-FlipkartSales[[#This Row],[Calculated Sales]]</f>
        <v>0</v>
      </c>
      <c r="R416" s="9">
        <f t="shared" si="48"/>
        <v>0.2</v>
      </c>
      <c r="S416">
        <f t="shared" si="49"/>
        <v>7532.8600000000006</v>
      </c>
      <c r="T416">
        <f t="shared" si="50"/>
        <v>1506.5720000000001</v>
      </c>
      <c r="U416">
        <f t="shared" si="51"/>
        <v>2</v>
      </c>
      <c r="V416" t="str">
        <f t="shared" si="52"/>
        <v>Q1</v>
      </c>
      <c r="W416" t="str">
        <f t="shared" si="53"/>
        <v>Feb-2025</v>
      </c>
      <c r="X416">
        <f t="shared" si="54"/>
        <v>5273.0020000000004</v>
      </c>
      <c r="Y416" s="5">
        <f t="shared" si="55"/>
        <v>32391.298000000003</v>
      </c>
      <c r="Z416" s="21">
        <f>DATE(K416,MATCH(J416,{"January","February","March","April","May","June","July","August","September","October","November","December"},0),1)</f>
        <v>45689</v>
      </c>
    </row>
    <row r="417" spans="1:26" x14ac:dyDescent="0.3">
      <c r="A417" s="4" t="s">
        <v>485</v>
      </c>
      <c r="B417" s="4" t="s">
        <v>30</v>
      </c>
      <c r="C417" s="4" t="s">
        <v>31</v>
      </c>
      <c r="D417" s="5">
        <v>39931.75</v>
      </c>
      <c r="E417" s="6">
        <v>4</v>
      </c>
      <c r="F417" s="5">
        <v>159727</v>
      </c>
      <c r="G417" s="1">
        <v>45401</v>
      </c>
      <c r="H417" t="s">
        <v>71</v>
      </c>
      <c r="I417">
        <v>2.4</v>
      </c>
      <c r="J417" t="s">
        <v>62</v>
      </c>
      <c r="K417">
        <v>2024</v>
      </c>
      <c r="L417">
        <v>31945.4</v>
      </c>
      <c r="M417">
        <v>27</v>
      </c>
      <c r="N417" t="s">
        <v>41</v>
      </c>
      <c r="O417" t="s">
        <v>68</v>
      </c>
      <c r="P417">
        <f>FlipkartSales[[#This Row],[Price (INR)]]*FlipkartSales[[#This Row],[Quantity Sold]]</f>
        <v>159727</v>
      </c>
      <c r="Q417">
        <f>FlipkartSales[[#This Row],[Total Sales (INR)]]-FlipkartSales[[#This Row],[Calculated Sales]]</f>
        <v>0</v>
      </c>
      <c r="R417" s="9">
        <f t="shared" si="48"/>
        <v>0.2</v>
      </c>
      <c r="S417">
        <f t="shared" si="49"/>
        <v>39931.75</v>
      </c>
      <c r="T417">
        <f t="shared" si="50"/>
        <v>7986.35</v>
      </c>
      <c r="U417">
        <f t="shared" si="51"/>
        <v>4</v>
      </c>
      <c r="V417" t="str">
        <f t="shared" si="52"/>
        <v>Q2</v>
      </c>
      <c r="W417" t="str">
        <f t="shared" si="53"/>
        <v>Apr-2024</v>
      </c>
      <c r="X417">
        <f t="shared" si="54"/>
        <v>43126.29</v>
      </c>
      <c r="Y417" s="5">
        <f t="shared" si="55"/>
        <v>116600.70999999999</v>
      </c>
      <c r="Z417" s="21">
        <f>DATE(K417,MATCH(J417,{"January","February","March","April","May","June","July","August","September","October","November","December"},0),1)</f>
        <v>45383</v>
      </c>
    </row>
    <row r="418" spans="1:26" x14ac:dyDescent="0.3">
      <c r="A418" s="4" t="s">
        <v>486</v>
      </c>
      <c r="B418" s="4" t="s">
        <v>107</v>
      </c>
      <c r="C418" s="4" t="s">
        <v>36</v>
      </c>
      <c r="D418" s="5">
        <v>20760.439999999999</v>
      </c>
      <c r="E418" s="6">
        <v>4</v>
      </c>
      <c r="F418" s="5">
        <v>83041.759999999995</v>
      </c>
      <c r="G418" s="1">
        <v>45361</v>
      </c>
      <c r="H418" t="s">
        <v>64</v>
      </c>
      <c r="I418">
        <v>2.4</v>
      </c>
      <c r="J418" t="s">
        <v>56</v>
      </c>
      <c r="K418">
        <v>2024</v>
      </c>
      <c r="L418">
        <v>16608.351999999999</v>
      </c>
      <c r="M418">
        <v>30</v>
      </c>
      <c r="N418" t="s">
        <v>20</v>
      </c>
      <c r="O418" t="s">
        <v>21</v>
      </c>
      <c r="P418">
        <f>FlipkartSales[[#This Row],[Price (INR)]]*FlipkartSales[[#This Row],[Quantity Sold]]</f>
        <v>83041.759999999995</v>
      </c>
      <c r="Q418">
        <f>FlipkartSales[[#This Row],[Total Sales (INR)]]-FlipkartSales[[#This Row],[Calculated Sales]]</f>
        <v>0</v>
      </c>
      <c r="R418" s="9">
        <f t="shared" si="48"/>
        <v>0.2</v>
      </c>
      <c r="S418">
        <f t="shared" si="49"/>
        <v>20760.439999999999</v>
      </c>
      <c r="T418">
        <f t="shared" si="50"/>
        <v>4152.0879999999997</v>
      </c>
      <c r="U418">
        <f t="shared" si="51"/>
        <v>3</v>
      </c>
      <c r="V418" t="str">
        <f t="shared" si="52"/>
        <v>Q1</v>
      </c>
      <c r="W418" t="str">
        <f t="shared" si="53"/>
        <v>Mar-2024</v>
      </c>
      <c r="X418">
        <f t="shared" si="54"/>
        <v>24912.527999999998</v>
      </c>
      <c r="Y418" s="5">
        <f t="shared" si="55"/>
        <v>58129.231999999996</v>
      </c>
      <c r="Z418" s="21">
        <f>DATE(K418,MATCH(J418,{"January","February","March","April","May","June","July","August","September","October","November","December"},0),1)</f>
        <v>45352</v>
      </c>
    </row>
    <row r="419" spans="1:26" x14ac:dyDescent="0.3">
      <c r="A419" s="4" t="s">
        <v>487</v>
      </c>
      <c r="B419" s="4" t="s">
        <v>78</v>
      </c>
      <c r="C419" s="4" t="s">
        <v>24</v>
      </c>
      <c r="D419" s="5">
        <v>29466.3</v>
      </c>
      <c r="E419" s="6">
        <v>5</v>
      </c>
      <c r="F419" s="5">
        <v>147331.5</v>
      </c>
      <c r="G419" s="1">
        <v>45496</v>
      </c>
      <c r="H419" t="s">
        <v>80</v>
      </c>
      <c r="I419">
        <v>1.3</v>
      </c>
      <c r="J419" t="s">
        <v>48</v>
      </c>
      <c r="K419">
        <v>2024</v>
      </c>
      <c r="L419">
        <v>29466.300000000003</v>
      </c>
      <c r="M419">
        <v>7</v>
      </c>
      <c r="N419" t="s">
        <v>41</v>
      </c>
      <c r="O419" t="s">
        <v>33</v>
      </c>
      <c r="P419">
        <f>FlipkartSales[[#This Row],[Price (INR)]]*FlipkartSales[[#This Row],[Quantity Sold]]</f>
        <v>147331.5</v>
      </c>
      <c r="Q419">
        <f>FlipkartSales[[#This Row],[Total Sales (INR)]]-FlipkartSales[[#This Row],[Calculated Sales]]</f>
        <v>0</v>
      </c>
      <c r="R419" s="9">
        <f t="shared" si="48"/>
        <v>0.2</v>
      </c>
      <c r="S419">
        <f t="shared" si="49"/>
        <v>29466.3</v>
      </c>
      <c r="T419">
        <f t="shared" si="50"/>
        <v>5893.26</v>
      </c>
      <c r="U419">
        <f t="shared" si="51"/>
        <v>7</v>
      </c>
      <c r="V419" t="str">
        <f t="shared" si="52"/>
        <v>Q3</v>
      </c>
      <c r="W419" t="str">
        <f t="shared" si="53"/>
        <v>Jul-2024</v>
      </c>
      <c r="X419">
        <f t="shared" si="54"/>
        <v>10313.205</v>
      </c>
      <c r="Y419" s="5">
        <f t="shared" si="55"/>
        <v>137018.29500000001</v>
      </c>
      <c r="Z419" s="21">
        <f>DATE(K419,MATCH(J419,{"January","February","March","April","May","June","July","August","September","October","November","December"},0),1)</f>
        <v>45474</v>
      </c>
    </row>
    <row r="420" spans="1:26" x14ac:dyDescent="0.3">
      <c r="A420" s="4" t="s">
        <v>488</v>
      </c>
      <c r="B420" s="4" t="s">
        <v>30</v>
      </c>
      <c r="C420" s="4" t="s">
        <v>31</v>
      </c>
      <c r="D420" s="5">
        <v>756.85</v>
      </c>
      <c r="E420" s="6">
        <v>3</v>
      </c>
      <c r="F420" s="5">
        <v>2270.5500000000002</v>
      </c>
      <c r="G420" s="1">
        <v>45600</v>
      </c>
      <c r="H420" t="s">
        <v>25</v>
      </c>
      <c r="I420">
        <v>4.8</v>
      </c>
      <c r="J420" t="s">
        <v>37</v>
      </c>
      <c r="K420">
        <v>2024</v>
      </c>
      <c r="L420">
        <v>454.11000000000007</v>
      </c>
      <c r="M420">
        <v>22</v>
      </c>
      <c r="N420" t="s">
        <v>20</v>
      </c>
      <c r="O420" t="s">
        <v>33</v>
      </c>
      <c r="P420">
        <f>FlipkartSales[[#This Row],[Price (INR)]]*FlipkartSales[[#This Row],[Quantity Sold]]</f>
        <v>2270.5500000000002</v>
      </c>
      <c r="Q420">
        <f>FlipkartSales[[#This Row],[Total Sales (INR)]]-FlipkartSales[[#This Row],[Calculated Sales]]</f>
        <v>0</v>
      </c>
      <c r="R420" s="9">
        <f t="shared" si="48"/>
        <v>0.2</v>
      </c>
      <c r="S420">
        <f t="shared" si="49"/>
        <v>756.85</v>
      </c>
      <c r="T420">
        <f t="shared" si="50"/>
        <v>151.37000000000003</v>
      </c>
      <c r="U420">
        <f t="shared" si="51"/>
        <v>11</v>
      </c>
      <c r="V420" t="str">
        <f t="shared" si="52"/>
        <v>Q4</v>
      </c>
      <c r="W420" t="str">
        <f t="shared" si="53"/>
        <v>Nov-2024</v>
      </c>
      <c r="X420">
        <f t="shared" si="54"/>
        <v>499.52100000000007</v>
      </c>
      <c r="Y420" s="5">
        <f t="shared" si="55"/>
        <v>1771.029</v>
      </c>
      <c r="Z420" s="21">
        <f>DATE(K420,MATCH(J420,{"January","February","March","April","May","June","July","August","September","October","November","December"},0),1)</f>
        <v>45597</v>
      </c>
    </row>
    <row r="421" spans="1:26" x14ac:dyDescent="0.3">
      <c r="A421" s="4" t="s">
        <v>489</v>
      </c>
      <c r="B421" s="4" t="s">
        <v>35</v>
      </c>
      <c r="C421" s="4" t="s">
        <v>36</v>
      </c>
      <c r="D421" s="5">
        <v>43711.45</v>
      </c>
      <c r="E421" s="6">
        <v>4</v>
      </c>
      <c r="F421" s="5">
        <v>174845.8</v>
      </c>
      <c r="G421" s="1">
        <v>45470</v>
      </c>
      <c r="H421" t="s">
        <v>44</v>
      </c>
      <c r="I421">
        <v>4.5</v>
      </c>
      <c r="J421" t="s">
        <v>67</v>
      </c>
      <c r="K421">
        <v>2024</v>
      </c>
      <c r="L421">
        <v>34969.159999999996</v>
      </c>
      <c r="M421">
        <v>29</v>
      </c>
      <c r="N421" t="s">
        <v>41</v>
      </c>
      <c r="O421" t="s">
        <v>68</v>
      </c>
      <c r="P421">
        <f>FlipkartSales[[#This Row],[Price (INR)]]*FlipkartSales[[#This Row],[Quantity Sold]]</f>
        <v>174845.8</v>
      </c>
      <c r="Q421">
        <f>FlipkartSales[[#This Row],[Total Sales (INR)]]-FlipkartSales[[#This Row],[Calculated Sales]]</f>
        <v>0</v>
      </c>
      <c r="R421" s="9">
        <f t="shared" si="48"/>
        <v>0.19999999999999998</v>
      </c>
      <c r="S421">
        <f t="shared" si="49"/>
        <v>43711.45</v>
      </c>
      <c r="T421">
        <f t="shared" si="50"/>
        <v>8742.2899999999991</v>
      </c>
      <c r="U421">
        <f t="shared" si="51"/>
        <v>6</v>
      </c>
      <c r="V421" t="str">
        <f t="shared" si="52"/>
        <v>Q2</v>
      </c>
      <c r="W421" t="str">
        <f t="shared" si="53"/>
        <v>Jun-2024</v>
      </c>
      <c r="X421">
        <f t="shared" si="54"/>
        <v>50705.281999999992</v>
      </c>
      <c r="Y421" s="5">
        <f t="shared" si="55"/>
        <v>124140.518</v>
      </c>
      <c r="Z421" s="21">
        <f>DATE(K421,MATCH(J421,{"January","February","March","April","May","June","July","August","September","October","November","December"},0),1)</f>
        <v>45444</v>
      </c>
    </row>
    <row r="422" spans="1:26" x14ac:dyDescent="0.3">
      <c r="A422" s="4" t="s">
        <v>490</v>
      </c>
      <c r="B422" s="4" t="s">
        <v>70</v>
      </c>
      <c r="C422" s="4" t="s">
        <v>17</v>
      </c>
      <c r="D422" s="5">
        <v>1134.78</v>
      </c>
      <c r="E422" s="6">
        <v>2</v>
      </c>
      <c r="F422" s="5">
        <v>2269.56</v>
      </c>
      <c r="G422" s="1">
        <v>45452</v>
      </c>
      <c r="H422" t="s">
        <v>18</v>
      </c>
      <c r="I422">
        <v>3.9</v>
      </c>
      <c r="J422" t="s">
        <v>67</v>
      </c>
      <c r="K422">
        <v>2024</v>
      </c>
      <c r="L422">
        <v>453.91200000000003</v>
      </c>
      <c r="M422">
        <v>28</v>
      </c>
      <c r="N422" t="s">
        <v>27</v>
      </c>
      <c r="O422" t="s">
        <v>68</v>
      </c>
      <c r="P422">
        <f>FlipkartSales[[#This Row],[Price (INR)]]*FlipkartSales[[#This Row],[Quantity Sold]]</f>
        <v>2269.56</v>
      </c>
      <c r="Q422">
        <f>FlipkartSales[[#This Row],[Total Sales (INR)]]-FlipkartSales[[#This Row],[Calculated Sales]]</f>
        <v>0</v>
      </c>
      <c r="R422" s="9">
        <f t="shared" si="48"/>
        <v>0.2</v>
      </c>
      <c r="S422">
        <f t="shared" si="49"/>
        <v>1134.78</v>
      </c>
      <c r="T422">
        <f t="shared" si="50"/>
        <v>226.95600000000002</v>
      </c>
      <c r="U422">
        <f t="shared" si="51"/>
        <v>6</v>
      </c>
      <c r="V422" t="str">
        <f t="shared" si="52"/>
        <v>Q2</v>
      </c>
      <c r="W422" t="str">
        <f t="shared" si="53"/>
        <v>Jun-2024</v>
      </c>
      <c r="X422">
        <f t="shared" si="54"/>
        <v>635.47680000000003</v>
      </c>
      <c r="Y422" s="5">
        <f t="shared" si="55"/>
        <v>1634.0832</v>
      </c>
      <c r="Z422" s="21">
        <f>DATE(K422,MATCH(J422,{"January","February","March","April","May","June","July","August","September","October","November","December"},0),1)</f>
        <v>45444</v>
      </c>
    </row>
    <row r="423" spans="1:26" x14ac:dyDescent="0.3">
      <c r="A423" s="4" t="s">
        <v>491</v>
      </c>
      <c r="B423" s="4" t="s">
        <v>145</v>
      </c>
      <c r="C423" s="4" t="s">
        <v>40</v>
      </c>
      <c r="D423" s="5">
        <v>6859</v>
      </c>
      <c r="E423" s="6">
        <v>3</v>
      </c>
      <c r="F423" s="5">
        <v>20577</v>
      </c>
      <c r="G423" s="1">
        <v>45570</v>
      </c>
      <c r="H423" t="s">
        <v>80</v>
      </c>
      <c r="I423">
        <v>1.6</v>
      </c>
      <c r="J423" t="s">
        <v>45</v>
      </c>
      <c r="K423">
        <v>2024</v>
      </c>
      <c r="L423">
        <v>4115.4000000000015</v>
      </c>
      <c r="M423">
        <v>17</v>
      </c>
      <c r="N423" t="s">
        <v>27</v>
      </c>
      <c r="O423" t="s">
        <v>21</v>
      </c>
      <c r="P423">
        <f>FlipkartSales[[#This Row],[Price (INR)]]*FlipkartSales[[#This Row],[Quantity Sold]]</f>
        <v>20577</v>
      </c>
      <c r="Q423">
        <f>FlipkartSales[[#This Row],[Total Sales (INR)]]-FlipkartSales[[#This Row],[Calculated Sales]]</f>
        <v>0</v>
      </c>
      <c r="R423" s="9">
        <f t="shared" si="48"/>
        <v>0.20000000000000007</v>
      </c>
      <c r="S423">
        <f t="shared" si="49"/>
        <v>6859</v>
      </c>
      <c r="T423">
        <f t="shared" si="50"/>
        <v>1371.8000000000004</v>
      </c>
      <c r="U423">
        <f t="shared" si="51"/>
        <v>10</v>
      </c>
      <c r="V423" t="str">
        <f t="shared" si="52"/>
        <v>Q4</v>
      </c>
      <c r="W423" t="str">
        <f t="shared" si="53"/>
        <v>Oct-2024</v>
      </c>
      <c r="X423">
        <f t="shared" si="54"/>
        <v>3498.09</v>
      </c>
      <c r="Y423" s="5">
        <f t="shared" si="55"/>
        <v>17078.91</v>
      </c>
      <c r="Z423" s="21">
        <f>DATE(K423,MATCH(J423,{"January","February","March","April","May","June","July","August","September","October","November","December"},0),1)</f>
        <v>45566</v>
      </c>
    </row>
    <row r="424" spans="1:26" x14ac:dyDescent="0.3">
      <c r="A424" s="4" t="s">
        <v>492</v>
      </c>
      <c r="B424" s="4" t="s">
        <v>125</v>
      </c>
      <c r="C424" s="4" t="s">
        <v>17</v>
      </c>
      <c r="D424" s="5">
        <v>28818.74</v>
      </c>
      <c r="E424" s="6">
        <v>3</v>
      </c>
      <c r="F424" s="5">
        <v>86456.22</v>
      </c>
      <c r="G424" s="1">
        <v>45470</v>
      </c>
      <c r="H424" t="s">
        <v>18</v>
      </c>
      <c r="I424">
        <v>1.4</v>
      </c>
      <c r="J424" t="s">
        <v>67</v>
      </c>
      <c r="K424">
        <v>2024</v>
      </c>
      <c r="L424">
        <v>17291.244000000002</v>
      </c>
      <c r="M424">
        <v>30</v>
      </c>
      <c r="N424" t="s">
        <v>41</v>
      </c>
      <c r="O424" t="s">
        <v>33</v>
      </c>
      <c r="P424">
        <f>FlipkartSales[[#This Row],[Price (INR)]]*FlipkartSales[[#This Row],[Quantity Sold]]</f>
        <v>86456.22</v>
      </c>
      <c r="Q424">
        <f>FlipkartSales[[#This Row],[Total Sales (INR)]]-FlipkartSales[[#This Row],[Calculated Sales]]</f>
        <v>0</v>
      </c>
      <c r="R424" s="9">
        <f t="shared" si="48"/>
        <v>0.20000000000000004</v>
      </c>
      <c r="S424">
        <f t="shared" si="49"/>
        <v>28818.74</v>
      </c>
      <c r="T424">
        <f t="shared" si="50"/>
        <v>5763.7480000000005</v>
      </c>
      <c r="U424">
        <f t="shared" si="51"/>
        <v>6</v>
      </c>
      <c r="V424" t="str">
        <f t="shared" si="52"/>
        <v>Q2</v>
      </c>
      <c r="W424" t="str">
        <f t="shared" si="53"/>
        <v>Jun-2024</v>
      </c>
      <c r="X424">
        <f t="shared" si="54"/>
        <v>25936.866000000002</v>
      </c>
      <c r="Y424" s="5">
        <f t="shared" si="55"/>
        <v>60519.353999999999</v>
      </c>
      <c r="Z424" s="21">
        <f>DATE(K424,MATCH(J424,{"January","February","March","April","May","June","July","August","September","October","November","December"},0),1)</f>
        <v>45444</v>
      </c>
    </row>
    <row r="425" spans="1:26" x14ac:dyDescent="0.3">
      <c r="A425" s="4" t="s">
        <v>493</v>
      </c>
      <c r="B425" s="4" t="s">
        <v>96</v>
      </c>
      <c r="C425" s="4" t="s">
        <v>36</v>
      </c>
      <c r="D425" s="5">
        <v>25233.95</v>
      </c>
      <c r="E425" s="6">
        <v>4</v>
      </c>
      <c r="F425" s="5">
        <v>100935.8</v>
      </c>
      <c r="G425" s="1">
        <v>45590</v>
      </c>
      <c r="H425" t="s">
        <v>64</v>
      </c>
      <c r="I425">
        <v>4.0999999999999996</v>
      </c>
      <c r="J425" t="s">
        <v>45</v>
      </c>
      <c r="K425">
        <v>2024</v>
      </c>
      <c r="L425">
        <v>20187.160000000003</v>
      </c>
      <c r="M425">
        <v>11</v>
      </c>
      <c r="N425" t="s">
        <v>20</v>
      </c>
      <c r="O425" t="s">
        <v>33</v>
      </c>
      <c r="P425">
        <f>FlipkartSales[[#This Row],[Price (INR)]]*FlipkartSales[[#This Row],[Quantity Sold]]</f>
        <v>100935.8</v>
      </c>
      <c r="Q425">
        <f>FlipkartSales[[#This Row],[Total Sales (INR)]]-FlipkartSales[[#This Row],[Calculated Sales]]</f>
        <v>0</v>
      </c>
      <c r="R425" s="9">
        <f t="shared" si="48"/>
        <v>0.20000000000000004</v>
      </c>
      <c r="S425">
        <f t="shared" si="49"/>
        <v>25233.95</v>
      </c>
      <c r="T425">
        <f t="shared" si="50"/>
        <v>5046.7900000000009</v>
      </c>
      <c r="U425">
        <f t="shared" si="51"/>
        <v>10</v>
      </c>
      <c r="V425" t="str">
        <f t="shared" si="52"/>
        <v>Q4</v>
      </c>
      <c r="W425" t="str">
        <f t="shared" si="53"/>
        <v>Oct-2024</v>
      </c>
      <c r="X425">
        <f t="shared" si="54"/>
        <v>11102.938</v>
      </c>
      <c r="Y425" s="5">
        <f t="shared" si="55"/>
        <v>89832.862000000008</v>
      </c>
      <c r="Z425" s="21">
        <f>DATE(K425,MATCH(J425,{"January","February","March","April","May","June","July","August","September","October","November","December"},0),1)</f>
        <v>45566</v>
      </c>
    </row>
    <row r="426" spans="1:26" x14ac:dyDescent="0.3">
      <c r="A426" s="4" t="s">
        <v>494</v>
      </c>
      <c r="B426" s="4" t="s">
        <v>16</v>
      </c>
      <c r="C426" s="4" t="s">
        <v>17</v>
      </c>
      <c r="D426" s="5">
        <v>28577.34</v>
      </c>
      <c r="E426" s="6">
        <v>1</v>
      </c>
      <c r="F426" s="5">
        <v>28577.34</v>
      </c>
      <c r="G426" s="1">
        <v>45524</v>
      </c>
      <c r="H426" t="s">
        <v>25</v>
      </c>
      <c r="I426">
        <v>2.7</v>
      </c>
      <c r="J426" t="s">
        <v>88</v>
      </c>
      <c r="K426">
        <v>2024</v>
      </c>
      <c r="L426">
        <v>5715.4680000000008</v>
      </c>
      <c r="M426">
        <v>29</v>
      </c>
      <c r="N426" t="s">
        <v>41</v>
      </c>
      <c r="O426" t="s">
        <v>33</v>
      </c>
      <c r="P426">
        <f>FlipkartSales[[#This Row],[Price (INR)]]*FlipkartSales[[#This Row],[Quantity Sold]]</f>
        <v>28577.34</v>
      </c>
      <c r="Q426">
        <f>FlipkartSales[[#This Row],[Total Sales (INR)]]-FlipkartSales[[#This Row],[Calculated Sales]]</f>
        <v>0</v>
      </c>
      <c r="R426" s="9">
        <f t="shared" si="48"/>
        <v>0.20000000000000004</v>
      </c>
      <c r="S426">
        <f t="shared" si="49"/>
        <v>28577.34</v>
      </c>
      <c r="T426">
        <f t="shared" si="50"/>
        <v>5715.4680000000008</v>
      </c>
      <c r="U426">
        <f t="shared" si="51"/>
        <v>8</v>
      </c>
      <c r="V426" t="str">
        <f t="shared" si="52"/>
        <v>Q3</v>
      </c>
      <c r="W426" t="str">
        <f t="shared" si="53"/>
        <v>Aug-2024</v>
      </c>
      <c r="X426">
        <f t="shared" si="54"/>
        <v>8287.4285999999993</v>
      </c>
      <c r="Y426" s="5">
        <f t="shared" si="55"/>
        <v>20289.911400000001</v>
      </c>
      <c r="Z426" s="21">
        <f>DATE(K426,MATCH(J426,{"January","February","March","April","May","June","July","August","September","October","November","December"},0),1)</f>
        <v>45505</v>
      </c>
    </row>
    <row r="427" spans="1:26" x14ac:dyDescent="0.3">
      <c r="A427" s="4" t="s">
        <v>495</v>
      </c>
      <c r="B427" s="4" t="s">
        <v>84</v>
      </c>
      <c r="C427" s="4" t="s">
        <v>40</v>
      </c>
      <c r="D427" s="5">
        <v>7322.87</v>
      </c>
      <c r="E427" s="6">
        <v>3</v>
      </c>
      <c r="F427" s="5">
        <v>21968.61</v>
      </c>
      <c r="G427" s="1">
        <v>45344</v>
      </c>
      <c r="H427" t="s">
        <v>64</v>
      </c>
      <c r="I427">
        <v>5</v>
      </c>
      <c r="J427" t="s">
        <v>59</v>
      </c>
      <c r="K427">
        <v>2024</v>
      </c>
      <c r="L427">
        <v>4393.7220000000007</v>
      </c>
      <c r="M427">
        <v>8</v>
      </c>
      <c r="N427" t="s">
        <v>20</v>
      </c>
      <c r="O427" t="s">
        <v>33</v>
      </c>
      <c r="P427">
        <f>FlipkartSales[[#This Row],[Price (INR)]]*FlipkartSales[[#This Row],[Quantity Sold]]</f>
        <v>21968.61</v>
      </c>
      <c r="Q427">
        <f>FlipkartSales[[#This Row],[Total Sales (INR)]]-FlipkartSales[[#This Row],[Calculated Sales]]</f>
        <v>0</v>
      </c>
      <c r="R427" s="9">
        <f t="shared" si="48"/>
        <v>0.2</v>
      </c>
      <c r="S427">
        <f t="shared" si="49"/>
        <v>7322.87</v>
      </c>
      <c r="T427">
        <f t="shared" si="50"/>
        <v>1464.5740000000003</v>
      </c>
      <c r="U427">
        <f t="shared" si="51"/>
        <v>2</v>
      </c>
      <c r="V427" t="str">
        <f t="shared" si="52"/>
        <v>Q1</v>
      </c>
      <c r="W427" t="str">
        <f t="shared" si="53"/>
        <v>Feb-2024</v>
      </c>
      <c r="X427">
        <f t="shared" si="54"/>
        <v>1757.4888000000001</v>
      </c>
      <c r="Y427" s="5">
        <f t="shared" si="55"/>
        <v>20211.121200000001</v>
      </c>
      <c r="Z427" s="21">
        <f>DATE(K427,MATCH(J427,{"January","February","March","April","May","June","July","August","September","October","November","December"},0),1)</f>
        <v>45323</v>
      </c>
    </row>
    <row r="428" spans="1:26" x14ac:dyDescent="0.3">
      <c r="A428" s="4" t="s">
        <v>496</v>
      </c>
      <c r="B428" s="4" t="s">
        <v>118</v>
      </c>
      <c r="C428" s="4" t="s">
        <v>17</v>
      </c>
      <c r="D428" s="5">
        <v>25144.48</v>
      </c>
      <c r="E428" s="6">
        <v>4</v>
      </c>
      <c r="F428" s="5">
        <v>100577.92</v>
      </c>
      <c r="G428" s="1">
        <v>45417</v>
      </c>
      <c r="H428" t="s">
        <v>80</v>
      </c>
      <c r="I428">
        <v>1.3</v>
      </c>
      <c r="J428" t="s">
        <v>32</v>
      </c>
      <c r="K428">
        <v>2024</v>
      </c>
      <c r="L428">
        <v>20115.584000000003</v>
      </c>
      <c r="M428">
        <v>17</v>
      </c>
      <c r="N428" t="s">
        <v>27</v>
      </c>
      <c r="O428" t="s">
        <v>33</v>
      </c>
      <c r="P428">
        <f>FlipkartSales[[#This Row],[Price (INR)]]*FlipkartSales[[#This Row],[Quantity Sold]]</f>
        <v>100577.92</v>
      </c>
      <c r="Q428">
        <f>FlipkartSales[[#This Row],[Total Sales (INR)]]-FlipkartSales[[#This Row],[Calculated Sales]]</f>
        <v>0</v>
      </c>
      <c r="R428" s="9">
        <f t="shared" si="48"/>
        <v>0.20000000000000004</v>
      </c>
      <c r="S428">
        <f t="shared" si="49"/>
        <v>25144.48</v>
      </c>
      <c r="T428">
        <f t="shared" si="50"/>
        <v>5028.8960000000006</v>
      </c>
      <c r="U428">
        <f t="shared" si="51"/>
        <v>5</v>
      </c>
      <c r="V428" t="str">
        <f t="shared" si="52"/>
        <v>Q2</v>
      </c>
      <c r="W428" t="str">
        <f t="shared" si="53"/>
        <v>May-2024</v>
      </c>
      <c r="X428">
        <f t="shared" si="54"/>
        <v>17098.2464</v>
      </c>
      <c r="Y428" s="5">
        <f t="shared" si="55"/>
        <v>83479.673599999995</v>
      </c>
      <c r="Z428" s="21">
        <f>DATE(K428,MATCH(J428,{"January","February","March","April","May","June","July","August","September","October","November","December"},0),1)</f>
        <v>45413</v>
      </c>
    </row>
    <row r="429" spans="1:26" x14ac:dyDescent="0.3">
      <c r="A429" s="4" t="s">
        <v>497</v>
      </c>
      <c r="B429" s="4" t="s">
        <v>43</v>
      </c>
      <c r="C429" s="4" t="s">
        <v>40</v>
      </c>
      <c r="D429" s="5">
        <v>16289.17</v>
      </c>
      <c r="E429" s="6">
        <v>5</v>
      </c>
      <c r="F429" s="5">
        <v>81445.850000000006</v>
      </c>
      <c r="G429" s="1">
        <v>45610</v>
      </c>
      <c r="H429" t="s">
        <v>80</v>
      </c>
      <c r="I429">
        <v>2.6</v>
      </c>
      <c r="J429" t="s">
        <v>37</v>
      </c>
      <c r="K429">
        <v>2024</v>
      </c>
      <c r="L429">
        <v>16289.170000000002</v>
      </c>
      <c r="M429">
        <v>24</v>
      </c>
      <c r="N429" t="s">
        <v>20</v>
      </c>
      <c r="O429" t="s">
        <v>28</v>
      </c>
      <c r="P429">
        <f>FlipkartSales[[#This Row],[Price (INR)]]*FlipkartSales[[#This Row],[Quantity Sold]]</f>
        <v>81445.850000000006</v>
      </c>
      <c r="Q429">
        <f>FlipkartSales[[#This Row],[Total Sales (INR)]]-FlipkartSales[[#This Row],[Calculated Sales]]</f>
        <v>0</v>
      </c>
      <c r="R429" s="9">
        <f t="shared" si="48"/>
        <v>0.2</v>
      </c>
      <c r="S429">
        <f t="shared" si="49"/>
        <v>16289.170000000002</v>
      </c>
      <c r="T429">
        <f t="shared" si="50"/>
        <v>3257.8340000000003</v>
      </c>
      <c r="U429">
        <f t="shared" si="51"/>
        <v>11</v>
      </c>
      <c r="V429" t="str">
        <f t="shared" si="52"/>
        <v>Q4</v>
      </c>
      <c r="W429" t="str">
        <f t="shared" si="53"/>
        <v>Nov-2024</v>
      </c>
      <c r="X429">
        <f t="shared" si="54"/>
        <v>19547.004000000001</v>
      </c>
      <c r="Y429" s="5">
        <f t="shared" si="55"/>
        <v>61898.846000000005</v>
      </c>
      <c r="Z429" s="21">
        <f>DATE(K429,MATCH(J429,{"January","February","March","April","May","June","July","August","September","October","November","December"},0),1)</f>
        <v>45597</v>
      </c>
    </row>
    <row r="430" spans="1:26" x14ac:dyDescent="0.3">
      <c r="A430" s="4" t="s">
        <v>498</v>
      </c>
      <c r="B430" s="4" t="s">
        <v>70</v>
      </c>
      <c r="C430" s="4" t="s">
        <v>17</v>
      </c>
      <c r="D430" s="5">
        <v>24973.13</v>
      </c>
      <c r="E430" s="6">
        <v>3</v>
      </c>
      <c r="F430" s="5">
        <v>74919.39</v>
      </c>
      <c r="G430" s="1">
        <v>45634</v>
      </c>
      <c r="H430" t="s">
        <v>18</v>
      </c>
      <c r="I430">
        <v>3.2</v>
      </c>
      <c r="J430" t="s">
        <v>26</v>
      </c>
      <c r="K430">
        <v>2024</v>
      </c>
      <c r="L430">
        <v>14983.878000000001</v>
      </c>
      <c r="M430">
        <v>5</v>
      </c>
      <c r="N430" t="s">
        <v>27</v>
      </c>
      <c r="O430" t="s">
        <v>68</v>
      </c>
      <c r="P430">
        <f>FlipkartSales[[#This Row],[Price (INR)]]*FlipkartSales[[#This Row],[Quantity Sold]]</f>
        <v>74919.39</v>
      </c>
      <c r="Q430">
        <f>FlipkartSales[[#This Row],[Total Sales (INR)]]-FlipkartSales[[#This Row],[Calculated Sales]]</f>
        <v>0</v>
      </c>
      <c r="R430" s="9">
        <f t="shared" si="48"/>
        <v>0.2</v>
      </c>
      <c r="S430">
        <f t="shared" si="49"/>
        <v>24973.13</v>
      </c>
      <c r="T430">
        <f t="shared" si="50"/>
        <v>4994.6260000000002</v>
      </c>
      <c r="U430">
        <f t="shared" si="51"/>
        <v>12</v>
      </c>
      <c r="V430" t="str">
        <f t="shared" si="52"/>
        <v>Q4</v>
      </c>
      <c r="W430" t="str">
        <f t="shared" si="53"/>
        <v>Dec-2024</v>
      </c>
      <c r="X430">
        <f t="shared" si="54"/>
        <v>3745.9695000000002</v>
      </c>
      <c r="Y430" s="5">
        <f t="shared" si="55"/>
        <v>71173.420499999993</v>
      </c>
      <c r="Z430" s="21">
        <f>DATE(K430,MATCH(J430,{"January","February","March","April","May","June","July","August","September","October","November","December"},0),1)</f>
        <v>45627</v>
      </c>
    </row>
    <row r="431" spans="1:26" x14ac:dyDescent="0.3">
      <c r="A431" s="4" t="s">
        <v>499</v>
      </c>
      <c r="B431" s="4" t="s">
        <v>39</v>
      </c>
      <c r="C431" s="4" t="s">
        <v>40</v>
      </c>
      <c r="D431" s="5">
        <v>5804.38</v>
      </c>
      <c r="E431" s="6">
        <v>2</v>
      </c>
      <c r="F431" s="5">
        <v>11608.76</v>
      </c>
      <c r="G431" s="1">
        <v>45428</v>
      </c>
      <c r="H431" t="s">
        <v>64</v>
      </c>
      <c r="I431">
        <v>2.2000000000000002</v>
      </c>
      <c r="J431" t="s">
        <v>32</v>
      </c>
      <c r="K431">
        <v>2024</v>
      </c>
      <c r="L431">
        <v>2321.752</v>
      </c>
      <c r="M431">
        <v>12</v>
      </c>
      <c r="N431" t="s">
        <v>20</v>
      </c>
      <c r="O431" t="s">
        <v>28</v>
      </c>
      <c r="P431">
        <f>FlipkartSales[[#This Row],[Price (INR)]]*FlipkartSales[[#This Row],[Quantity Sold]]</f>
        <v>11608.76</v>
      </c>
      <c r="Q431">
        <f>FlipkartSales[[#This Row],[Total Sales (INR)]]-FlipkartSales[[#This Row],[Calculated Sales]]</f>
        <v>0</v>
      </c>
      <c r="R431" s="9">
        <f t="shared" si="48"/>
        <v>0.19999999999999998</v>
      </c>
      <c r="S431">
        <f t="shared" si="49"/>
        <v>5804.38</v>
      </c>
      <c r="T431">
        <f t="shared" si="50"/>
        <v>1160.876</v>
      </c>
      <c r="U431">
        <f t="shared" si="51"/>
        <v>5</v>
      </c>
      <c r="V431" t="str">
        <f t="shared" si="52"/>
        <v>Q2</v>
      </c>
      <c r="W431" t="str">
        <f t="shared" si="53"/>
        <v>May-2024</v>
      </c>
      <c r="X431">
        <f t="shared" si="54"/>
        <v>1393.0511999999999</v>
      </c>
      <c r="Y431" s="5">
        <f t="shared" si="55"/>
        <v>10215.7088</v>
      </c>
      <c r="Z431" s="21">
        <f>DATE(K431,MATCH(J431,{"January","February","March","April","May","June","July","August","September","October","November","December"},0),1)</f>
        <v>45413</v>
      </c>
    </row>
    <row r="432" spans="1:26" x14ac:dyDescent="0.3">
      <c r="A432" s="4" t="s">
        <v>500</v>
      </c>
      <c r="B432" s="4" t="s">
        <v>23</v>
      </c>
      <c r="C432" s="4" t="s">
        <v>24</v>
      </c>
      <c r="D432" s="5">
        <v>43502.85</v>
      </c>
      <c r="E432" s="6">
        <v>1</v>
      </c>
      <c r="F432" s="5">
        <v>43502.85</v>
      </c>
      <c r="G432" s="1">
        <v>45364</v>
      </c>
      <c r="H432" t="s">
        <v>80</v>
      </c>
      <c r="I432">
        <v>4.2</v>
      </c>
      <c r="J432" t="s">
        <v>56</v>
      </c>
      <c r="K432">
        <v>2024</v>
      </c>
      <c r="L432">
        <v>8700.57</v>
      </c>
      <c r="M432">
        <v>18</v>
      </c>
      <c r="N432" t="s">
        <v>20</v>
      </c>
      <c r="O432" t="s">
        <v>33</v>
      </c>
      <c r="P432">
        <f>FlipkartSales[[#This Row],[Price (INR)]]*FlipkartSales[[#This Row],[Quantity Sold]]</f>
        <v>43502.85</v>
      </c>
      <c r="Q432">
        <f>FlipkartSales[[#This Row],[Total Sales (INR)]]-FlipkartSales[[#This Row],[Calculated Sales]]</f>
        <v>0</v>
      </c>
      <c r="R432" s="9">
        <f t="shared" si="48"/>
        <v>0.2</v>
      </c>
      <c r="S432">
        <f t="shared" si="49"/>
        <v>43502.85</v>
      </c>
      <c r="T432">
        <f t="shared" si="50"/>
        <v>8700.57</v>
      </c>
      <c r="U432">
        <f t="shared" si="51"/>
        <v>3</v>
      </c>
      <c r="V432" t="str">
        <f t="shared" si="52"/>
        <v>Q1</v>
      </c>
      <c r="W432" t="str">
        <f t="shared" si="53"/>
        <v>Mar-2024</v>
      </c>
      <c r="X432">
        <f t="shared" si="54"/>
        <v>7830.512999999999</v>
      </c>
      <c r="Y432" s="5">
        <f t="shared" si="55"/>
        <v>35672.337</v>
      </c>
      <c r="Z432" s="21">
        <f>DATE(K432,MATCH(J432,{"January","February","March","April","May","June","July","August","September","October","November","December"},0),1)</f>
        <v>45352</v>
      </c>
    </row>
    <row r="433" spans="1:26" x14ac:dyDescent="0.3">
      <c r="A433" s="4" t="s">
        <v>501</v>
      </c>
      <c r="B433" s="4" t="s">
        <v>66</v>
      </c>
      <c r="C433" s="4" t="s">
        <v>36</v>
      </c>
      <c r="D433" s="5">
        <v>46770.01</v>
      </c>
      <c r="E433" s="6">
        <v>5</v>
      </c>
      <c r="F433" s="5">
        <v>233850.05</v>
      </c>
      <c r="G433" s="1">
        <v>45392</v>
      </c>
      <c r="H433" t="s">
        <v>80</v>
      </c>
      <c r="I433">
        <v>2.9</v>
      </c>
      <c r="J433" t="s">
        <v>62</v>
      </c>
      <c r="K433">
        <v>2024</v>
      </c>
      <c r="L433">
        <v>46770.01</v>
      </c>
      <c r="M433">
        <v>20</v>
      </c>
      <c r="N433" t="s">
        <v>20</v>
      </c>
      <c r="O433" t="s">
        <v>21</v>
      </c>
      <c r="P433">
        <f>FlipkartSales[[#This Row],[Price (INR)]]*FlipkartSales[[#This Row],[Quantity Sold]]</f>
        <v>233850.05000000002</v>
      </c>
      <c r="Q433">
        <f>FlipkartSales[[#This Row],[Total Sales (INR)]]-FlipkartSales[[#This Row],[Calculated Sales]]</f>
        <v>0</v>
      </c>
      <c r="R433" s="9">
        <f t="shared" si="48"/>
        <v>0.2</v>
      </c>
      <c r="S433">
        <f t="shared" si="49"/>
        <v>46770.009999999995</v>
      </c>
      <c r="T433">
        <f t="shared" si="50"/>
        <v>9354.0020000000004</v>
      </c>
      <c r="U433">
        <f t="shared" si="51"/>
        <v>4</v>
      </c>
      <c r="V433" t="str">
        <f t="shared" si="52"/>
        <v>Q2</v>
      </c>
      <c r="W433" t="str">
        <f t="shared" si="53"/>
        <v>Apr-2024</v>
      </c>
      <c r="X433">
        <f t="shared" si="54"/>
        <v>46770.01</v>
      </c>
      <c r="Y433" s="5">
        <f t="shared" si="55"/>
        <v>187080.03999999998</v>
      </c>
      <c r="Z433" s="21">
        <f>DATE(K433,MATCH(J433,{"January","February","March","April","May","June","July","August","September","October","November","December"},0),1)</f>
        <v>45383</v>
      </c>
    </row>
    <row r="434" spans="1:26" x14ac:dyDescent="0.3">
      <c r="A434" s="4" t="s">
        <v>502</v>
      </c>
      <c r="B434" s="4" t="s">
        <v>96</v>
      </c>
      <c r="C434" s="4" t="s">
        <v>36</v>
      </c>
      <c r="D434" s="5">
        <v>38160.980000000003</v>
      </c>
      <c r="E434" s="6">
        <v>2</v>
      </c>
      <c r="F434" s="5">
        <v>76321.960000000006</v>
      </c>
      <c r="G434" s="1">
        <v>45382</v>
      </c>
      <c r="H434" t="s">
        <v>18</v>
      </c>
      <c r="I434">
        <v>4</v>
      </c>
      <c r="J434" t="s">
        <v>56</v>
      </c>
      <c r="K434">
        <v>2024</v>
      </c>
      <c r="L434">
        <v>15264.392000000002</v>
      </c>
      <c r="M434">
        <v>18</v>
      </c>
      <c r="N434" t="s">
        <v>41</v>
      </c>
      <c r="O434" t="s">
        <v>21</v>
      </c>
      <c r="P434">
        <f>FlipkartSales[[#This Row],[Price (INR)]]*FlipkartSales[[#This Row],[Quantity Sold]]</f>
        <v>76321.960000000006</v>
      </c>
      <c r="Q434">
        <f>FlipkartSales[[#This Row],[Total Sales (INR)]]-FlipkartSales[[#This Row],[Calculated Sales]]</f>
        <v>0</v>
      </c>
      <c r="R434" s="9">
        <f t="shared" si="48"/>
        <v>0.2</v>
      </c>
      <c r="S434">
        <f t="shared" si="49"/>
        <v>38160.980000000003</v>
      </c>
      <c r="T434">
        <f t="shared" si="50"/>
        <v>7632.1960000000008</v>
      </c>
      <c r="U434">
        <f t="shared" si="51"/>
        <v>3</v>
      </c>
      <c r="V434" t="str">
        <f t="shared" si="52"/>
        <v>Q1</v>
      </c>
      <c r="W434" t="str">
        <f t="shared" si="53"/>
        <v>Mar-2024</v>
      </c>
      <c r="X434">
        <f t="shared" si="54"/>
        <v>13737.952800000001</v>
      </c>
      <c r="Y434" s="5">
        <f t="shared" si="55"/>
        <v>62584.007200000007</v>
      </c>
      <c r="Z434" s="21">
        <f>DATE(K434,MATCH(J434,{"January","February","March","April","May","June","July","August","September","October","November","December"},0),1)</f>
        <v>45352</v>
      </c>
    </row>
    <row r="435" spans="1:26" x14ac:dyDescent="0.3">
      <c r="A435" s="4" t="s">
        <v>503</v>
      </c>
      <c r="B435" s="4" t="s">
        <v>107</v>
      </c>
      <c r="C435" s="4" t="s">
        <v>36</v>
      </c>
      <c r="D435" s="5">
        <v>14797.27</v>
      </c>
      <c r="E435" s="6">
        <v>2</v>
      </c>
      <c r="F435" s="5">
        <v>29594.54</v>
      </c>
      <c r="G435" s="1">
        <v>45682</v>
      </c>
      <c r="H435" t="s">
        <v>25</v>
      </c>
      <c r="I435">
        <v>3.4</v>
      </c>
      <c r="J435" t="s">
        <v>53</v>
      </c>
      <c r="K435">
        <v>2025</v>
      </c>
      <c r="L435">
        <v>5918.9080000000004</v>
      </c>
      <c r="M435">
        <v>16</v>
      </c>
      <c r="N435" t="s">
        <v>41</v>
      </c>
      <c r="O435" t="s">
        <v>33</v>
      </c>
      <c r="P435">
        <f>FlipkartSales[[#This Row],[Price (INR)]]*FlipkartSales[[#This Row],[Quantity Sold]]</f>
        <v>29594.54</v>
      </c>
      <c r="Q435">
        <f>FlipkartSales[[#This Row],[Total Sales (INR)]]-FlipkartSales[[#This Row],[Calculated Sales]]</f>
        <v>0</v>
      </c>
      <c r="R435" s="9">
        <f t="shared" si="48"/>
        <v>0.2</v>
      </c>
      <c r="S435">
        <f t="shared" si="49"/>
        <v>14797.27</v>
      </c>
      <c r="T435">
        <f t="shared" si="50"/>
        <v>2959.4540000000002</v>
      </c>
      <c r="U435">
        <f t="shared" si="51"/>
        <v>1</v>
      </c>
      <c r="V435" t="str">
        <f t="shared" si="52"/>
        <v>Q1</v>
      </c>
      <c r="W435" t="str">
        <f t="shared" si="53"/>
        <v>Jan-2025</v>
      </c>
      <c r="X435">
        <f t="shared" si="54"/>
        <v>4735.1264000000001</v>
      </c>
      <c r="Y435" s="5">
        <f t="shared" si="55"/>
        <v>24859.4136</v>
      </c>
      <c r="Z435" s="21">
        <f>DATE(K435,MATCH(J435,{"January","February","March","April","May","June","July","August","September","October","November","December"},0),1)</f>
        <v>45658</v>
      </c>
    </row>
    <row r="436" spans="1:26" x14ac:dyDescent="0.3">
      <c r="A436" s="4" t="s">
        <v>504</v>
      </c>
      <c r="B436" s="4" t="s">
        <v>100</v>
      </c>
      <c r="C436" s="4" t="s">
        <v>31</v>
      </c>
      <c r="D436" s="5">
        <v>16951.57</v>
      </c>
      <c r="E436" s="6">
        <v>5</v>
      </c>
      <c r="F436" s="5">
        <v>84757.85</v>
      </c>
      <c r="G436" s="1">
        <v>45379</v>
      </c>
      <c r="H436" t="s">
        <v>44</v>
      </c>
      <c r="I436">
        <v>2</v>
      </c>
      <c r="J436" t="s">
        <v>56</v>
      </c>
      <c r="K436">
        <v>2024</v>
      </c>
      <c r="L436">
        <v>16951.570000000003</v>
      </c>
      <c r="M436">
        <v>23</v>
      </c>
      <c r="N436" t="s">
        <v>27</v>
      </c>
      <c r="O436" t="s">
        <v>33</v>
      </c>
      <c r="P436">
        <f>FlipkartSales[[#This Row],[Price (INR)]]*FlipkartSales[[#This Row],[Quantity Sold]]</f>
        <v>84757.85</v>
      </c>
      <c r="Q436">
        <f>FlipkartSales[[#This Row],[Total Sales (INR)]]-FlipkartSales[[#This Row],[Calculated Sales]]</f>
        <v>0</v>
      </c>
      <c r="R436" s="9">
        <f t="shared" si="48"/>
        <v>0.20000000000000004</v>
      </c>
      <c r="S436">
        <f t="shared" si="49"/>
        <v>16951.57</v>
      </c>
      <c r="T436">
        <f t="shared" si="50"/>
        <v>3390.3140000000008</v>
      </c>
      <c r="U436">
        <f t="shared" si="51"/>
        <v>3</v>
      </c>
      <c r="V436" t="str">
        <f t="shared" si="52"/>
        <v>Q1</v>
      </c>
      <c r="W436" t="str">
        <f t="shared" si="53"/>
        <v>Mar-2024</v>
      </c>
      <c r="X436">
        <f t="shared" si="54"/>
        <v>19494.305500000002</v>
      </c>
      <c r="Y436" s="5">
        <f t="shared" si="55"/>
        <v>65263.544500000004</v>
      </c>
      <c r="Z436" s="21">
        <f>DATE(K436,MATCH(J436,{"January","February","March","April","May","June","July","August","September","October","November","December"},0),1)</f>
        <v>45352</v>
      </c>
    </row>
    <row r="437" spans="1:26" x14ac:dyDescent="0.3">
      <c r="A437" s="4" t="s">
        <v>505</v>
      </c>
      <c r="B437" s="4" t="s">
        <v>66</v>
      </c>
      <c r="C437" s="4" t="s">
        <v>36</v>
      </c>
      <c r="D437" s="5">
        <v>20087.650000000001</v>
      </c>
      <c r="E437" s="6">
        <v>2</v>
      </c>
      <c r="F437" s="5">
        <v>40175.300000000003</v>
      </c>
      <c r="G437" s="1">
        <v>45592</v>
      </c>
      <c r="H437" t="s">
        <v>44</v>
      </c>
      <c r="I437">
        <v>2.7</v>
      </c>
      <c r="J437" t="s">
        <v>45</v>
      </c>
      <c r="K437">
        <v>2024</v>
      </c>
      <c r="L437">
        <v>8035.0600000000013</v>
      </c>
      <c r="M437">
        <v>27</v>
      </c>
      <c r="N437" t="s">
        <v>27</v>
      </c>
      <c r="O437" t="s">
        <v>21</v>
      </c>
      <c r="P437">
        <f>FlipkartSales[[#This Row],[Price (INR)]]*FlipkartSales[[#This Row],[Quantity Sold]]</f>
        <v>40175.300000000003</v>
      </c>
      <c r="Q437">
        <f>FlipkartSales[[#This Row],[Total Sales (INR)]]-FlipkartSales[[#This Row],[Calculated Sales]]</f>
        <v>0</v>
      </c>
      <c r="R437" s="9">
        <f t="shared" si="48"/>
        <v>0.2</v>
      </c>
      <c r="S437">
        <f t="shared" si="49"/>
        <v>20087.650000000001</v>
      </c>
      <c r="T437">
        <f t="shared" si="50"/>
        <v>4017.5300000000007</v>
      </c>
      <c r="U437">
        <f t="shared" si="51"/>
        <v>10</v>
      </c>
      <c r="V437" t="str">
        <f t="shared" si="52"/>
        <v>Q4</v>
      </c>
      <c r="W437" t="str">
        <f t="shared" si="53"/>
        <v>Oct-2024</v>
      </c>
      <c r="X437">
        <f t="shared" si="54"/>
        <v>10847.331</v>
      </c>
      <c r="Y437" s="5">
        <f t="shared" si="55"/>
        <v>29327.969000000005</v>
      </c>
      <c r="Z437" s="21">
        <f>DATE(K437,MATCH(J437,{"January","February","March","April","May","June","July","August","September","October","November","December"},0),1)</f>
        <v>45566</v>
      </c>
    </row>
    <row r="438" spans="1:26" x14ac:dyDescent="0.3">
      <c r="A438" s="4" t="s">
        <v>506</v>
      </c>
      <c r="B438" s="4" t="s">
        <v>30</v>
      </c>
      <c r="C438" s="4" t="s">
        <v>31</v>
      </c>
      <c r="D438" s="5">
        <v>45544.54</v>
      </c>
      <c r="E438" s="6">
        <v>4</v>
      </c>
      <c r="F438" s="5">
        <v>182178.16</v>
      </c>
      <c r="G438" s="1">
        <v>45405</v>
      </c>
      <c r="H438" t="s">
        <v>64</v>
      </c>
      <c r="I438">
        <v>3</v>
      </c>
      <c r="J438" t="s">
        <v>62</v>
      </c>
      <c r="K438">
        <v>2024</v>
      </c>
      <c r="L438">
        <v>36435.632000000005</v>
      </c>
      <c r="M438">
        <v>19</v>
      </c>
      <c r="N438" t="s">
        <v>41</v>
      </c>
      <c r="O438" t="s">
        <v>28</v>
      </c>
      <c r="P438">
        <f>FlipkartSales[[#This Row],[Price (INR)]]*FlipkartSales[[#This Row],[Quantity Sold]]</f>
        <v>182178.16</v>
      </c>
      <c r="Q438">
        <f>FlipkartSales[[#This Row],[Total Sales (INR)]]-FlipkartSales[[#This Row],[Calculated Sales]]</f>
        <v>0</v>
      </c>
      <c r="R438" s="9">
        <f t="shared" si="48"/>
        <v>0.2</v>
      </c>
      <c r="S438">
        <f t="shared" si="49"/>
        <v>45544.54</v>
      </c>
      <c r="T438">
        <f t="shared" si="50"/>
        <v>9108.9080000000013</v>
      </c>
      <c r="U438">
        <f t="shared" si="51"/>
        <v>4</v>
      </c>
      <c r="V438" t="str">
        <f t="shared" si="52"/>
        <v>Q2</v>
      </c>
      <c r="W438" t="str">
        <f t="shared" si="53"/>
        <v>Apr-2024</v>
      </c>
      <c r="X438">
        <f t="shared" si="54"/>
        <v>34613.850400000003</v>
      </c>
      <c r="Y438" s="5">
        <f t="shared" si="55"/>
        <v>147564.30960000001</v>
      </c>
      <c r="Z438" s="21">
        <f>DATE(K438,MATCH(J438,{"January","February","March","April","May","June","July","August","September","October","November","December"},0),1)</f>
        <v>45383</v>
      </c>
    </row>
    <row r="439" spans="1:26" x14ac:dyDescent="0.3">
      <c r="A439" s="4" t="s">
        <v>507</v>
      </c>
      <c r="B439" s="4" t="s">
        <v>100</v>
      </c>
      <c r="C439" s="4" t="s">
        <v>31</v>
      </c>
      <c r="D439" s="5">
        <v>4986.8999999999996</v>
      </c>
      <c r="E439" s="6">
        <v>1</v>
      </c>
      <c r="F439" s="5">
        <v>4986.8999999999996</v>
      </c>
      <c r="G439" s="1">
        <v>45649</v>
      </c>
      <c r="H439" t="s">
        <v>64</v>
      </c>
      <c r="I439">
        <v>4.4000000000000004</v>
      </c>
      <c r="J439" t="s">
        <v>26</v>
      </c>
      <c r="K439">
        <v>2024</v>
      </c>
      <c r="L439">
        <v>997.38</v>
      </c>
      <c r="M439">
        <v>6</v>
      </c>
      <c r="N439" t="s">
        <v>27</v>
      </c>
      <c r="O439" t="s">
        <v>28</v>
      </c>
      <c r="P439">
        <f>FlipkartSales[[#This Row],[Price (INR)]]*FlipkartSales[[#This Row],[Quantity Sold]]</f>
        <v>4986.8999999999996</v>
      </c>
      <c r="Q439">
        <f>FlipkartSales[[#This Row],[Total Sales (INR)]]-FlipkartSales[[#This Row],[Calculated Sales]]</f>
        <v>0</v>
      </c>
      <c r="R439" s="9">
        <f t="shared" si="48"/>
        <v>0.2</v>
      </c>
      <c r="S439">
        <f t="shared" si="49"/>
        <v>4986.8999999999996</v>
      </c>
      <c r="T439">
        <f t="shared" si="50"/>
        <v>997.38</v>
      </c>
      <c r="U439">
        <f t="shared" si="51"/>
        <v>12</v>
      </c>
      <c r="V439" t="str">
        <f t="shared" si="52"/>
        <v>Q4</v>
      </c>
      <c r="W439" t="str">
        <f t="shared" si="53"/>
        <v>Dec-2024</v>
      </c>
      <c r="X439">
        <f t="shared" si="54"/>
        <v>299.214</v>
      </c>
      <c r="Y439" s="5">
        <f t="shared" si="55"/>
        <v>4687.6859999999997</v>
      </c>
      <c r="Z439" s="21">
        <f>DATE(K439,MATCH(J439,{"January","February","March","April","May","June","July","August","September","October","November","December"},0),1)</f>
        <v>45627</v>
      </c>
    </row>
    <row r="440" spans="1:26" x14ac:dyDescent="0.3">
      <c r="A440" s="4" t="s">
        <v>508</v>
      </c>
      <c r="B440" s="4" t="s">
        <v>84</v>
      </c>
      <c r="C440" s="4" t="s">
        <v>40</v>
      </c>
      <c r="D440" s="5">
        <v>37890.559999999998</v>
      </c>
      <c r="E440" s="6">
        <v>1</v>
      </c>
      <c r="F440" s="5">
        <v>37890.559999999998</v>
      </c>
      <c r="G440" s="1">
        <v>45473</v>
      </c>
      <c r="H440" t="s">
        <v>64</v>
      </c>
      <c r="I440">
        <v>2.4</v>
      </c>
      <c r="J440" t="s">
        <v>67</v>
      </c>
      <c r="K440">
        <v>2024</v>
      </c>
      <c r="L440">
        <v>7578.1120000000001</v>
      </c>
      <c r="M440">
        <v>6</v>
      </c>
      <c r="N440" t="s">
        <v>41</v>
      </c>
      <c r="O440" t="s">
        <v>33</v>
      </c>
      <c r="P440">
        <f>FlipkartSales[[#This Row],[Price (INR)]]*FlipkartSales[[#This Row],[Quantity Sold]]</f>
        <v>37890.559999999998</v>
      </c>
      <c r="Q440">
        <f>FlipkartSales[[#This Row],[Total Sales (INR)]]-FlipkartSales[[#This Row],[Calculated Sales]]</f>
        <v>0</v>
      </c>
      <c r="R440" s="9">
        <f t="shared" si="48"/>
        <v>0.2</v>
      </c>
      <c r="S440">
        <f t="shared" si="49"/>
        <v>37890.559999999998</v>
      </c>
      <c r="T440">
        <f t="shared" si="50"/>
        <v>7578.1120000000001</v>
      </c>
      <c r="U440">
        <f t="shared" si="51"/>
        <v>6</v>
      </c>
      <c r="V440" t="str">
        <f t="shared" si="52"/>
        <v>Q2</v>
      </c>
      <c r="W440" t="str">
        <f t="shared" si="53"/>
        <v>Jun-2024</v>
      </c>
      <c r="X440">
        <f t="shared" si="54"/>
        <v>2273.4335999999998</v>
      </c>
      <c r="Y440" s="5">
        <f t="shared" si="55"/>
        <v>35617.126400000001</v>
      </c>
      <c r="Z440" s="21">
        <f>DATE(K440,MATCH(J440,{"January","February","March","April","May","June","July","August","September","October","November","December"},0),1)</f>
        <v>45444</v>
      </c>
    </row>
    <row r="441" spans="1:26" x14ac:dyDescent="0.3">
      <c r="A441" s="4" t="s">
        <v>509</v>
      </c>
      <c r="B441" s="4" t="s">
        <v>55</v>
      </c>
      <c r="C441" s="4" t="s">
        <v>36</v>
      </c>
      <c r="D441" s="5">
        <v>26947.54</v>
      </c>
      <c r="E441" s="6">
        <v>2</v>
      </c>
      <c r="F441" s="5">
        <v>53895.08</v>
      </c>
      <c r="G441" s="1">
        <v>45448</v>
      </c>
      <c r="H441" t="s">
        <v>80</v>
      </c>
      <c r="I441">
        <v>4.0999999999999996</v>
      </c>
      <c r="J441" t="s">
        <v>67</v>
      </c>
      <c r="K441">
        <v>2024</v>
      </c>
      <c r="L441">
        <v>10779.016000000001</v>
      </c>
      <c r="M441">
        <v>27</v>
      </c>
      <c r="N441" t="s">
        <v>20</v>
      </c>
      <c r="O441" t="s">
        <v>28</v>
      </c>
      <c r="P441">
        <f>FlipkartSales[[#This Row],[Price (INR)]]*FlipkartSales[[#This Row],[Quantity Sold]]</f>
        <v>53895.08</v>
      </c>
      <c r="Q441">
        <f>FlipkartSales[[#This Row],[Total Sales (INR)]]-FlipkartSales[[#This Row],[Calculated Sales]]</f>
        <v>0</v>
      </c>
      <c r="R441" s="9">
        <f t="shared" si="48"/>
        <v>0.2</v>
      </c>
      <c r="S441">
        <f t="shared" si="49"/>
        <v>26947.54</v>
      </c>
      <c r="T441">
        <f t="shared" si="50"/>
        <v>5389.5080000000007</v>
      </c>
      <c r="U441">
        <f t="shared" si="51"/>
        <v>6</v>
      </c>
      <c r="V441" t="str">
        <f t="shared" si="52"/>
        <v>Q2</v>
      </c>
      <c r="W441" t="str">
        <f t="shared" si="53"/>
        <v>Jun-2024</v>
      </c>
      <c r="X441">
        <f t="shared" si="54"/>
        <v>14551.671600000001</v>
      </c>
      <c r="Y441" s="5">
        <f t="shared" si="55"/>
        <v>39343.4084</v>
      </c>
      <c r="Z441" s="21">
        <f>DATE(K441,MATCH(J441,{"January","February","March","April","May","June","July","August","September","October","November","December"},0),1)</f>
        <v>45444</v>
      </c>
    </row>
    <row r="442" spans="1:26" x14ac:dyDescent="0.3">
      <c r="A442" s="4" t="s">
        <v>510</v>
      </c>
      <c r="B442" s="4" t="s">
        <v>107</v>
      </c>
      <c r="C442" s="4" t="s">
        <v>36</v>
      </c>
      <c r="D442" s="5">
        <v>16929.740000000002</v>
      </c>
      <c r="E442" s="6">
        <v>3</v>
      </c>
      <c r="F442" s="5">
        <v>50789.22</v>
      </c>
      <c r="G442" s="1">
        <v>45368</v>
      </c>
      <c r="H442" t="s">
        <v>44</v>
      </c>
      <c r="I442">
        <v>1.5</v>
      </c>
      <c r="J442" t="s">
        <v>56</v>
      </c>
      <c r="K442">
        <v>2024</v>
      </c>
      <c r="L442">
        <v>10157.844000000001</v>
      </c>
      <c r="M442">
        <v>26</v>
      </c>
      <c r="N442" t="s">
        <v>27</v>
      </c>
      <c r="O442" t="s">
        <v>21</v>
      </c>
      <c r="P442">
        <f>FlipkartSales[[#This Row],[Price (INR)]]*FlipkartSales[[#This Row],[Quantity Sold]]</f>
        <v>50789.22</v>
      </c>
      <c r="Q442">
        <f>FlipkartSales[[#This Row],[Total Sales (INR)]]-FlipkartSales[[#This Row],[Calculated Sales]]</f>
        <v>0</v>
      </c>
      <c r="R442" s="9">
        <f t="shared" si="48"/>
        <v>0.2</v>
      </c>
      <c r="S442">
        <f t="shared" si="49"/>
        <v>16929.740000000002</v>
      </c>
      <c r="T442">
        <f t="shared" si="50"/>
        <v>3385.9480000000003</v>
      </c>
      <c r="U442">
        <f t="shared" si="51"/>
        <v>3</v>
      </c>
      <c r="V442" t="str">
        <f t="shared" si="52"/>
        <v>Q1</v>
      </c>
      <c r="W442" t="str">
        <f t="shared" si="53"/>
        <v>Mar-2024</v>
      </c>
      <c r="X442">
        <f t="shared" si="54"/>
        <v>13205.197200000001</v>
      </c>
      <c r="Y442" s="5">
        <f t="shared" si="55"/>
        <v>37584.022799999999</v>
      </c>
      <c r="Z442" s="21">
        <f>DATE(K442,MATCH(J442,{"January","February","March","April","May","June","July","August","September","October","November","December"},0),1)</f>
        <v>45352</v>
      </c>
    </row>
    <row r="443" spans="1:26" x14ac:dyDescent="0.3">
      <c r="A443" s="4" t="s">
        <v>511</v>
      </c>
      <c r="B443" s="4" t="s">
        <v>66</v>
      </c>
      <c r="C443" s="4" t="s">
        <v>36</v>
      </c>
      <c r="D443" s="5">
        <v>30310.92</v>
      </c>
      <c r="E443" s="6">
        <v>3</v>
      </c>
      <c r="F443" s="5">
        <v>90932.76</v>
      </c>
      <c r="G443" s="1">
        <v>45402</v>
      </c>
      <c r="H443" t="s">
        <v>25</v>
      </c>
      <c r="I443">
        <v>3.5</v>
      </c>
      <c r="J443" t="s">
        <v>62</v>
      </c>
      <c r="K443">
        <v>2024</v>
      </c>
      <c r="L443">
        <v>18186.552</v>
      </c>
      <c r="M443">
        <v>23</v>
      </c>
      <c r="N443" t="s">
        <v>27</v>
      </c>
      <c r="O443" t="s">
        <v>28</v>
      </c>
      <c r="P443">
        <f>FlipkartSales[[#This Row],[Price (INR)]]*FlipkartSales[[#This Row],[Quantity Sold]]</f>
        <v>90932.76</v>
      </c>
      <c r="Q443">
        <f>FlipkartSales[[#This Row],[Total Sales (INR)]]-FlipkartSales[[#This Row],[Calculated Sales]]</f>
        <v>0</v>
      </c>
      <c r="R443" s="9">
        <f t="shared" si="48"/>
        <v>0.2</v>
      </c>
      <c r="S443">
        <f t="shared" si="49"/>
        <v>30310.92</v>
      </c>
      <c r="T443">
        <f t="shared" si="50"/>
        <v>6062.1840000000002</v>
      </c>
      <c r="U443">
        <f t="shared" si="51"/>
        <v>4</v>
      </c>
      <c r="V443" t="str">
        <f t="shared" si="52"/>
        <v>Q2</v>
      </c>
      <c r="W443" t="str">
        <f t="shared" si="53"/>
        <v>Apr-2024</v>
      </c>
      <c r="X443">
        <f t="shared" si="54"/>
        <v>20914.534800000001</v>
      </c>
      <c r="Y443" s="5">
        <f t="shared" si="55"/>
        <v>70018.225199999986</v>
      </c>
      <c r="Z443" s="21">
        <f>DATE(K443,MATCH(J443,{"January","February","March","April","May","June","July","August","September","October","November","December"},0),1)</f>
        <v>45383</v>
      </c>
    </row>
    <row r="444" spans="1:26" x14ac:dyDescent="0.3">
      <c r="A444" s="4" t="s">
        <v>512</v>
      </c>
      <c r="B444" s="4" t="s">
        <v>16</v>
      </c>
      <c r="C444" s="4" t="s">
        <v>17</v>
      </c>
      <c r="D444" s="5">
        <v>33643.5</v>
      </c>
      <c r="E444" s="6">
        <v>5</v>
      </c>
      <c r="F444" s="5">
        <v>168217.5</v>
      </c>
      <c r="G444" s="1">
        <v>45459</v>
      </c>
      <c r="H444" t="s">
        <v>25</v>
      </c>
      <c r="I444">
        <v>4.2</v>
      </c>
      <c r="J444" t="s">
        <v>67</v>
      </c>
      <c r="K444">
        <v>2024</v>
      </c>
      <c r="L444">
        <v>33643.5</v>
      </c>
      <c r="M444">
        <v>29</v>
      </c>
      <c r="N444" t="s">
        <v>41</v>
      </c>
      <c r="O444" t="s">
        <v>33</v>
      </c>
      <c r="P444">
        <f>FlipkartSales[[#This Row],[Price (INR)]]*FlipkartSales[[#This Row],[Quantity Sold]]</f>
        <v>168217.5</v>
      </c>
      <c r="Q444">
        <f>FlipkartSales[[#This Row],[Total Sales (INR)]]-FlipkartSales[[#This Row],[Calculated Sales]]</f>
        <v>0</v>
      </c>
      <c r="R444" s="9">
        <f t="shared" si="48"/>
        <v>0.2</v>
      </c>
      <c r="S444">
        <f t="shared" si="49"/>
        <v>33643.5</v>
      </c>
      <c r="T444">
        <f t="shared" si="50"/>
        <v>6728.7</v>
      </c>
      <c r="U444">
        <f t="shared" si="51"/>
        <v>6</v>
      </c>
      <c r="V444" t="str">
        <f t="shared" si="52"/>
        <v>Q2</v>
      </c>
      <c r="W444" t="str">
        <f t="shared" si="53"/>
        <v>Jun-2024</v>
      </c>
      <c r="X444">
        <f t="shared" si="54"/>
        <v>48783.074999999997</v>
      </c>
      <c r="Y444" s="5">
        <f t="shared" si="55"/>
        <v>119434.425</v>
      </c>
      <c r="Z444" s="21">
        <f>DATE(K444,MATCH(J444,{"January","February","March","April","May","June","July","August","September","October","November","December"},0),1)</f>
        <v>45444</v>
      </c>
    </row>
    <row r="445" spans="1:26" x14ac:dyDescent="0.3">
      <c r="A445" s="4" t="s">
        <v>513</v>
      </c>
      <c r="B445" s="4" t="s">
        <v>74</v>
      </c>
      <c r="C445" s="4" t="s">
        <v>17</v>
      </c>
      <c r="D445" s="5">
        <v>27847.81</v>
      </c>
      <c r="E445" s="6">
        <v>3</v>
      </c>
      <c r="F445" s="5">
        <v>83543.429999999993</v>
      </c>
      <c r="G445" s="1">
        <v>45551</v>
      </c>
      <c r="H445" t="s">
        <v>80</v>
      </c>
      <c r="I445">
        <v>4.3</v>
      </c>
      <c r="J445" t="s">
        <v>19</v>
      </c>
      <c r="K445">
        <v>2024</v>
      </c>
      <c r="L445">
        <v>16708.685999999998</v>
      </c>
      <c r="M445">
        <v>30</v>
      </c>
      <c r="N445" t="s">
        <v>27</v>
      </c>
      <c r="O445" t="s">
        <v>21</v>
      </c>
      <c r="P445">
        <f>FlipkartSales[[#This Row],[Price (INR)]]*FlipkartSales[[#This Row],[Quantity Sold]]</f>
        <v>83543.430000000008</v>
      </c>
      <c r="Q445">
        <f>FlipkartSales[[#This Row],[Total Sales (INR)]]-FlipkartSales[[#This Row],[Calculated Sales]]</f>
        <v>0</v>
      </c>
      <c r="R445" s="9">
        <f t="shared" si="48"/>
        <v>0.19999999999999998</v>
      </c>
      <c r="S445">
        <f t="shared" si="49"/>
        <v>27847.809999999998</v>
      </c>
      <c r="T445">
        <f t="shared" si="50"/>
        <v>5569.561999999999</v>
      </c>
      <c r="U445">
        <f t="shared" si="51"/>
        <v>9</v>
      </c>
      <c r="V445" t="str">
        <f t="shared" si="52"/>
        <v>Q3</v>
      </c>
      <c r="W445" t="str">
        <f t="shared" si="53"/>
        <v>Sep-2024</v>
      </c>
      <c r="X445">
        <f t="shared" si="54"/>
        <v>25063.028999999999</v>
      </c>
      <c r="Y445" s="5">
        <f t="shared" si="55"/>
        <v>58480.400999999998</v>
      </c>
      <c r="Z445" s="21">
        <f>DATE(K445,MATCH(J445,{"January","February","March","April","May","June","July","August","September","October","November","December"},0),1)</f>
        <v>45536</v>
      </c>
    </row>
    <row r="446" spans="1:26" x14ac:dyDescent="0.3">
      <c r="A446" s="4" t="s">
        <v>514</v>
      </c>
      <c r="B446" s="4" t="s">
        <v>16</v>
      </c>
      <c r="C446" s="4" t="s">
        <v>17</v>
      </c>
      <c r="D446" s="5">
        <v>19055.03</v>
      </c>
      <c r="E446" s="6">
        <v>3</v>
      </c>
      <c r="F446" s="5">
        <v>57165.09</v>
      </c>
      <c r="G446" s="1">
        <v>45529</v>
      </c>
      <c r="H446" t="s">
        <v>71</v>
      </c>
      <c r="I446">
        <v>4.3</v>
      </c>
      <c r="J446" t="s">
        <v>88</v>
      </c>
      <c r="K446">
        <v>2024</v>
      </c>
      <c r="L446">
        <v>11433.018</v>
      </c>
      <c r="M446">
        <v>26</v>
      </c>
      <c r="N446" t="s">
        <v>27</v>
      </c>
      <c r="O446" t="s">
        <v>28</v>
      </c>
      <c r="P446">
        <f>FlipkartSales[[#This Row],[Price (INR)]]*FlipkartSales[[#This Row],[Quantity Sold]]</f>
        <v>57165.09</v>
      </c>
      <c r="Q446">
        <f>FlipkartSales[[#This Row],[Total Sales (INR)]]-FlipkartSales[[#This Row],[Calculated Sales]]</f>
        <v>0</v>
      </c>
      <c r="R446" s="9">
        <f t="shared" si="48"/>
        <v>0.2</v>
      </c>
      <c r="S446">
        <f t="shared" si="49"/>
        <v>19055.03</v>
      </c>
      <c r="T446">
        <f t="shared" si="50"/>
        <v>3811.0059999999999</v>
      </c>
      <c r="U446">
        <f t="shared" si="51"/>
        <v>8</v>
      </c>
      <c r="V446" t="str">
        <f t="shared" si="52"/>
        <v>Q3</v>
      </c>
      <c r="W446" t="str">
        <f t="shared" si="53"/>
        <v>Aug-2024</v>
      </c>
      <c r="X446">
        <f t="shared" si="54"/>
        <v>14862.923399999998</v>
      </c>
      <c r="Y446" s="5">
        <f t="shared" si="55"/>
        <v>42302.166599999997</v>
      </c>
      <c r="Z446" s="21">
        <f>DATE(K446,MATCH(J446,{"January","February","March","April","May","June","July","August","September","October","November","December"},0),1)</f>
        <v>45505</v>
      </c>
    </row>
    <row r="447" spans="1:26" x14ac:dyDescent="0.3">
      <c r="A447" s="4" t="s">
        <v>515</v>
      </c>
      <c r="B447" s="4" t="s">
        <v>125</v>
      </c>
      <c r="C447" s="4" t="s">
        <v>17</v>
      </c>
      <c r="D447" s="5">
        <v>24012.7</v>
      </c>
      <c r="E447" s="6">
        <v>1</v>
      </c>
      <c r="F447" s="5">
        <v>24012.7</v>
      </c>
      <c r="G447" s="1">
        <v>45622</v>
      </c>
      <c r="H447" t="s">
        <v>71</v>
      </c>
      <c r="I447">
        <v>4.8</v>
      </c>
      <c r="J447" t="s">
        <v>37</v>
      </c>
      <c r="K447">
        <v>2024</v>
      </c>
      <c r="L447">
        <v>4802.54</v>
      </c>
      <c r="M447">
        <v>30</v>
      </c>
      <c r="N447" t="s">
        <v>20</v>
      </c>
      <c r="O447" t="s">
        <v>68</v>
      </c>
      <c r="P447">
        <f>FlipkartSales[[#This Row],[Price (INR)]]*FlipkartSales[[#This Row],[Quantity Sold]]</f>
        <v>24012.7</v>
      </c>
      <c r="Q447">
        <f>FlipkartSales[[#This Row],[Total Sales (INR)]]-FlipkartSales[[#This Row],[Calculated Sales]]</f>
        <v>0</v>
      </c>
      <c r="R447" s="9">
        <f t="shared" si="48"/>
        <v>0.19999999999999998</v>
      </c>
      <c r="S447">
        <f t="shared" si="49"/>
        <v>24012.7</v>
      </c>
      <c r="T447">
        <f t="shared" si="50"/>
        <v>4802.54</v>
      </c>
      <c r="U447">
        <f t="shared" si="51"/>
        <v>11</v>
      </c>
      <c r="V447" t="str">
        <f t="shared" si="52"/>
        <v>Q4</v>
      </c>
      <c r="W447" t="str">
        <f t="shared" si="53"/>
        <v>Nov-2024</v>
      </c>
      <c r="X447">
        <f t="shared" si="54"/>
        <v>7203.81</v>
      </c>
      <c r="Y447" s="5">
        <f t="shared" si="55"/>
        <v>16808.89</v>
      </c>
      <c r="Z447" s="21">
        <f>DATE(K447,MATCH(J447,{"January","February","March","April","May","June","July","August","September","October","November","December"},0),1)</f>
        <v>45597</v>
      </c>
    </row>
    <row r="448" spans="1:26" x14ac:dyDescent="0.3">
      <c r="A448" s="4" t="s">
        <v>516</v>
      </c>
      <c r="B448" s="4" t="s">
        <v>47</v>
      </c>
      <c r="C448" s="4" t="s">
        <v>24</v>
      </c>
      <c r="D448" s="5">
        <v>8182.19</v>
      </c>
      <c r="E448" s="6">
        <v>2</v>
      </c>
      <c r="F448" s="5">
        <v>16364.38</v>
      </c>
      <c r="G448" s="1">
        <v>45508</v>
      </c>
      <c r="H448" t="s">
        <v>64</v>
      </c>
      <c r="I448">
        <v>4.2</v>
      </c>
      <c r="J448" t="s">
        <v>88</v>
      </c>
      <c r="K448">
        <v>2024</v>
      </c>
      <c r="L448">
        <v>3272.8760000000002</v>
      </c>
      <c r="M448">
        <v>30</v>
      </c>
      <c r="N448" t="s">
        <v>27</v>
      </c>
      <c r="O448" t="s">
        <v>21</v>
      </c>
      <c r="P448">
        <f>FlipkartSales[[#This Row],[Price (INR)]]*FlipkartSales[[#This Row],[Quantity Sold]]</f>
        <v>16364.38</v>
      </c>
      <c r="Q448">
        <f>FlipkartSales[[#This Row],[Total Sales (INR)]]-FlipkartSales[[#This Row],[Calculated Sales]]</f>
        <v>0</v>
      </c>
      <c r="R448" s="9">
        <f t="shared" si="48"/>
        <v>0.2</v>
      </c>
      <c r="S448">
        <f t="shared" si="49"/>
        <v>8182.19</v>
      </c>
      <c r="T448">
        <f t="shared" si="50"/>
        <v>1636.4380000000001</v>
      </c>
      <c r="U448">
        <f t="shared" si="51"/>
        <v>8</v>
      </c>
      <c r="V448" t="str">
        <f t="shared" si="52"/>
        <v>Q3</v>
      </c>
      <c r="W448" t="str">
        <f t="shared" si="53"/>
        <v>Aug-2024</v>
      </c>
      <c r="X448">
        <f t="shared" si="54"/>
        <v>4909.3139999999994</v>
      </c>
      <c r="Y448" s="5">
        <f t="shared" si="55"/>
        <v>11455.065999999999</v>
      </c>
      <c r="Z448" s="21">
        <f>DATE(K448,MATCH(J448,{"January","February","March","April","May","June","July","August","September","October","November","December"},0),1)</f>
        <v>45505</v>
      </c>
    </row>
    <row r="449" spans="1:26" x14ac:dyDescent="0.3">
      <c r="A449" s="4" t="s">
        <v>517</v>
      </c>
      <c r="B449" s="4" t="s">
        <v>94</v>
      </c>
      <c r="C449" s="4" t="s">
        <v>31</v>
      </c>
      <c r="D449" s="5">
        <v>35810.629999999997</v>
      </c>
      <c r="E449" s="6">
        <v>4</v>
      </c>
      <c r="F449" s="5">
        <v>143242.51999999999</v>
      </c>
      <c r="G449" s="1">
        <v>45388</v>
      </c>
      <c r="H449" t="s">
        <v>25</v>
      </c>
      <c r="I449">
        <v>1.2</v>
      </c>
      <c r="J449" t="s">
        <v>62</v>
      </c>
      <c r="K449">
        <v>2024</v>
      </c>
      <c r="L449">
        <v>28648.504000000001</v>
      </c>
      <c r="M449">
        <v>26</v>
      </c>
      <c r="N449" t="s">
        <v>20</v>
      </c>
      <c r="O449" t="s">
        <v>21</v>
      </c>
      <c r="P449">
        <f>FlipkartSales[[#This Row],[Price (INR)]]*FlipkartSales[[#This Row],[Quantity Sold]]</f>
        <v>143242.51999999999</v>
      </c>
      <c r="Q449">
        <f>FlipkartSales[[#This Row],[Total Sales (INR)]]-FlipkartSales[[#This Row],[Calculated Sales]]</f>
        <v>0</v>
      </c>
      <c r="R449" s="9">
        <f t="shared" si="48"/>
        <v>0.2</v>
      </c>
      <c r="S449">
        <f t="shared" si="49"/>
        <v>35810.629999999997</v>
      </c>
      <c r="T449">
        <f t="shared" si="50"/>
        <v>7162.1260000000002</v>
      </c>
      <c r="U449">
        <f t="shared" si="51"/>
        <v>4</v>
      </c>
      <c r="V449" t="str">
        <f t="shared" si="52"/>
        <v>Q2</v>
      </c>
      <c r="W449" t="str">
        <f t="shared" si="53"/>
        <v>Apr-2024</v>
      </c>
      <c r="X449">
        <f t="shared" si="54"/>
        <v>37243.055199999995</v>
      </c>
      <c r="Y449" s="5">
        <f t="shared" si="55"/>
        <v>105999.46479999999</v>
      </c>
      <c r="Z449" s="21">
        <f>DATE(K449,MATCH(J449,{"January","February","March","April","May","June","July","August","September","October","November","December"},0),1)</f>
        <v>45383</v>
      </c>
    </row>
    <row r="450" spans="1:26" x14ac:dyDescent="0.3">
      <c r="A450" s="4" t="s">
        <v>518</v>
      </c>
      <c r="B450" s="4" t="s">
        <v>78</v>
      </c>
      <c r="C450" s="4" t="s">
        <v>24</v>
      </c>
      <c r="D450" s="5">
        <v>23433.86</v>
      </c>
      <c r="E450" s="6">
        <v>1</v>
      </c>
      <c r="F450" s="5">
        <v>23433.86</v>
      </c>
      <c r="G450" s="1">
        <v>45521</v>
      </c>
      <c r="H450" t="s">
        <v>64</v>
      </c>
      <c r="I450">
        <v>3.8</v>
      </c>
      <c r="J450" t="s">
        <v>88</v>
      </c>
      <c r="K450">
        <v>2024</v>
      </c>
      <c r="L450">
        <v>4686.7719999999999</v>
      </c>
      <c r="M450">
        <v>21</v>
      </c>
      <c r="N450" t="s">
        <v>41</v>
      </c>
      <c r="O450" t="s">
        <v>68</v>
      </c>
      <c r="P450">
        <f>FlipkartSales[[#This Row],[Price (INR)]]*FlipkartSales[[#This Row],[Quantity Sold]]</f>
        <v>23433.86</v>
      </c>
      <c r="Q450">
        <f>FlipkartSales[[#This Row],[Total Sales (INR)]]-FlipkartSales[[#This Row],[Calculated Sales]]</f>
        <v>0</v>
      </c>
      <c r="R450" s="9">
        <f t="shared" ref="R450:R513" si="56">L450/F450</f>
        <v>0.19999999999999998</v>
      </c>
      <c r="S450">
        <f t="shared" ref="S450:S513" si="57">F450/E450</f>
        <v>23433.86</v>
      </c>
      <c r="T450">
        <f t="shared" ref="T450:T513" si="58">L450/E450</f>
        <v>4686.7719999999999</v>
      </c>
      <c r="U450">
        <f t="shared" ref="U450:U513" si="59">MONTH(G450)</f>
        <v>8</v>
      </c>
      <c r="V450" t="str">
        <f t="shared" ref="V450:V513" si="60">"Q"&amp;ROUNDUP(MONTH(G450)/3,0)</f>
        <v>Q3</v>
      </c>
      <c r="W450" t="str">
        <f t="shared" ref="W450:W513" si="61">TEXT(G450,"mmm-yyyy")</f>
        <v>Aug-2024</v>
      </c>
      <c r="X450">
        <f t="shared" ref="X450:X513" si="62">F450*M450/100</f>
        <v>4921.1106</v>
      </c>
      <c r="Y450" s="5">
        <f t="shared" ref="Y450:Y513" si="63">F450-X450</f>
        <v>18512.749400000001</v>
      </c>
      <c r="Z450" s="21">
        <f>DATE(K450,MATCH(J450,{"January","February","March","April","May","June","July","August","September","October","November","December"},0),1)</f>
        <v>45505</v>
      </c>
    </row>
    <row r="451" spans="1:26" x14ac:dyDescent="0.3">
      <c r="A451" s="4" t="s">
        <v>519</v>
      </c>
      <c r="B451" s="4" t="s">
        <v>55</v>
      </c>
      <c r="C451" s="4" t="s">
        <v>36</v>
      </c>
      <c r="D451" s="5">
        <v>42946.11</v>
      </c>
      <c r="E451" s="6">
        <v>4</v>
      </c>
      <c r="F451" s="5">
        <v>171784.44</v>
      </c>
      <c r="G451" s="1">
        <v>45535</v>
      </c>
      <c r="H451" t="s">
        <v>25</v>
      </c>
      <c r="I451">
        <v>3.2</v>
      </c>
      <c r="J451" t="s">
        <v>88</v>
      </c>
      <c r="K451">
        <v>2024</v>
      </c>
      <c r="L451">
        <v>34356.887999999999</v>
      </c>
      <c r="M451">
        <v>24</v>
      </c>
      <c r="N451" t="s">
        <v>27</v>
      </c>
      <c r="O451" t="s">
        <v>68</v>
      </c>
      <c r="P451">
        <f>FlipkartSales[[#This Row],[Price (INR)]]*FlipkartSales[[#This Row],[Quantity Sold]]</f>
        <v>171784.44</v>
      </c>
      <c r="Q451">
        <f>FlipkartSales[[#This Row],[Total Sales (INR)]]-FlipkartSales[[#This Row],[Calculated Sales]]</f>
        <v>0</v>
      </c>
      <c r="R451" s="9">
        <f t="shared" si="56"/>
        <v>0.19999999999999998</v>
      </c>
      <c r="S451">
        <f t="shared" si="57"/>
        <v>42946.11</v>
      </c>
      <c r="T451">
        <f t="shared" si="58"/>
        <v>8589.2219999999998</v>
      </c>
      <c r="U451">
        <f t="shared" si="59"/>
        <v>8</v>
      </c>
      <c r="V451" t="str">
        <f t="shared" si="60"/>
        <v>Q3</v>
      </c>
      <c r="W451" t="str">
        <f t="shared" si="61"/>
        <v>Aug-2024</v>
      </c>
      <c r="X451">
        <f t="shared" si="62"/>
        <v>41228.265599999999</v>
      </c>
      <c r="Y451" s="5">
        <f t="shared" si="63"/>
        <v>130556.1744</v>
      </c>
      <c r="Z451" s="21">
        <f>DATE(K451,MATCH(J451,{"January","February","March","April","May","June","July","August","September","October","November","December"},0),1)</f>
        <v>45505</v>
      </c>
    </row>
    <row r="452" spans="1:26" x14ac:dyDescent="0.3">
      <c r="A452" s="4" t="s">
        <v>520</v>
      </c>
      <c r="B452" s="4" t="s">
        <v>47</v>
      </c>
      <c r="C452" s="4" t="s">
        <v>24</v>
      </c>
      <c r="D452" s="5">
        <v>3995.44</v>
      </c>
      <c r="E452" s="6">
        <v>4</v>
      </c>
      <c r="F452" s="5">
        <v>15981.76</v>
      </c>
      <c r="G452" s="1">
        <v>45438</v>
      </c>
      <c r="H452" t="s">
        <v>18</v>
      </c>
      <c r="I452">
        <v>4</v>
      </c>
      <c r="J452" t="s">
        <v>32</v>
      </c>
      <c r="K452">
        <v>2024</v>
      </c>
      <c r="L452">
        <v>3196.3520000000003</v>
      </c>
      <c r="M452">
        <v>14</v>
      </c>
      <c r="N452" t="s">
        <v>20</v>
      </c>
      <c r="O452" t="s">
        <v>21</v>
      </c>
      <c r="P452">
        <f>FlipkartSales[[#This Row],[Price (INR)]]*FlipkartSales[[#This Row],[Quantity Sold]]</f>
        <v>15981.76</v>
      </c>
      <c r="Q452">
        <f>FlipkartSales[[#This Row],[Total Sales (INR)]]-FlipkartSales[[#This Row],[Calculated Sales]]</f>
        <v>0</v>
      </c>
      <c r="R452" s="9">
        <f t="shared" si="56"/>
        <v>0.2</v>
      </c>
      <c r="S452">
        <f t="shared" si="57"/>
        <v>3995.44</v>
      </c>
      <c r="T452">
        <f t="shared" si="58"/>
        <v>799.08800000000008</v>
      </c>
      <c r="U452">
        <f t="shared" si="59"/>
        <v>5</v>
      </c>
      <c r="V452" t="str">
        <f t="shared" si="60"/>
        <v>Q2</v>
      </c>
      <c r="W452" t="str">
        <f t="shared" si="61"/>
        <v>May-2024</v>
      </c>
      <c r="X452">
        <f t="shared" si="62"/>
        <v>2237.4464000000003</v>
      </c>
      <c r="Y452" s="5">
        <f t="shared" si="63"/>
        <v>13744.313599999999</v>
      </c>
      <c r="Z452" s="21">
        <f>DATE(K452,MATCH(J452,{"January","February","March","April","May","June","July","August","September","October","November","December"},0),1)</f>
        <v>45413</v>
      </c>
    </row>
    <row r="453" spans="1:26" x14ac:dyDescent="0.3">
      <c r="A453" s="4" t="s">
        <v>521</v>
      </c>
      <c r="B453" s="4" t="s">
        <v>30</v>
      </c>
      <c r="C453" s="4" t="s">
        <v>31</v>
      </c>
      <c r="D453" s="5">
        <v>38728.75</v>
      </c>
      <c r="E453" s="6">
        <v>1</v>
      </c>
      <c r="F453" s="5">
        <v>38728.75</v>
      </c>
      <c r="G453" s="1">
        <v>45570</v>
      </c>
      <c r="H453" t="s">
        <v>44</v>
      </c>
      <c r="I453">
        <v>4</v>
      </c>
      <c r="J453" t="s">
        <v>45</v>
      </c>
      <c r="K453">
        <v>2024</v>
      </c>
      <c r="L453">
        <v>7745.75</v>
      </c>
      <c r="M453">
        <v>10</v>
      </c>
      <c r="N453" t="s">
        <v>41</v>
      </c>
      <c r="O453" t="s">
        <v>68</v>
      </c>
      <c r="P453">
        <f>FlipkartSales[[#This Row],[Price (INR)]]*FlipkartSales[[#This Row],[Quantity Sold]]</f>
        <v>38728.75</v>
      </c>
      <c r="Q453">
        <f>FlipkartSales[[#This Row],[Total Sales (INR)]]-FlipkartSales[[#This Row],[Calculated Sales]]</f>
        <v>0</v>
      </c>
      <c r="R453" s="9">
        <f t="shared" si="56"/>
        <v>0.2</v>
      </c>
      <c r="S453">
        <f t="shared" si="57"/>
        <v>38728.75</v>
      </c>
      <c r="T453">
        <f t="shared" si="58"/>
        <v>7745.75</v>
      </c>
      <c r="U453">
        <f t="shared" si="59"/>
        <v>10</v>
      </c>
      <c r="V453" t="str">
        <f t="shared" si="60"/>
        <v>Q4</v>
      </c>
      <c r="W453" t="str">
        <f t="shared" si="61"/>
        <v>Oct-2024</v>
      </c>
      <c r="X453">
        <f t="shared" si="62"/>
        <v>3872.875</v>
      </c>
      <c r="Y453" s="5">
        <f t="shared" si="63"/>
        <v>34855.875</v>
      </c>
      <c r="Z453" s="21">
        <f>DATE(K453,MATCH(J453,{"January","February","March","April","May","June","July","August","September","October","November","December"},0),1)</f>
        <v>45566</v>
      </c>
    </row>
    <row r="454" spans="1:26" x14ac:dyDescent="0.3">
      <c r="A454" s="4" t="s">
        <v>522</v>
      </c>
      <c r="B454" s="4" t="s">
        <v>52</v>
      </c>
      <c r="C454" s="4" t="s">
        <v>24</v>
      </c>
      <c r="D454" s="5">
        <v>46205.47</v>
      </c>
      <c r="E454" s="6">
        <v>3</v>
      </c>
      <c r="F454" s="5">
        <v>138616.41</v>
      </c>
      <c r="G454" s="1">
        <v>45542</v>
      </c>
      <c r="H454" t="s">
        <v>71</v>
      </c>
      <c r="I454">
        <v>2.7</v>
      </c>
      <c r="J454" t="s">
        <v>19</v>
      </c>
      <c r="K454">
        <v>2024</v>
      </c>
      <c r="L454">
        <v>27723.282000000003</v>
      </c>
      <c r="M454">
        <v>19</v>
      </c>
      <c r="N454" t="s">
        <v>27</v>
      </c>
      <c r="O454" t="s">
        <v>33</v>
      </c>
      <c r="P454">
        <f>FlipkartSales[[#This Row],[Price (INR)]]*FlipkartSales[[#This Row],[Quantity Sold]]</f>
        <v>138616.41</v>
      </c>
      <c r="Q454">
        <f>FlipkartSales[[#This Row],[Total Sales (INR)]]-FlipkartSales[[#This Row],[Calculated Sales]]</f>
        <v>0</v>
      </c>
      <c r="R454" s="9">
        <f t="shared" si="56"/>
        <v>0.2</v>
      </c>
      <c r="S454">
        <f t="shared" si="57"/>
        <v>46205.47</v>
      </c>
      <c r="T454">
        <f t="shared" si="58"/>
        <v>9241.094000000001</v>
      </c>
      <c r="U454">
        <f t="shared" si="59"/>
        <v>9</v>
      </c>
      <c r="V454" t="str">
        <f t="shared" si="60"/>
        <v>Q3</v>
      </c>
      <c r="W454" t="str">
        <f t="shared" si="61"/>
        <v>Sep-2024</v>
      </c>
      <c r="X454">
        <f t="shared" si="62"/>
        <v>26337.117900000001</v>
      </c>
      <c r="Y454" s="5">
        <f t="shared" si="63"/>
        <v>112279.29210000001</v>
      </c>
      <c r="Z454" s="21">
        <f>DATE(K454,MATCH(J454,{"January","February","March","April","May","June","July","August","September","October","November","December"},0),1)</f>
        <v>45536</v>
      </c>
    </row>
    <row r="455" spans="1:26" x14ac:dyDescent="0.3">
      <c r="A455" s="4" t="s">
        <v>523</v>
      </c>
      <c r="B455" s="4" t="s">
        <v>23</v>
      </c>
      <c r="C455" s="4" t="s">
        <v>24</v>
      </c>
      <c r="D455" s="5">
        <v>7631.48</v>
      </c>
      <c r="E455" s="6">
        <v>3</v>
      </c>
      <c r="F455" s="5">
        <v>22894.44</v>
      </c>
      <c r="G455" s="1">
        <v>45491</v>
      </c>
      <c r="H455" t="s">
        <v>18</v>
      </c>
      <c r="I455">
        <v>3</v>
      </c>
      <c r="J455" t="s">
        <v>48</v>
      </c>
      <c r="K455">
        <v>2024</v>
      </c>
      <c r="L455">
        <v>4578.8879999999999</v>
      </c>
      <c r="M455">
        <v>26</v>
      </c>
      <c r="N455" t="s">
        <v>41</v>
      </c>
      <c r="O455" t="s">
        <v>33</v>
      </c>
      <c r="P455">
        <f>FlipkartSales[[#This Row],[Price (INR)]]*FlipkartSales[[#This Row],[Quantity Sold]]</f>
        <v>22894.44</v>
      </c>
      <c r="Q455">
        <f>FlipkartSales[[#This Row],[Total Sales (INR)]]-FlipkartSales[[#This Row],[Calculated Sales]]</f>
        <v>0</v>
      </c>
      <c r="R455" s="9">
        <f t="shared" si="56"/>
        <v>0.2</v>
      </c>
      <c r="S455">
        <f t="shared" si="57"/>
        <v>7631.48</v>
      </c>
      <c r="T455">
        <f t="shared" si="58"/>
        <v>1526.296</v>
      </c>
      <c r="U455">
        <f t="shared" si="59"/>
        <v>7</v>
      </c>
      <c r="V455" t="str">
        <f t="shared" si="60"/>
        <v>Q3</v>
      </c>
      <c r="W455" t="str">
        <f t="shared" si="61"/>
        <v>Jul-2024</v>
      </c>
      <c r="X455">
        <f t="shared" si="62"/>
        <v>5952.5543999999991</v>
      </c>
      <c r="Y455" s="5">
        <f t="shared" si="63"/>
        <v>16941.885600000001</v>
      </c>
      <c r="Z455" s="21">
        <f>DATE(K455,MATCH(J455,{"January","February","March","April","May","June","July","August","September","October","November","December"},0),1)</f>
        <v>45474</v>
      </c>
    </row>
    <row r="456" spans="1:26" x14ac:dyDescent="0.3">
      <c r="A456" s="4" t="s">
        <v>524</v>
      </c>
      <c r="B456" s="4" t="s">
        <v>70</v>
      </c>
      <c r="C456" s="4" t="s">
        <v>17</v>
      </c>
      <c r="D456" s="5">
        <v>4581.7299999999996</v>
      </c>
      <c r="E456" s="6">
        <v>4</v>
      </c>
      <c r="F456" s="5">
        <v>18326.919999999998</v>
      </c>
      <c r="G456" s="1">
        <v>45436</v>
      </c>
      <c r="H456" t="s">
        <v>71</v>
      </c>
      <c r="I456">
        <v>3.4</v>
      </c>
      <c r="J456" t="s">
        <v>32</v>
      </c>
      <c r="K456">
        <v>2024</v>
      </c>
      <c r="L456">
        <v>3665.384</v>
      </c>
      <c r="M456">
        <v>15</v>
      </c>
      <c r="N456" t="s">
        <v>27</v>
      </c>
      <c r="O456" t="s">
        <v>33</v>
      </c>
      <c r="P456">
        <f>FlipkartSales[[#This Row],[Price (INR)]]*FlipkartSales[[#This Row],[Quantity Sold]]</f>
        <v>18326.919999999998</v>
      </c>
      <c r="Q456">
        <f>FlipkartSales[[#This Row],[Total Sales (INR)]]-FlipkartSales[[#This Row],[Calculated Sales]]</f>
        <v>0</v>
      </c>
      <c r="R456" s="9">
        <f t="shared" si="56"/>
        <v>0.2</v>
      </c>
      <c r="S456">
        <f t="shared" si="57"/>
        <v>4581.7299999999996</v>
      </c>
      <c r="T456">
        <f t="shared" si="58"/>
        <v>916.346</v>
      </c>
      <c r="U456">
        <f t="shared" si="59"/>
        <v>5</v>
      </c>
      <c r="V456" t="str">
        <f t="shared" si="60"/>
        <v>Q2</v>
      </c>
      <c r="W456" t="str">
        <f t="shared" si="61"/>
        <v>May-2024</v>
      </c>
      <c r="X456">
        <f t="shared" si="62"/>
        <v>2749.038</v>
      </c>
      <c r="Y456" s="5">
        <f t="shared" si="63"/>
        <v>15577.881999999998</v>
      </c>
      <c r="Z456" s="21">
        <f>DATE(K456,MATCH(J456,{"January","February","March","April","May","June","July","August","September","October","November","December"},0),1)</f>
        <v>45413</v>
      </c>
    </row>
    <row r="457" spans="1:26" x14ac:dyDescent="0.3">
      <c r="A457" s="4" t="s">
        <v>525</v>
      </c>
      <c r="B457" s="4" t="s">
        <v>55</v>
      </c>
      <c r="C457" s="4" t="s">
        <v>36</v>
      </c>
      <c r="D457" s="5">
        <v>9761.64</v>
      </c>
      <c r="E457" s="6">
        <v>3</v>
      </c>
      <c r="F457" s="5">
        <v>29284.92</v>
      </c>
      <c r="G457" s="1">
        <v>45531</v>
      </c>
      <c r="H457" t="s">
        <v>44</v>
      </c>
      <c r="I457">
        <v>2.5</v>
      </c>
      <c r="J457" t="s">
        <v>88</v>
      </c>
      <c r="K457">
        <v>2024</v>
      </c>
      <c r="L457">
        <v>5856.9840000000004</v>
      </c>
      <c r="M457">
        <v>9</v>
      </c>
      <c r="N457" t="s">
        <v>41</v>
      </c>
      <c r="O457" t="s">
        <v>21</v>
      </c>
      <c r="P457">
        <f>FlipkartSales[[#This Row],[Price (INR)]]*FlipkartSales[[#This Row],[Quantity Sold]]</f>
        <v>29284.92</v>
      </c>
      <c r="Q457">
        <f>FlipkartSales[[#This Row],[Total Sales (INR)]]-FlipkartSales[[#This Row],[Calculated Sales]]</f>
        <v>0</v>
      </c>
      <c r="R457" s="9">
        <f t="shared" si="56"/>
        <v>0.2</v>
      </c>
      <c r="S457">
        <f t="shared" si="57"/>
        <v>9761.64</v>
      </c>
      <c r="T457">
        <f t="shared" si="58"/>
        <v>1952.3280000000002</v>
      </c>
      <c r="U457">
        <f t="shared" si="59"/>
        <v>8</v>
      </c>
      <c r="V457" t="str">
        <f t="shared" si="60"/>
        <v>Q3</v>
      </c>
      <c r="W457" t="str">
        <f t="shared" si="61"/>
        <v>Aug-2024</v>
      </c>
      <c r="X457">
        <f t="shared" si="62"/>
        <v>2635.6427999999996</v>
      </c>
      <c r="Y457" s="5">
        <f t="shared" si="63"/>
        <v>26649.277199999997</v>
      </c>
      <c r="Z457" s="21">
        <f>DATE(K457,MATCH(J457,{"January","February","March","April","May","June","July","August","September","October","November","December"},0),1)</f>
        <v>45505</v>
      </c>
    </row>
    <row r="458" spans="1:26" x14ac:dyDescent="0.3">
      <c r="A458" s="4" t="s">
        <v>526</v>
      </c>
      <c r="B458" s="4" t="s">
        <v>94</v>
      </c>
      <c r="C458" s="4" t="s">
        <v>31</v>
      </c>
      <c r="D458" s="5">
        <v>1582.84</v>
      </c>
      <c r="E458" s="6">
        <v>3</v>
      </c>
      <c r="F458" s="5">
        <v>4748.5200000000004</v>
      </c>
      <c r="G458" s="1">
        <v>45545</v>
      </c>
      <c r="H458" t="s">
        <v>18</v>
      </c>
      <c r="I458">
        <v>2.9</v>
      </c>
      <c r="J458" t="s">
        <v>19</v>
      </c>
      <c r="K458">
        <v>2024</v>
      </c>
      <c r="L458">
        <v>949.70400000000018</v>
      </c>
      <c r="M458">
        <v>5</v>
      </c>
      <c r="N458" t="s">
        <v>41</v>
      </c>
      <c r="O458" t="s">
        <v>68</v>
      </c>
      <c r="P458">
        <f>FlipkartSales[[#This Row],[Price (INR)]]*FlipkartSales[[#This Row],[Quantity Sold]]</f>
        <v>4748.5199999999995</v>
      </c>
      <c r="Q458">
        <f>FlipkartSales[[#This Row],[Total Sales (INR)]]-FlipkartSales[[#This Row],[Calculated Sales]]</f>
        <v>0</v>
      </c>
      <c r="R458" s="9">
        <f t="shared" si="56"/>
        <v>0.2</v>
      </c>
      <c r="S458">
        <f t="shared" si="57"/>
        <v>1582.8400000000001</v>
      </c>
      <c r="T458">
        <f t="shared" si="58"/>
        <v>316.56800000000004</v>
      </c>
      <c r="U458">
        <f t="shared" si="59"/>
        <v>9</v>
      </c>
      <c r="V458" t="str">
        <f t="shared" si="60"/>
        <v>Q3</v>
      </c>
      <c r="W458" t="str">
        <f t="shared" si="61"/>
        <v>Sep-2024</v>
      </c>
      <c r="X458">
        <f t="shared" si="62"/>
        <v>237.42600000000002</v>
      </c>
      <c r="Y458" s="5">
        <f t="shared" si="63"/>
        <v>4511.0940000000001</v>
      </c>
      <c r="Z458" s="21">
        <f>DATE(K458,MATCH(J458,{"January","February","March","April","May","June","July","August","September","October","November","December"},0),1)</f>
        <v>45536</v>
      </c>
    </row>
    <row r="459" spans="1:26" x14ac:dyDescent="0.3">
      <c r="A459" s="4" t="s">
        <v>527</v>
      </c>
      <c r="B459" s="4" t="s">
        <v>96</v>
      </c>
      <c r="C459" s="4" t="s">
        <v>36</v>
      </c>
      <c r="D459" s="5">
        <v>8902.26</v>
      </c>
      <c r="E459" s="6">
        <v>5</v>
      </c>
      <c r="F459" s="5">
        <v>44511.3</v>
      </c>
      <c r="G459" s="1">
        <v>45665</v>
      </c>
      <c r="H459" t="s">
        <v>18</v>
      </c>
      <c r="I459">
        <v>2.4</v>
      </c>
      <c r="J459" t="s">
        <v>53</v>
      </c>
      <c r="K459">
        <v>2025</v>
      </c>
      <c r="L459">
        <v>8902.26</v>
      </c>
      <c r="M459">
        <v>12</v>
      </c>
      <c r="N459" t="s">
        <v>20</v>
      </c>
      <c r="O459" t="s">
        <v>68</v>
      </c>
      <c r="P459">
        <f>FlipkartSales[[#This Row],[Price (INR)]]*FlipkartSales[[#This Row],[Quantity Sold]]</f>
        <v>44511.3</v>
      </c>
      <c r="Q459">
        <f>FlipkartSales[[#This Row],[Total Sales (INR)]]-FlipkartSales[[#This Row],[Calculated Sales]]</f>
        <v>0</v>
      </c>
      <c r="R459" s="9">
        <f t="shared" si="56"/>
        <v>0.19999999999999998</v>
      </c>
      <c r="S459">
        <f t="shared" si="57"/>
        <v>8902.26</v>
      </c>
      <c r="T459">
        <f t="shared" si="58"/>
        <v>1780.452</v>
      </c>
      <c r="U459">
        <f t="shared" si="59"/>
        <v>1</v>
      </c>
      <c r="V459" t="str">
        <f t="shared" si="60"/>
        <v>Q1</v>
      </c>
      <c r="W459" t="str">
        <f t="shared" si="61"/>
        <v>Jan-2025</v>
      </c>
      <c r="X459">
        <f t="shared" si="62"/>
        <v>5341.3560000000007</v>
      </c>
      <c r="Y459" s="5">
        <f t="shared" si="63"/>
        <v>39169.944000000003</v>
      </c>
      <c r="Z459" s="21">
        <f>DATE(K459,MATCH(J459,{"January","February","March","April","May","June","July","August","September","October","November","December"},0),1)</f>
        <v>45658</v>
      </c>
    </row>
    <row r="460" spans="1:26" x14ac:dyDescent="0.3">
      <c r="A460" s="4" t="s">
        <v>528</v>
      </c>
      <c r="B460" s="4" t="s">
        <v>145</v>
      </c>
      <c r="C460" s="4" t="s">
        <v>40</v>
      </c>
      <c r="D460" s="5">
        <v>1549.63</v>
      </c>
      <c r="E460" s="6">
        <v>1</v>
      </c>
      <c r="F460" s="5">
        <v>1549.63</v>
      </c>
      <c r="G460" s="1">
        <v>45623</v>
      </c>
      <c r="H460" t="s">
        <v>64</v>
      </c>
      <c r="I460">
        <v>3</v>
      </c>
      <c r="J460" t="s">
        <v>37</v>
      </c>
      <c r="K460">
        <v>2024</v>
      </c>
      <c r="L460">
        <v>309.92600000000004</v>
      </c>
      <c r="M460">
        <v>25</v>
      </c>
      <c r="N460" t="s">
        <v>41</v>
      </c>
      <c r="O460" t="s">
        <v>28</v>
      </c>
      <c r="P460">
        <f>FlipkartSales[[#This Row],[Price (INR)]]*FlipkartSales[[#This Row],[Quantity Sold]]</f>
        <v>1549.63</v>
      </c>
      <c r="Q460">
        <f>FlipkartSales[[#This Row],[Total Sales (INR)]]-FlipkartSales[[#This Row],[Calculated Sales]]</f>
        <v>0</v>
      </c>
      <c r="R460" s="9">
        <f t="shared" si="56"/>
        <v>0.2</v>
      </c>
      <c r="S460">
        <f t="shared" si="57"/>
        <v>1549.63</v>
      </c>
      <c r="T460">
        <f t="shared" si="58"/>
        <v>309.92600000000004</v>
      </c>
      <c r="U460">
        <f t="shared" si="59"/>
        <v>11</v>
      </c>
      <c r="V460" t="str">
        <f t="shared" si="60"/>
        <v>Q4</v>
      </c>
      <c r="W460" t="str">
        <f t="shared" si="61"/>
        <v>Nov-2024</v>
      </c>
      <c r="X460">
        <f t="shared" si="62"/>
        <v>387.40750000000003</v>
      </c>
      <c r="Y460" s="5">
        <f t="shared" si="63"/>
        <v>1162.2225000000001</v>
      </c>
      <c r="Z460" s="21">
        <f>DATE(K460,MATCH(J460,{"January","February","March","April","May","June","July","August","September","October","November","December"},0),1)</f>
        <v>45597</v>
      </c>
    </row>
    <row r="461" spans="1:26" x14ac:dyDescent="0.3">
      <c r="A461" s="4" t="s">
        <v>529</v>
      </c>
      <c r="B461" s="4" t="s">
        <v>16</v>
      </c>
      <c r="C461" s="4" t="s">
        <v>17</v>
      </c>
      <c r="D461" s="5">
        <v>23520.5</v>
      </c>
      <c r="E461" s="6">
        <v>5</v>
      </c>
      <c r="F461" s="5">
        <v>117602.5</v>
      </c>
      <c r="G461" s="1">
        <v>45408</v>
      </c>
      <c r="H461" t="s">
        <v>18</v>
      </c>
      <c r="I461">
        <v>1.2</v>
      </c>
      <c r="J461" t="s">
        <v>62</v>
      </c>
      <c r="K461">
        <v>2024</v>
      </c>
      <c r="L461">
        <v>23520.5</v>
      </c>
      <c r="M461">
        <v>16</v>
      </c>
      <c r="N461" t="s">
        <v>27</v>
      </c>
      <c r="O461" t="s">
        <v>28</v>
      </c>
      <c r="P461">
        <f>FlipkartSales[[#This Row],[Price (INR)]]*FlipkartSales[[#This Row],[Quantity Sold]]</f>
        <v>117602.5</v>
      </c>
      <c r="Q461">
        <f>FlipkartSales[[#This Row],[Total Sales (INR)]]-FlipkartSales[[#This Row],[Calculated Sales]]</f>
        <v>0</v>
      </c>
      <c r="R461" s="9">
        <f t="shared" si="56"/>
        <v>0.2</v>
      </c>
      <c r="S461">
        <f t="shared" si="57"/>
        <v>23520.5</v>
      </c>
      <c r="T461">
        <f t="shared" si="58"/>
        <v>4704.1000000000004</v>
      </c>
      <c r="U461">
        <f t="shared" si="59"/>
        <v>4</v>
      </c>
      <c r="V461" t="str">
        <f t="shared" si="60"/>
        <v>Q2</v>
      </c>
      <c r="W461" t="str">
        <f t="shared" si="61"/>
        <v>Apr-2024</v>
      </c>
      <c r="X461">
        <f t="shared" si="62"/>
        <v>18816.400000000001</v>
      </c>
      <c r="Y461" s="5">
        <f t="shared" si="63"/>
        <v>98786.1</v>
      </c>
      <c r="Z461" s="21">
        <f>DATE(K461,MATCH(J461,{"January","February","March","April","May","June","July","August","September","October","November","December"},0),1)</f>
        <v>45383</v>
      </c>
    </row>
    <row r="462" spans="1:26" x14ac:dyDescent="0.3">
      <c r="A462" s="4" t="s">
        <v>530</v>
      </c>
      <c r="B462" s="4" t="s">
        <v>30</v>
      </c>
      <c r="C462" s="4" t="s">
        <v>31</v>
      </c>
      <c r="D462" s="5">
        <v>18729.61</v>
      </c>
      <c r="E462" s="6">
        <v>1</v>
      </c>
      <c r="F462" s="5">
        <v>18729.61</v>
      </c>
      <c r="G462" s="1">
        <v>45385</v>
      </c>
      <c r="H462" t="s">
        <v>64</v>
      </c>
      <c r="I462">
        <v>1</v>
      </c>
      <c r="J462" t="s">
        <v>62</v>
      </c>
      <c r="K462">
        <v>2024</v>
      </c>
      <c r="L462">
        <v>3745.9220000000005</v>
      </c>
      <c r="M462">
        <v>16</v>
      </c>
      <c r="N462" t="s">
        <v>27</v>
      </c>
      <c r="O462" t="s">
        <v>68</v>
      </c>
      <c r="P462">
        <f>FlipkartSales[[#This Row],[Price (INR)]]*FlipkartSales[[#This Row],[Quantity Sold]]</f>
        <v>18729.61</v>
      </c>
      <c r="Q462">
        <f>FlipkartSales[[#This Row],[Total Sales (INR)]]-FlipkartSales[[#This Row],[Calculated Sales]]</f>
        <v>0</v>
      </c>
      <c r="R462" s="9">
        <f t="shared" si="56"/>
        <v>0.2</v>
      </c>
      <c r="S462">
        <f t="shared" si="57"/>
        <v>18729.61</v>
      </c>
      <c r="T462">
        <f t="shared" si="58"/>
        <v>3745.9220000000005</v>
      </c>
      <c r="U462">
        <f t="shared" si="59"/>
        <v>4</v>
      </c>
      <c r="V462" t="str">
        <f t="shared" si="60"/>
        <v>Q2</v>
      </c>
      <c r="W462" t="str">
        <f t="shared" si="61"/>
        <v>Apr-2024</v>
      </c>
      <c r="X462">
        <f t="shared" si="62"/>
        <v>2996.7375999999999</v>
      </c>
      <c r="Y462" s="5">
        <f t="shared" si="63"/>
        <v>15732.8724</v>
      </c>
      <c r="Z462" s="21">
        <f>DATE(K462,MATCH(J462,{"January","February","March","April","May","June","July","August","September","October","November","December"},0),1)</f>
        <v>45383</v>
      </c>
    </row>
    <row r="463" spans="1:26" x14ac:dyDescent="0.3">
      <c r="A463" s="4" t="s">
        <v>531</v>
      </c>
      <c r="B463" s="4" t="s">
        <v>125</v>
      </c>
      <c r="C463" s="4" t="s">
        <v>17</v>
      </c>
      <c r="D463" s="5">
        <v>18085.73</v>
      </c>
      <c r="E463" s="6">
        <v>3</v>
      </c>
      <c r="F463" s="5">
        <v>54257.19</v>
      </c>
      <c r="G463" s="1">
        <v>45485</v>
      </c>
      <c r="H463" t="s">
        <v>80</v>
      </c>
      <c r="I463">
        <v>4.0999999999999996</v>
      </c>
      <c r="J463" t="s">
        <v>48</v>
      </c>
      <c r="K463">
        <v>2024</v>
      </c>
      <c r="L463">
        <v>10851.438000000002</v>
      </c>
      <c r="M463">
        <v>9</v>
      </c>
      <c r="N463" t="s">
        <v>20</v>
      </c>
      <c r="O463" t="s">
        <v>68</v>
      </c>
      <c r="P463">
        <f>FlipkartSales[[#This Row],[Price (INR)]]*FlipkartSales[[#This Row],[Quantity Sold]]</f>
        <v>54257.19</v>
      </c>
      <c r="Q463">
        <f>FlipkartSales[[#This Row],[Total Sales (INR)]]-FlipkartSales[[#This Row],[Calculated Sales]]</f>
        <v>0</v>
      </c>
      <c r="R463" s="9">
        <f t="shared" si="56"/>
        <v>0.20000000000000004</v>
      </c>
      <c r="S463">
        <f t="shared" si="57"/>
        <v>18085.73</v>
      </c>
      <c r="T463">
        <f t="shared" si="58"/>
        <v>3617.1460000000006</v>
      </c>
      <c r="U463">
        <f t="shared" si="59"/>
        <v>7</v>
      </c>
      <c r="V463" t="str">
        <f t="shared" si="60"/>
        <v>Q3</v>
      </c>
      <c r="W463" t="str">
        <f t="shared" si="61"/>
        <v>Jul-2024</v>
      </c>
      <c r="X463">
        <f t="shared" si="62"/>
        <v>4883.1471000000001</v>
      </c>
      <c r="Y463" s="5">
        <f t="shared" si="63"/>
        <v>49374.0429</v>
      </c>
      <c r="Z463" s="21">
        <f>DATE(K463,MATCH(J463,{"January","February","March","April","May","June","July","August","September","October","November","December"},0),1)</f>
        <v>45474</v>
      </c>
    </row>
    <row r="464" spans="1:26" x14ac:dyDescent="0.3">
      <c r="A464" s="4" t="s">
        <v>532</v>
      </c>
      <c r="B464" s="4" t="s">
        <v>61</v>
      </c>
      <c r="C464" s="4" t="s">
        <v>31</v>
      </c>
      <c r="D464" s="5">
        <v>29844.59</v>
      </c>
      <c r="E464" s="6">
        <v>3</v>
      </c>
      <c r="F464" s="5">
        <v>89533.77</v>
      </c>
      <c r="G464" s="1">
        <v>45471</v>
      </c>
      <c r="H464" t="s">
        <v>71</v>
      </c>
      <c r="I464">
        <v>3.9</v>
      </c>
      <c r="J464" t="s">
        <v>67</v>
      </c>
      <c r="K464">
        <v>2024</v>
      </c>
      <c r="L464">
        <v>17906.754000000001</v>
      </c>
      <c r="M464">
        <v>11</v>
      </c>
      <c r="N464" t="s">
        <v>27</v>
      </c>
      <c r="O464" t="s">
        <v>68</v>
      </c>
      <c r="P464">
        <f>FlipkartSales[[#This Row],[Price (INR)]]*FlipkartSales[[#This Row],[Quantity Sold]]</f>
        <v>89533.77</v>
      </c>
      <c r="Q464">
        <f>FlipkartSales[[#This Row],[Total Sales (INR)]]-FlipkartSales[[#This Row],[Calculated Sales]]</f>
        <v>0</v>
      </c>
      <c r="R464" s="9">
        <f t="shared" si="56"/>
        <v>0.2</v>
      </c>
      <c r="S464">
        <f t="shared" si="57"/>
        <v>29844.59</v>
      </c>
      <c r="T464">
        <f t="shared" si="58"/>
        <v>5968.9180000000006</v>
      </c>
      <c r="U464">
        <f t="shared" si="59"/>
        <v>6</v>
      </c>
      <c r="V464" t="str">
        <f t="shared" si="60"/>
        <v>Q2</v>
      </c>
      <c r="W464" t="str">
        <f t="shared" si="61"/>
        <v>Jun-2024</v>
      </c>
      <c r="X464">
        <f t="shared" si="62"/>
        <v>9848.7147000000004</v>
      </c>
      <c r="Y464" s="5">
        <f t="shared" si="63"/>
        <v>79685.055300000007</v>
      </c>
      <c r="Z464" s="21">
        <f>DATE(K464,MATCH(J464,{"January","February","March","April","May","June","July","August","September","October","November","December"},0),1)</f>
        <v>45444</v>
      </c>
    </row>
    <row r="465" spans="1:26" x14ac:dyDescent="0.3">
      <c r="A465" s="4" t="s">
        <v>533</v>
      </c>
      <c r="B465" s="4" t="s">
        <v>55</v>
      </c>
      <c r="C465" s="4" t="s">
        <v>36</v>
      </c>
      <c r="D465" s="5">
        <v>12964.52</v>
      </c>
      <c r="E465" s="6">
        <v>2</v>
      </c>
      <c r="F465" s="5">
        <v>25929.040000000001</v>
      </c>
      <c r="G465" s="1">
        <v>45619</v>
      </c>
      <c r="H465" t="s">
        <v>44</v>
      </c>
      <c r="I465">
        <v>2.7</v>
      </c>
      <c r="J465" t="s">
        <v>37</v>
      </c>
      <c r="K465">
        <v>2024</v>
      </c>
      <c r="L465">
        <v>5185.8080000000009</v>
      </c>
      <c r="M465">
        <v>8</v>
      </c>
      <c r="N465" t="s">
        <v>27</v>
      </c>
      <c r="O465" t="s">
        <v>21</v>
      </c>
      <c r="P465">
        <f>FlipkartSales[[#This Row],[Price (INR)]]*FlipkartSales[[#This Row],[Quantity Sold]]</f>
        <v>25929.040000000001</v>
      </c>
      <c r="Q465">
        <f>FlipkartSales[[#This Row],[Total Sales (INR)]]-FlipkartSales[[#This Row],[Calculated Sales]]</f>
        <v>0</v>
      </c>
      <c r="R465" s="9">
        <f t="shared" si="56"/>
        <v>0.20000000000000004</v>
      </c>
      <c r="S465">
        <f t="shared" si="57"/>
        <v>12964.52</v>
      </c>
      <c r="T465">
        <f t="shared" si="58"/>
        <v>2592.9040000000005</v>
      </c>
      <c r="U465">
        <f t="shared" si="59"/>
        <v>11</v>
      </c>
      <c r="V465" t="str">
        <f t="shared" si="60"/>
        <v>Q4</v>
      </c>
      <c r="W465" t="str">
        <f t="shared" si="61"/>
        <v>Nov-2024</v>
      </c>
      <c r="X465">
        <f t="shared" si="62"/>
        <v>2074.3232000000003</v>
      </c>
      <c r="Y465" s="5">
        <f t="shared" si="63"/>
        <v>23854.716800000002</v>
      </c>
      <c r="Z465" s="21">
        <f>DATE(K465,MATCH(J465,{"January","February","March","April","May","June","July","August","September","October","November","December"},0),1)</f>
        <v>45597</v>
      </c>
    </row>
    <row r="466" spans="1:26" x14ac:dyDescent="0.3">
      <c r="A466" s="4" t="s">
        <v>534</v>
      </c>
      <c r="B466" s="4" t="s">
        <v>55</v>
      </c>
      <c r="C466" s="4" t="s">
        <v>36</v>
      </c>
      <c r="D466" s="5">
        <v>43431.64</v>
      </c>
      <c r="E466" s="6">
        <v>5</v>
      </c>
      <c r="F466" s="5">
        <v>217158.2</v>
      </c>
      <c r="G466" s="1">
        <v>45463</v>
      </c>
      <c r="H466" t="s">
        <v>71</v>
      </c>
      <c r="I466">
        <v>4.4000000000000004</v>
      </c>
      <c r="J466" t="s">
        <v>67</v>
      </c>
      <c r="K466">
        <v>2024</v>
      </c>
      <c r="L466">
        <v>43431.640000000007</v>
      </c>
      <c r="M466">
        <v>10</v>
      </c>
      <c r="N466" t="s">
        <v>27</v>
      </c>
      <c r="O466" t="s">
        <v>68</v>
      </c>
      <c r="P466">
        <f>FlipkartSales[[#This Row],[Price (INR)]]*FlipkartSales[[#This Row],[Quantity Sold]]</f>
        <v>217158.2</v>
      </c>
      <c r="Q466">
        <f>FlipkartSales[[#This Row],[Total Sales (INR)]]-FlipkartSales[[#This Row],[Calculated Sales]]</f>
        <v>0</v>
      </c>
      <c r="R466" s="9">
        <f t="shared" si="56"/>
        <v>0.2</v>
      </c>
      <c r="S466">
        <f t="shared" si="57"/>
        <v>43431.64</v>
      </c>
      <c r="T466">
        <f t="shared" si="58"/>
        <v>8686.3280000000013</v>
      </c>
      <c r="U466">
        <f t="shared" si="59"/>
        <v>6</v>
      </c>
      <c r="V466" t="str">
        <f t="shared" si="60"/>
        <v>Q2</v>
      </c>
      <c r="W466" t="str">
        <f t="shared" si="61"/>
        <v>Jun-2024</v>
      </c>
      <c r="X466">
        <f t="shared" si="62"/>
        <v>21715.82</v>
      </c>
      <c r="Y466" s="5">
        <f t="shared" si="63"/>
        <v>195442.38</v>
      </c>
      <c r="Z466" s="21">
        <f>DATE(K466,MATCH(J466,{"January","February","March","April","May","June","July","August","September","October","November","December"},0),1)</f>
        <v>45444</v>
      </c>
    </row>
    <row r="467" spans="1:26" x14ac:dyDescent="0.3">
      <c r="A467" s="4" t="s">
        <v>535</v>
      </c>
      <c r="B467" s="4" t="s">
        <v>35</v>
      </c>
      <c r="C467" s="4" t="s">
        <v>36</v>
      </c>
      <c r="D467" s="5">
        <v>31005.06</v>
      </c>
      <c r="E467" s="6">
        <v>4</v>
      </c>
      <c r="F467" s="5">
        <v>124020.24</v>
      </c>
      <c r="G467" s="1">
        <v>45495</v>
      </c>
      <c r="H467" t="s">
        <v>80</v>
      </c>
      <c r="I467">
        <v>4</v>
      </c>
      <c r="J467" t="s">
        <v>48</v>
      </c>
      <c r="K467">
        <v>2024</v>
      </c>
      <c r="L467">
        <v>24804.048000000003</v>
      </c>
      <c r="M467">
        <v>17</v>
      </c>
      <c r="N467" t="s">
        <v>41</v>
      </c>
      <c r="O467" t="s">
        <v>28</v>
      </c>
      <c r="P467">
        <f>FlipkartSales[[#This Row],[Price (INR)]]*FlipkartSales[[#This Row],[Quantity Sold]]</f>
        <v>124020.24</v>
      </c>
      <c r="Q467">
        <f>FlipkartSales[[#This Row],[Total Sales (INR)]]-FlipkartSales[[#This Row],[Calculated Sales]]</f>
        <v>0</v>
      </c>
      <c r="R467" s="9">
        <f t="shared" si="56"/>
        <v>0.2</v>
      </c>
      <c r="S467">
        <f t="shared" si="57"/>
        <v>31005.06</v>
      </c>
      <c r="T467">
        <f t="shared" si="58"/>
        <v>6201.0120000000006</v>
      </c>
      <c r="U467">
        <f t="shared" si="59"/>
        <v>7</v>
      </c>
      <c r="V467" t="str">
        <f t="shared" si="60"/>
        <v>Q3</v>
      </c>
      <c r="W467" t="str">
        <f t="shared" si="61"/>
        <v>Jul-2024</v>
      </c>
      <c r="X467">
        <f t="shared" si="62"/>
        <v>21083.4408</v>
      </c>
      <c r="Y467" s="5">
        <f t="shared" si="63"/>
        <v>102936.79920000001</v>
      </c>
      <c r="Z467" s="21">
        <f>DATE(K467,MATCH(J467,{"January","February","March","April","May","June","July","August","September","October","November","December"},0),1)</f>
        <v>45474</v>
      </c>
    </row>
    <row r="468" spans="1:26" x14ac:dyDescent="0.3">
      <c r="A468" s="4" t="s">
        <v>536</v>
      </c>
      <c r="B468" s="4" t="s">
        <v>30</v>
      </c>
      <c r="C468" s="4" t="s">
        <v>31</v>
      </c>
      <c r="D468" s="5">
        <v>16010.24</v>
      </c>
      <c r="E468" s="6">
        <v>3</v>
      </c>
      <c r="F468" s="5">
        <v>48030.720000000001</v>
      </c>
      <c r="G468" s="1">
        <v>45617</v>
      </c>
      <c r="H468" t="s">
        <v>80</v>
      </c>
      <c r="I468">
        <v>1.6</v>
      </c>
      <c r="J468" t="s">
        <v>37</v>
      </c>
      <c r="K468">
        <v>2024</v>
      </c>
      <c r="L468">
        <v>9606.1440000000002</v>
      </c>
      <c r="M468">
        <v>24</v>
      </c>
      <c r="N468" t="s">
        <v>41</v>
      </c>
      <c r="O468" t="s">
        <v>21</v>
      </c>
      <c r="P468">
        <f>FlipkartSales[[#This Row],[Price (INR)]]*FlipkartSales[[#This Row],[Quantity Sold]]</f>
        <v>48030.720000000001</v>
      </c>
      <c r="Q468">
        <f>FlipkartSales[[#This Row],[Total Sales (INR)]]-FlipkartSales[[#This Row],[Calculated Sales]]</f>
        <v>0</v>
      </c>
      <c r="R468" s="9">
        <f t="shared" si="56"/>
        <v>0.2</v>
      </c>
      <c r="S468">
        <f t="shared" si="57"/>
        <v>16010.24</v>
      </c>
      <c r="T468">
        <f t="shared" si="58"/>
        <v>3202.0480000000002</v>
      </c>
      <c r="U468">
        <f t="shared" si="59"/>
        <v>11</v>
      </c>
      <c r="V468" t="str">
        <f t="shared" si="60"/>
        <v>Q4</v>
      </c>
      <c r="W468" t="str">
        <f t="shared" si="61"/>
        <v>Nov-2024</v>
      </c>
      <c r="X468">
        <f t="shared" si="62"/>
        <v>11527.372800000001</v>
      </c>
      <c r="Y468" s="5">
        <f t="shared" si="63"/>
        <v>36503.347200000004</v>
      </c>
      <c r="Z468" s="21">
        <f>DATE(K468,MATCH(J468,{"January","February","March","April","May","June","July","August","September","October","November","December"},0),1)</f>
        <v>45597</v>
      </c>
    </row>
    <row r="469" spans="1:26" x14ac:dyDescent="0.3">
      <c r="A469" s="4" t="s">
        <v>537</v>
      </c>
      <c r="B469" s="4" t="s">
        <v>107</v>
      </c>
      <c r="C469" s="4" t="s">
        <v>36</v>
      </c>
      <c r="D469" s="5">
        <v>18451.91</v>
      </c>
      <c r="E469" s="6">
        <v>5</v>
      </c>
      <c r="F469" s="5">
        <v>92259.55</v>
      </c>
      <c r="G469" s="1">
        <v>45547</v>
      </c>
      <c r="H469" t="s">
        <v>25</v>
      </c>
      <c r="I469">
        <v>4.9000000000000004</v>
      </c>
      <c r="J469" t="s">
        <v>19</v>
      </c>
      <c r="K469">
        <v>2024</v>
      </c>
      <c r="L469">
        <v>18451.91</v>
      </c>
      <c r="M469">
        <v>19</v>
      </c>
      <c r="N469" t="s">
        <v>27</v>
      </c>
      <c r="O469" t="s">
        <v>68</v>
      </c>
      <c r="P469">
        <f>FlipkartSales[[#This Row],[Price (INR)]]*FlipkartSales[[#This Row],[Quantity Sold]]</f>
        <v>92259.55</v>
      </c>
      <c r="Q469">
        <f>FlipkartSales[[#This Row],[Total Sales (INR)]]-FlipkartSales[[#This Row],[Calculated Sales]]</f>
        <v>0</v>
      </c>
      <c r="R469" s="9">
        <f t="shared" si="56"/>
        <v>0.19999999999999998</v>
      </c>
      <c r="S469">
        <f t="shared" si="57"/>
        <v>18451.91</v>
      </c>
      <c r="T469">
        <f t="shared" si="58"/>
        <v>3690.3820000000001</v>
      </c>
      <c r="U469">
        <f t="shared" si="59"/>
        <v>9</v>
      </c>
      <c r="V469" t="str">
        <f t="shared" si="60"/>
        <v>Q3</v>
      </c>
      <c r="W469" t="str">
        <f t="shared" si="61"/>
        <v>Sep-2024</v>
      </c>
      <c r="X469">
        <f t="shared" si="62"/>
        <v>17529.3145</v>
      </c>
      <c r="Y469" s="5">
        <f t="shared" si="63"/>
        <v>74730.23550000001</v>
      </c>
      <c r="Z469" s="21">
        <f>DATE(K469,MATCH(J469,{"January","February","March","April","May","June","July","August","September","October","November","December"},0),1)</f>
        <v>45536</v>
      </c>
    </row>
    <row r="470" spans="1:26" x14ac:dyDescent="0.3">
      <c r="A470" s="4" t="s">
        <v>538</v>
      </c>
      <c r="B470" s="4" t="s">
        <v>35</v>
      </c>
      <c r="C470" s="4" t="s">
        <v>36</v>
      </c>
      <c r="D470" s="5">
        <v>31793.09</v>
      </c>
      <c r="E470" s="6">
        <v>4</v>
      </c>
      <c r="F470" s="5">
        <v>127172.36</v>
      </c>
      <c r="G470" s="1">
        <v>45341</v>
      </c>
      <c r="H470" t="s">
        <v>64</v>
      </c>
      <c r="I470">
        <v>4.8</v>
      </c>
      <c r="J470" t="s">
        <v>59</v>
      </c>
      <c r="K470">
        <v>2024</v>
      </c>
      <c r="L470">
        <v>25434.472000000002</v>
      </c>
      <c r="M470">
        <v>7</v>
      </c>
      <c r="N470" t="s">
        <v>20</v>
      </c>
      <c r="O470" t="s">
        <v>28</v>
      </c>
      <c r="P470">
        <f>FlipkartSales[[#This Row],[Price (INR)]]*FlipkartSales[[#This Row],[Quantity Sold]]</f>
        <v>127172.36</v>
      </c>
      <c r="Q470">
        <f>FlipkartSales[[#This Row],[Total Sales (INR)]]-FlipkartSales[[#This Row],[Calculated Sales]]</f>
        <v>0</v>
      </c>
      <c r="R470" s="9">
        <f t="shared" si="56"/>
        <v>0.2</v>
      </c>
      <c r="S470">
        <f t="shared" si="57"/>
        <v>31793.09</v>
      </c>
      <c r="T470">
        <f t="shared" si="58"/>
        <v>6358.6180000000004</v>
      </c>
      <c r="U470">
        <f t="shared" si="59"/>
        <v>2</v>
      </c>
      <c r="V470" t="str">
        <f t="shared" si="60"/>
        <v>Q1</v>
      </c>
      <c r="W470" t="str">
        <f t="shared" si="61"/>
        <v>Feb-2024</v>
      </c>
      <c r="X470">
        <f t="shared" si="62"/>
        <v>8902.0652000000009</v>
      </c>
      <c r="Y470" s="5">
        <f t="shared" si="63"/>
        <v>118270.2948</v>
      </c>
      <c r="Z470" s="21">
        <f>DATE(K470,MATCH(J470,{"January","February","March","April","May","June","July","August","September","October","November","December"},0),1)</f>
        <v>45323</v>
      </c>
    </row>
    <row r="471" spans="1:26" x14ac:dyDescent="0.3">
      <c r="A471" s="4" t="s">
        <v>539</v>
      </c>
      <c r="B471" s="4" t="s">
        <v>78</v>
      </c>
      <c r="C471" s="4" t="s">
        <v>24</v>
      </c>
      <c r="D471" s="5">
        <v>36666.620000000003</v>
      </c>
      <c r="E471" s="6">
        <v>4</v>
      </c>
      <c r="F471" s="5">
        <v>146666.48000000001</v>
      </c>
      <c r="G471" s="1">
        <v>45563</v>
      </c>
      <c r="H471" t="s">
        <v>80</v>
      </c>
      <c r="I471">
        <v>2.1</v>
      </c>
      <c r="J471" t="s">
        <v>19</v>
      </c>
      <c r="K471">
        <v>2024</v>
      </c>
      <c r="L471">
        <v>29333.296000000002</v>
      </c>
      <c r="M471">
        <v>27</v>
      </c>
      <c r="N471" t="s">
        <v>41</v>
      </c>
      <c r="O471" t="s">
        <v>21</v>
      </c>
      <c r="P471">
        <f>FlipkartSales[[#This Row],[Price (INR)]]*FlipkartSales[[#This Row],[Quantity Sold]]</f>
        <v>146666.48000000001</v>
      </c>
      <c r="Q471">
        <f>FlipkartSales[[#This Row],[Total Sales (INR)]]-FlipkartSales[[#This Row],[Calculated Sales]]</f>
        <v>0</v>
      </c>
      <c r="R471" s="9">
        <f t="shared" si="56"/>
        <v>0.2</v>
      </c>
      <c r="S471">
        <f t="shared" si="57"/>
        <v>36666.620000000003</v>
      </c>
      <c r="T471">
        <f t="shared" si="58"/>
        <v>7333.3240000000005</v>
      </c>
      <c r="U471">
        <f t="shared" si="59"/>
        <v>9</v>
      </c>
      <c r="V471" t="str">
        <f t="shared" si="60"/>
        <v>Q3</v>
      </c>
      <c r="W471" t="str">
        <f t="shared" si="61"/>
        <v>Sep-2024</v>
      </c>
      <c r="X471">
        <f t="shared" si="62"/>
        <v>39599.949600000007</v>
      </c>
      <c r="Y471" s="5">
        <f t="shared" si="63"/>
        <v>107066.5304</v>
      </c>
      <c r="Z471" s="21">
        <f>DATE(K471,MATCH(J471,{"January","February","March","April","May","June","July","August","September","October","November","December"},0),1)</f>
        <v>45536</v>
      </c>
    </row>
    <row r="472" spans="1:26" x14ac:dyDescent="0.3">
      <c r="A472" s="4" t="s">
        <v>540</v>
      </c>
      <c r="B472" s="4" t="s">
        <v>66</v>
      </c>
      <c r="C472" s="4" t="s">
        <v>36</v>
      </c>
      <c r="D472" s="5">
        <v>38681.26</v>
      </c>
      <c r="E472" s="6">
        <v>1</v>
      </c>
      <c r="F472" s="5">
        <v>38681.26</v>
      </c>
      <c r="G472" s="1">
        <v>45490</v>
      </c>
      <c r="H472" t="s">
        <v>64</v>
      </c>
      <c r="I472">
        <v>2</v>
      </c>
      <c r="J472" t="s">
        <v>48</v>
      </c>
      <c r="K472">
        <v>2024</v>
      </c>
      <c r="L472">
        <v>7736.2520000000004</v>
      </c>
      <c r="M472">
        <v>12</v>
      </c>
      <c r="N472" t="s">
        <v>20</v>
      </c>
      <c r="O472" t="s">
        <v>68</v>
      </c>
      <c r="P472">
        <f>FlipkartSales[[#This Row],[Price (INR)]]*FlipkartSales[[#This Row],[Quantity Sold]]</f>
        <v>38681.26</v>
      </c>
      <c r="Q472">
        <f>FlipkartSales[[#This Row],[Total Sales (INR)]]-FlipkartSales[[#This Row],[Calculated Sales]]</f>
        <v>0</v>
      </c>
      <c r="R472" s="9">
        <f t="shared" si="56"/>
        <v>0.2</v>
      </c>
      <c r="S472">
        <f t="shared" si="57"/>
        <v>38681.26</v>
      </c>
      <c r="T472">
        <f t="shared" si="58"/>
        <v>7736.2520000000004</v>
      </c>
      <c r="U472">
        <f t="shared" si="59"/>
        <v>7</v>
      </c>
      <c r="V472" t="str">
        <f t="shared" si="60"/>
        <v>Q3</v>
      </c>
      <c r="W472" t="str">
        <f t="shared" si="61"/>
        <v>Jul-2024</v>
      </c>
      <c r="X472">
        <f t="shared" si="62"/>
        <v>4641.7511999999997</v>
      </c>
      <c r="Y472" s="5">
        <f t="shared" si="63"/>
        <v>34039.508800000003</v>
      </c>
      <c r="Z472" s="21">
        <f>DATE(K472,MATCH(J472,{"January","February","March","April","May","June","July","August","September","October","November","December"},0),1)</f>
        <v>45474</v>
      </c>
    </row>
    <row r="473" spans="1:26" x14ac:dyDescent="0.3">
      <c r="A473" s="4" t="s">
        <v>541</v>
      </c>
      <c r="B473" s="4" t="s">
        <v>39</v>
      </c>
      <c r="C473" s="4" t="s">
        <v>40</v>
      </c>
      <c r="D473" s="5">
        <v>29493.06</v>
      </c>
      <c r="E473" s="6">
        <v>3</v>
      </c>
      <c r="F473" s="5">
        <v>88479.18</v>
      </c>
      <c r="G473" s="1">
        <v>45497</v>
      </c>
      <c r="H473" t="s">
        <v>71</v>
      </c>
      <c r="I473">
        <v>4.2</v>
      </c>
      <c r="J473" t="s">
        <v>48</v>
      </c>
      <c r="K473">
        <v>2024</v>
      </c>
      <c r="L473">
        <v>17695.835999999999</v>
      </c>
      <c r="M473">
        <v>24</v>
      </c>
      <c r="N473" t="s">
        <v>27</v>
      </c>
      <c r="O473" t="s">
        <v>68</v>
      </c>
      <c r="P473">
        <f>FlipkartSales[[#This Row],[Price (INR)]]*FlipkartSales[[#This Row],[Quantity Sold]]</f>
        <v>88479.180000000008</v>
      </c>
      <c r="Q473">
        <f>FlipkartSales[[#This Row],[Total Sales (INR)]]-FlipkartSales[[#This Row],[Calculated Sales]]</f>
        <v>0</v>
      </c>
      <c r="R473" s="9">
        <f t="shared" si="56"/>
        <v>0.2</v>
      </c>
      <c r="S473">
        <f t="shared" si="57"/>
        <v>29493.059999999998</v>
      </c>
      <c r="T473">
        <f t="shared" si="58"/>
        <v>5898.6120000000001</v>
      </c>
      <c r="U473">
        <f t="shared" si="59"/>
        <v>7</v>
      </c>
      <c r="V473" t="str">
        <f t="shared" si="60"/>
        <v>Q3</v>
      </c>
      <c r="W473" t="str">
        <f t="shared" si="61"/>
        <v>Jul-2024</v>
      </c>
      <c r="X473">
        <f t="shared" si="62"/>
        <v>21235.003199999999</v>
      </c>
      <c r="Y473" s="5">
        <f t="shared" si="63"/>
        <v>67244.176799999987</v>
      </c>
      <c r="Z473" s="21">
        <f>DATE(K473,MATCH(J473,{"January","February","March","April","May","June","July","August","September","October","November","December"},0),1)</f>
        <v>45474</v>
      </c>
    </row>
    <row r="474" spans="1:26" x14ac:dyDescent="0.3">
      <c r="A474" s="4" t="s">
        <v>542</v>
      </c>
      <c r="B474" s="4" t="s">
        <v>84</v>
      </c>
      <c r="C474" s="4" t="s">
        <v>40</v>
      </c>
      <c r="D474" s="5">
        <v>30009.200000000001</v>
      </c>
      <c r="E474" s="6">
        <v>2</v>
      </c>
      <c r="F474" s="5">
        <v>60018.400000000001</v>
      </c>
      <c r="G474" s="1">
        <v>45456</v>
      </c>
      <c r="H474" t="s">
        <v>18</v>
      </c>
      <c r="I474">
        <v>3</v>
      </c>
      <c r="J474" t="s">
        <v>67</v>
      </c>
      <c r="K474">
        <v>2024</v>
      </c>
      <c r="L474">
        <v>12003.68</v>
      </c>
      <c r="M474">
        <v>20</v>
      </c>
      <c r="N474" t="s">
        <v>27</v>
      </c>
      <c r="O474" t="s">
        <v>68</v>
      </c>
      <c r="P474">
        <f>FlipkartSales[[#This Row],[Price (INR)]]*FlipkartSales[[#This Row],[Quantity Sold]]</f>
        <v>60018.400000000001</v>
      </c>
      <c r="Q474">
        <f>FlipkartSales[[#This Row],[Total Sales (INR)]]-FlipkartSales[[#This Row],[Calculated Sales]]</f>
        <v>0</v>
      </c>
      <c r="R474" s="9">
        <f t="shared" si="56"/>
        <v>0.2</v>
      </c>
      <c r="S474">
        <f t="shared" si="57"/>
        <v>30009.200000000001</v>
      </c>
      <c r="T474">
        <f t="shared" si="58"/>
        <v>6001.84</v>
      </c>
      <c r="U474">
        <f t="shared" si="59"/>
        <v>6</v>
      </c>
      <c r="V474" t="str">
        <f t="shared" si="60"/>
        <v>Q2</v>
      </c>
      <c r="W474" t="str">
        <f t="shared" si="61"/>
        <v>Jun-2024</v>
      </c>
      <c r="X474">
        <f t="shared" si="62"/>
        <v>12003.68</v>
      </c>
      <c r="Y474" s="5">
        <f t="shared" si="63"/>
        <v>48014.720000000001</v>
      </c>
      <c r="Z474" s="21">
        <f>DATE(K474,MATCH(J474,{"January","February","March","April","May","June","July","August","September","October","November","December"},0),1)</f>
        <v>45444</v>
      </c>
    </row>
    <row r="475" spans="1:26" x14ac:dyDescent="0.3">
      <c r="A475" s="4" t="s">
        <v>543</v>
      </c>
      <c r="B475" s="4" t="s">
        <v>78</v>
      </c>
      <c r="C475" s="4" t="s">
        <v>24</v>
      </c>
      <c r="D475" s="5">
        <v>23089.32</v>
      </c>
      <c r="E475" s="6">
        <v>2</v>
      </c>
      <c r="F475" s="5">
        <v>46178.64</v>
      </c>
      <c r="G475" s="1">
        <v>45564</v>
      </c>
      <c r="H475" t="s">
        <v>80</v>
      </c>
      <c r="I475">
        <v>3.1</v>
      </c>
      <c r="J475" t="s">
        <v>19</v>
      </c>
      <c r="K475">
        <v>2024</v>
      </c>
      <c r="L475">
        <v>9235.728000000001</v>
      </c>
      <c r="M475">
        <v>17</v>
      </c>
      <c r="N475" t="s">
        <v>41</v>
      </c>
      <c r="O475" t="s">
        <v>21</v>
      </c>
      <c r="P475">
        <f>FlipkartSales[[#This Row],[Price (INR)]]*FlipkartSales[[#This Row],[Quantity Sold]]</f>
        <v>46178.64</v>
      </c>
      <c r="Q475">
        <f>FlipkartSales[[#This Row],[Total Sales (INR)]]-FlipkartSales[[#This Row],[Calculated Sales]]</f>
        <v>0</v>
      </c>
      <c r="R475" s="9">
        <f t="shared" si="56"/>
        <v>0.2</v>
      </c>
      <c r="S475">
        <f t="shared" si="57"/>
        <v>23089.32</v>
      </c>
      <c r="T475">
        <f t="shared" si="58"/>
        <v>4617.8640000000005</v>
      </c>
      <c r="U475">
        <f t="shared" si="59"/>
        <v>9</v>
      </c>
      <c r="V475" t="str">
        <f t="shared" si="60"/>
        <v>Q3</v>
      </c>
      <c r="W475" t="str">
        <f t="shared" si="61"/>
        <v>Sep-2024</v>
      </c>
      <c r="X475">
        <f t="shared" si="62"/>
        <v>7850.3688000000002</v>
      </c>
      <c r="Y475" s="5">
        <f t="shared" si="63"/>
        <v>38328.271200000003</v>
      </c>
      <c r="Z475" s="21">
        <f>DATE(K475,MATCH(J475,{"January","February","March","April","May","June","July","August","September","October","November","December"},0),1)</f>
        <v>45536</v>
      </c>
    </row>
    <row r="476" spans="1:26" x14ac:dyDescent="0.3">
      <c r="A476" s="4" t="s">
        <v>544</v>
      </c>
      <c r="B476" s="4" t="s">
        <v>145</v>
      </c>
      <c r="C476" s="4" t="s">
        <v>40</v>
      </c>
      <c r="D476" s="5">
        <v>32460.13</v>
      </c>
      <c r="E476" s="6">
        <v>4</v>
      </c>
      <c r="F476" s="5">
        <v>129840.52</v>
      </c>
      <c r="G476" s="1">
        <v>45410</v>
      </c>
      <c r="H476" t="s">
        <v>71</v>
      </c>
      <c r="I476">
        <v>3.7</v>
      </c>
      <c r="J476" t="s">
        <v>62</v>
      </c>
      <c r="K476">
        <v>2024</v>
      </c>
      <c r="L476">
        <v>25968.104000000003</v>
      </c>
      <c r="M476">
        <v>22</v>
      </c>
      <c r="N476" t="s">
        <v>27</v>
      </c>
      <c r="O476" t="s">
        <v>28</v>
      </c>
      <c r="P476">
        <f>FlipkartSales[[#This Row],[Price (INR)]]*FlipkartSales[[#This Row],[Quantity Sold]]</f>
        <v>129840.52</v>
      </c>
      <c r="Q476">
        <f>FlipkartSales[[#This Row],[Total Sales (INR)]]-FlipkartSales[[#This Row],[Calculated Sales]]</f>
        <v>0</v>
      </c>
      <c r="R476" s="9">
        <f t="shared" si="56"/>
        <v>0.2</v>
      </c>
      <c r="S476">
        <f t="shared" si="57"/>
        <v>32460.13</v>
      </c>
      <c r="T476">
        <f t="shared" si="58"/>
        <v>6492.0260000000007</v>
      </c>
      <c r="U476">
        <f t="shared" si="59"/>
        <v>4</v>
      </c>
      <c r="V476" t="str">
        <f t="shared" si="60"/>
        <v>Q2</v>
      </c>
      <c r="W476" t="str">
        <f t="shared" si="61"/>
        <v>Apr-2024</v>
      </c>
      <c r="X476">
        <f t="shared" si="62"/>
        <v>28564.914399999998</v>
      </c>
      <c r="Y476" s="5">
        <f t="shared" si="63"/>
        <v>101275.60560000001</v>
      </c>
      <c r="Z476" s="21">
        <f>DATE(K476,MATCH(J476,{"January","February","March","April","May","June","July","August","September","October","November","December"},0),1)</f>
        <v>45383</v>
      </c>
    </row>
    <row r="477" spans="1:26" x14ac:dyDescent="0.3">
      <c r="A477" s="4" t="s">
        <v>545</v>
      </c>
      <c r="B477" s="4" t="s">
        <v>35</v>
      </c>
      <c r="C477" s="4" t="s">
        <v>36</v>
      </c>
      <c r="D477" s="5">
        <v>29509.14</v>
      </c>
      <c r="E477" s="6">
        <v>3</v>
      </c>
      <c r="F477" s="5">
        <v>88527.42</v>
      </c>
      <c r="G477" s="1">
        <v>45641</v>
      </c>
      <c r="H477" t="s">
        <v>80</v>
      </c>
      <c r="I477">
        <v>4.0999999999999996</v>
      </c>
      <c r="J477" t="s">
        <v>26</v>
      </c>
      <c r="K477">
        <v>2024</v>
      </c>
      <c r="L477">
        <v>17705.484</v>
      </c>
      <c r="M477">
        <v>14</v>
      </c>
      <c r="N477" t="s">
        <v>41</v>
      </c>
      <c r="O477" t="s">
        <v>28</v>
      </c>
      <c r="P477">
        <f>FlipkartSales[[#This Row],[Price (INR)]]*FlipkartSales[[#This Row],[Quantity Sold]]</f>
        <v>88527.42</v>
      </c>
      <c r="Q477">
        <f>FlipkartSales[[#This Row],[Total Sales (INR)]]-FlipkartSales[[#This Row],[Calculated Sales]]</f>
        <v>0</v>
      </c>
      <c r="R477" s="9">
        <f t="shared" si="56"/>
        <v>0.2</v>
      </c>
      <c r="S477">
        <f t="shared" si="57"/>
        <v>29509.14</v>
      </c>
      <c r="T477">
        <f t="shared" si="58"/>
        <v>5901.8280000000004</v>
      </c>
      <c r="U477">
        <f t="shared" si="59"/>
        <v>12</v>
      </c>
      <c r="V477" t="str">
        <f t="shared" si="60"/>
        <v>Q4</v>
      </c>
      <c r="W477" t="str">
        <f t="shared" si="61"/>
        <v>Dec-2024</v>
      </c>
      <c r="X477">
        <f t="shared" si="62"/>
        <v>12393.8388</v>
      </c>
      <c r="Y477" s="5">
        <f t="shared" si="63"/>
        <v>76133.581200000001</v>
      </c>
      <c r="Z477" s="21">
        <f>DATE(K477,MATCH(J477,{"January","February","March","April","May","June","July","August","September","October","November","December"},0),1)</f>
        <v>45627</v>
      </c>
    </row>
    <row r="478" spans="1:26" x14ac:dyDescent="0.3">
      <c r="A478" s="4" t="s">
        <v>546</v>
      </c>
      <c r="B478" s="4" t="s">
        <v>16</v>
      </c>
      <c r="C478" s="4" t="s">
        <v>17</v>
      </c>
      <c r="D478" s="5">
        <v>5528.69</v>
      </c>
      <c r="E478" s="6">
        <v>3</v>
      </c>
      <c r="F478" s="5">
        <v>16586.07</v>
      </c>
      <c r="G478" s="1">
        <v>45546</v>
      </c>
      <c r="H478" t="s">
        <v>18</v>
      </c>
      <c r="I478">
        <v>4.2</v>
      </c>
      <c r="J478" t="s">
        <v>19</v>
      </c>
      <c r="K478">
        <v>2024</v>
      </c>
      <c r="L478">
        <v>3317.2139999999999</v>
      </c>
      <c r="M478">
        <v>23</v>
      </c>
      <c r="N478" t="s">
        <v>27</v>
      </c>
      <c r="O478" t="s">
        <v>33</v>
      </c>
      <c r="P478">
        <f>FlipkartSales[[#This Row],[Price (INR)]]*FlipkartSales[[#This Row],[Quantity Sold]]</f>
        <v>16586.07</v>
      </c>
      <c r="Q478">
        <f>FlipkartSales[[#This Row],[Total Sales (INR)]]-FlipkartSales[[#This Row],[Calculated Sales]]</f>
        <v>0</v>
      </c>
      <c r="R478" s="9">
        <f t="shared" si="56"/>
        <v>0.2</v>
      </c>
      <c r="S478">
        <f t="shared" si="57"/>
        <v>5528.69</v>
      </c>
      <c r="T478">
        <f t="shared" si="58"/>
        <v>1105.7380000000001</v>
      </c>
      <c r="U478">
        <f t="shared" si="59"/>
        <v>9</v>
      </c>
      <c r="V478" t="str">
        <f t="shared" si="60"/>
        <v>Q3</v>
      </c>
      <c r="W478" t="str">
        <f t="shared" si="61"/>
        <v>Sep-2024</v>
      </c>
      <c r="X478">
        <f t="shared" si="62"/>
        <v>3814.7961</v>
      </c>
      <c r="Y478" s="5">
        <f t="shared" si="63"/>
        <v>12771.2739</v>
      </c>
      <c r="Z478" s="21">
        <f>DATE(K478,MATCH(J478,{"January","February","March","April","May","June","July","August","September","October","November","December"},0),1)</f>
        <v>45536</v>
      </c>
    </row>
    <row r="479" spans="1:26" x14ac:dyDescent="0.3">
      <c r="A479" s="4" t="s">
        <v>547</v>
      </c>
      <c r="B479" s="4" t="s">
        <v>118</v>
      </c>
      <c r="C479" s="4" t="s">
        <v>17</v>
      </c>
      <c r="D479" s="5">
        <v>11864.67</v>
      </c>
      <c r="E479" s="6">
        <v>5</v>
      </c>
      <c r="F479" s="5">
        <v>59323.35</v>
      </c>
      <c r="G479" s="1">
        <v>45548</v>
      </c>
      <c r="H479" t="s">
        <v>80</v>
      </c>
      <c r="I479">
        <v>2.8</v>
      </c>
      <c r="J479" t="s">
        <v>19</v>
      </c>
      <c r="K479">
        <v>2024</v>
      </c>
      <c r="L479">
        <v>11864.67</v>
      </c>
      <c r="M479">
        <v>21</v>
      </c>
      <c r="N479" t="s">
        <v>27</v>
      </c>
      <c r="O479" t="s">
        <v>68</v>
      </c>
      <c r="P479">
        <f>FlipkartSales[[#This Row],[Price (INR)]]*FlipkartSales[[#This Row],[Quantity Sold]]</f>
        <v>59323.35</v>
      </c>
      <c r="Q479">
        <f>FlipkartSales[[#This Row],[Total Sales (INR)]]-FlipkartSales[[#This Row],[Calculated Sales]]</f>
        <v>0</v>
      </c>
      <c r="R479" s="9">
        <f t="shared" si="56"/>
        <v>0.2</v>
      </c>
      <c r="S479">
        <f t="shared" si="57"/>
        <v>11864.67</v>
      </c>
      <c r="T479">
        <f t="shared" si="58"/>
        <v>2372.9340000000002</v>
      </c>
      <c r="U479">
        <f t="shared" si="59"/>
        <v>9</v>
      </c>
      <c r="V479" t="str">
        <f t="shared" si="60"/>
        <v>Q3</v>
      </c>
      <c r="W479" t="str">
        <f t="shared" si="61"/>
        <v>Sep-2024</v>
      </c>
      <c r="X479">
        <f t="shared" si="62"/>
        <v>12457.903499999999</v>
      </c>
      <c r="Y479" s="5">
        <f t="shared" si="63"/>
        <v>46865.446499999998</v>
      </c>
      <c r="Z479" s="21">
        <f>DATE(K479,MATCH(J479,{"January","February","March","April","May","June","July","August","September","October","November","December"},0),1)</f>
        <v>45536</v>
      </c>
    </row>
    <row r="480" spans="1:26" x14ac:dyDescent="0.3">
      <c r="A480" s="4" t="s">
        <v>548</v>
      </c>
      <c r="B480" s="4" t="s">
        <v>145</v>
      </c>
      <c r="C480" s="4" t="s">
        <v>40</v>
      </c>
      <c r="D480" s="5">
        <v>14273.74</v>
      </c>
      <c r="E480" s="6">
        <v>2</v>
      </c>
      <c r="F480" s="5">
        <v>28547.48</v>
      </c>
      <c r="G480" s="1">
        <v>45645</v>
      </c>
      <c r="H480" t="s">
        <v>80</v>
      </c>
      <c r="I480">
        <v>3.8</v>
      </c>
      <c r="J480" t="s">
        <v>26</v>
      </c>
      <c r="K480">
        <v>2024</v>
      </c>
      <c r="L480">
        <v>5709.4960000000001</v>
      </c>
      <c r="M480">
        <v>28</v>
      </c>
      <c r="N480" t="s">
        <v>41</v>
      </c>
      <c r="O480" t="s">
        <v>33</v>
      </c>
      <c r="P480">
        <f>FlipkartSales[[#This Row],[Price (INR)]]*FlipkartSales[[#This Row],[Quantity Sold]]</f>
        <v>28547.48</v>
      </c>
      <c r="Q480">
        <f>FlipkartSales[[#This Row],[Total Sales (INR)]]-FlipkartSales[[#This Row],[Calculated Sales]]</f>
        <v>0</v>
      </c>
      <c r="R480" s="9">
        <f t="shared" si="56"/>
        <v>0.2</v>
      </c>
      <c r="S480">
        <f t="shared" si="57"/>
        <v>14273.74</v>
      </c>
      <c r="T480">
        <f t="shared" si="58"/>
        <v>2854.748</v>
      </c>
      <c r="U480">
        <f t="shared" si="59"/>
        <v>12</v>
      </c>
      <c r="V480" t="str">
        <f t="shared" si="60"/>
        <v>Q4</v>
      </c>
      <c r="W480" t="str">
        <f t="shared" si="61"/>
        <v>Dec-2024</v>
      </c>
      <c r="X480">
        <f t="shared" si="62"/>
        <v>7993.2943999999998</v>
      </c>
      <c r="Y480" s="5">
        <f t="shared" si="63"/>
        <v>20554.185600000001</v>
      </c>
      <c r="Z480" s="21">
        <f>DATE(K480,MATCH(J480,{"January","February","March","April","May","June","July","August","September","October","November","December"},0),1)</f>
        <v>45627</v>
      </c>
    </row>
    <row r="481" spans="1:26" x14ac:dyDescent="0.3">
      <c r="A481" s="4" t="s">
        <v>549</v>
      </c>
      <c r="B481" s="4" t="s">
        <v>16</v>
      </c>
      <c r="C481" s="4" t="s">
        <v>17</v>
      </c>
      <c r="D481" s="5">
        <v>26806.06</v>
      </c>
      <c r="E481" s="6">
        <v>3</v>
      </c>
      <c r="F481" s="5">
        <v>80418.179999999993</v>
      </c>
      <c r="G481" s="1">
        <v>45492</v>
      </c>
      <c r="H481" t="s">
        <v>44</v>
      </c>
      <c r="I481">
        <v>4.3</v>
      </c>
      <c r="J481" t="s">
        <v>48</v>
      </c>
      <c r="K481">
        <v>2024</v>
      </c>
      <c r="L481">
        <v>16083.635999999999</v>
      </c>
      <c r="M481">
        <v>23</v>
      </c>
      <c r="N481" t="s">
        <v>41</v>
      </c>
      <c r="O481" t="s">
        <v>33</v>
      </c>
      <c r="P481">
        <f>FlipkartSales[[#This Row],[Price (INR)]]*FlipkartSales[[#This Row],[Quantity Sold]]</f>
        <v>80418.180000000008</v>
      </c>
      <c r="Q481">
        <f>FlipkartSales[[#This Row],[Total Sales (INR)]]-FlipkartSales[[#This Row],[Calculated Sales]]</f>
        <v>0</v>
      </c>
      <c r="R481" s="9">
        <f t="shared" si="56"/>
        <v>0.2</v>
      </c>
      <c r="S481">
        <f t="shared" si="57"/>
        <v>26806.059999999998</v>
      </c>
      <c r="T481">
        <f t="shared" si="58"/>
        <v>5361.2119999999995</v>
      </c>
      <c r="U481">
        <f t="shared" si="59"/>
        <v>7</v>
      </c>
      <c r="V481" t="str">
        <f t="shared" si="60"/>
        <v>Q3</v>
      </c>
      <c r="W481" t="str">
        <f t="shared" si="61"/>
        <v>Jul-2024</v>
      </c>
      <c r="X481">
        <f t="shared" si="62"/>
        <v>18496.181399999998</v>
      </c>
      <c r="Y481" s="5">
        <f t="shared" si="63"/>
        <v>61921.998599999992</v>
      </c>
      <c r="Z481" s="21">
        <f>DATE(K481,MATCH(J481,{"January","February","March","April","May","June","July","August","September","October","November","December"},0),1)</f>
        <v>45474</v>
      </c>
    </row>
    <row r="482" spans="1:26" x14ac:dyDescent="0.3">
      <c r="A482" s="4" t="s">
        <v>550</v>
      </c>
      <c r="B482" s="4" t="s">
        <v>52</v>
      </c>
      <c r="C482" s="4" t="s">
        <v>24</v>
      </c>
      <c r="D482" s="5">
        <v>18757.07</v>
      </c>
      <c r="E482" s="6">
        <v>4</v>
      </c>
      <c r="F482" s="5">
        <v>75028.28</v>
      </c>
      <c r="G482" s="1">
        <v>45612</v>
      </c>
      <c r="H482" t="s">
        <v>25</v>
      </c>
      <c r="I482">
        <v>4.2</v>
      </c>
      <c r="J482" t="s">
        <v>37</v>
      </c>
      <c r="K482">
        <v>2024</v>
      </c>
      <c r="L482">
        <v>15005.656000000001</v>
      </c>
      <c r="M482">
        <v>30</v>
      </c>
      <c r="N482" t="s">
        <v>41</v>
      </c>
      <c r="O482" t="s">
        <v>28</v>
      </c>
      <c r="P482">
        <f>FlipkartSales[[#This Row],[Price (INR)]]*FlipkartSales[[#This Row],[Quantity Sold]]</f>
        <v>75028.28</v>
      </c>
      <c r="Q482">
        <f>FlipkartSales[[#This Row],[Total Sales (INR)]]-FlipkartSales[[#This Row],[Calculated Sales]]</f>
        <v>0</v>
      </c>
      <c r="R482" s="9">
        <f t="shared" si="56"/>
        <v>0.2</v>
      </c>
      <c r="S482">
        <f t="shared" si="57"/>
        <v>18757.07</v>
      </c>
      <c r="T482">
        <f t="shared" si="58"/>
        <v>3751.4140000000002</v>
      </c>
      <c r="U482">
        <f t="shared" si="59"/>
        <v>11</v>
      </c>
      <c r="V482" t="str">
        <f t="shared" si="60"/>
        <v>Q4</v>
      </c>
      <c r="W482" t="str">
        <f t="shared" si="61"/>
        <v>Nov-2024</v>
      </c>
      <c r="X482">
        <f t="shared" si="62"/>
        <v>22508.484</v>
      </c>
      <c r="Y482" s="5">
        <f t="shared" si="63"/>
        <v>52519.796000000002</v>
      </c>
      <c r="Z482" s="21">
        <f>DATE(K482,MATCH(J482,{"January","February","March","April","May","June","July","August","September","October","November","December"},0),1)</f>
        <v>45597</v>
      </c>
    </row>
    <row r="483" spans="1:26" x14ac:dyDescent="0.3">
      <c r="A483" s="4" t="s">
        <v>551</v>
      </c>
      <c r="B483" s="4" t="s">
        <v>125</v>
      </c>
      <c r="C483" s="4" t="s">
        <v>17</v>
      </c>
      <c r="D483" s="5">
        <v>19661.09</v>
      </c>
      <c r="E483" s="6">
        <v>4</v>
      </c>
      <c r="F483" s="5">
        <v>78644.36</v>
      </c>
      <c r="G483" s="1">
        <v>45444</v>
      </c>
      <c r="H483" t="s">
        <v>80</v>
      </c>
      <c r="I483">
        <v>2.5</v>
      </c>
      <c r="J483" t="s">
        <v>67</v>
      </c>
      <c r="K483">
        <v>2024</v>
      </c>
      <c r="L483">
        <v>15728.872000000001</v>
      </c>
      <c r="M483">
        <v>27</v>
      </c>
      <c r="N483" t="s">
        <v>27</v>
      </c>
      <c r="O483" t="s">
        <v>21</v>
      </c>
      <c r="P483">
        <f>FlipkartSales[[#This Row],[Price (INR)]]*FlipkartSales[[#This Row],[Quantity Sold]]</f>
        <v>78644.36</v>
      </c>
      <c r="Q483">
        <f>FlipkartSales[[#This Row],[Total Sales (INR)]]-FlipkartSales[[#This Row],[Calculated Sales]]</f>
        <v>0</v>
      </c>
      <c r="R483" s="9">
        <f t="shared" si="56"/>
        <v>0.2</v>
      </c>
      <c r="S483">
        <f t="shared" si="57"/>
        <v>19661.09</v>
      </c>
      <c r="T483">
        <f t="shared" si="58"/>
        <v>3932.2180000000003</v>
      </c>
      <c r="U483">
        <f t="shared" si="59"/>
        <v>6</v>
      </c>
      <c r="V483" t="str">
        <f t="shared" si="60"/>
        <v>Q2</v>
      </c>
      <c r="W483" t="str">
        <f t="shared" si="61"/>
        <v>Jun-2024</v>
      </c>
      <c r="X483">
        <f t="shared" si="62"/>
        <v>21233.977200000001</v>
      </c>
      <c r="Y483" s="5">
        <f t="shared" si="63"/>
        <v>57410.382799999999</v>
      </c>
      <c r="Z483" s="21">
        <f>DATE(K483,MATCH(J483,{"January","February","March","April","May","June","July","August","September","October","November","December"},0),1)</f>
        <v>45444</v>
      </c>
    </row>
    <row r="484" spans="1:26" x14ac:dyDescent="0.3">
      <c r="A484" s="4" t="s">
        <v>552</v>
      </c>
      <c r="B484" s="4" t="s">
        <v>125</v>
      </c>
      <c r="C484" s="4" t="s">
        <v>17</v>
      </c>
      <c r="D484" s="5">
        <v>27434.25</v>
      </c>
      <c r="E484" s="6">
        <v>1</v>
      </c>
      <c r="F484" s="5">
        <v>27434.25</v>
      </c>
      <c r="G484" s="1">
        <v>45353</v>
      </c>
      <c r="H484" t="s">
        <v>64</v>
      </c>
      <c r="I484">
        <v>3.8</v>
      </c>
      <c r="J484" t="s">
        <v>56</v>
      </c>
      <c r="K484">
        <v>2024</v>
      </c>
      <c r="L484">
        <v>5486.85</v>
      </c>
      <c r="M484">
        <v>30</v>
      </c>
      <c r="N484" t="s">
        <v>27</v>
      </c>
      <c r="O484" t="s">
        <v>21</v>
      </c>
      <c r="P484">
        <f>FlipkartSales[[#This Row],[Price (INR)]]*FlipkartSales[[#This Row],[Quantity Sold]]</f>
        <v>27434.25</v>
      </c>
      <c r="Q484">
        <f>FlipkartSales[[#This Row],[Total Sales (INR)]]-FlipkartSales[[#This Row],[Calculated Sales]]</f>
        <v>0</v>
      </c>
      <c r="R484" s="9">
        <f t="shared" si="56"/>
        <v>0.2</v>
      </c>
      <c r="S484">
        <f t="shared" si="57"/>
        <v>27434.25</v>
      </c>
      <c r="T484">
        <f t="shared" si="58"/>
        <v>5486.85</v>
      </c>
      <c r="U484">
        <f t="shared" si="59"/>
        <v>3</v>
      </c>
      <c r="V484" t="str">
        <f t="shared" si="60"/>
        <v>Q1</v>
      </c>
      <c r="W484" t="str">
        <f t="shared" si="61"/>
        <v>Mar-2024</v>
      </c>
      <c r="X484">
        <f t="shared" si="62"/>
        <v>8230.2749999999996</v>
      </c>
      <c r="Y484" s="5">
        <f t="shared" si="63"/>
        <v>19203.974999999999</v>
      </c>
      <c r="Z484" s="21">
        <f>DATE(K484,MATCH(J484,{"January","February","March","April","May","June","July","August","September","October","November","December"},0),1)</f>
        <v>45352</v>
      </c>
    </row>
    <row r="485" spans="1:26" x14ac:dyDescent="0.3">
      <c r="A485" s="4" t="s">
        <v>553</v>
      </c>
      <c r="B485" s="4" t="s">
        <v>16</v>
      </c>
      <c r="C485" s="4" t="s">
        <v>17</v>
      </c>
      <c r="D485" s="5">
        <v>6322.42</v>
      </c>
      <c r="E485" s="6">
        <v>4</v>
      </c>
      <c r="F485" s="5">
        <v>25289.68</v>
      </c>
      <c r="G485" s="1">
        <v>45534</v>
      </c>
      <c r="H485" t="s">
        <v>25</v>
      </c>
      <c r="I485">
        <v>4</v>
      </c>
      <c r="J485" t="s">
        <v>88</v>
      </c>
      <c r="K485">
        <v>2024</v>
      </c>
      <c r="L485">
        <v>5057.9360000000006</v>
      </c>
      <c r="M485">
        <v>9</v>
      </c>
      <c r="N485" t="s">
        <v>20</v>
      </c>
      <c r="O485" t="s">
        <v>28</v>
      </c>
      <c r="P485">
        <f>FlipkartSales[[#This Row],[Price (INR)]]*FlipkartSales[[#This Row],[Quantity Sold]]</f>
        <v>25289.68</v>
      </c>
      <c r="Q485">
        <f>FlipkartSales[[#This Row],[Total Sales (INR)]]-FlipkartSales[[#This Row],[Calculated Sales]]</f>
        <v>0</v>
      </c>
      <c r="R485" s="9">
        <f t="shared" si="56"/>
        <v>0.2</v>
      </c>
      <c r="S485">
        <f t="shared" si="57"/>
        <v>6322.42</v>
      </c>
      <c r="T485">
        <f t="shared" si="58"/>
        <v>1264.4840000000002</v>
      </c>
      <c r="U485">
        <f t="shared" si="59"/>
        <v>8</v>
      </c>
      <c r="V485" t="str">
        <f t="shared" si="60"/>
        <v>Q3</v>
      </c>
      <c r="W485" t="str">
        <f t="shared" si="61"/>
        <v>Aug-2024</v>
      </c>
      <c r="X485">
        <f t="shared" si="62"/>
        <v>2276.0711999999999</v>
      </c>
      <c r="Y485" s="5">
        <f t="shared" si="63"/>
        <v>23013.608800000002</v>
      </c>
      <c r="Z485" s="21">
        <f>DATE(K485,MATCH(J485,{"January","February","March","April","May","June","July","August","September","October","November","December"},0),1)</f>
        <v>45505</v>
      </c>
    </row>
    <row r="486" spans="1:26" x14ac:dyDescent="0.3">
      <c r="A486" s="4" t="s">
        <v>554</v>
      </c>
      <c r="B486" s="4" t="s">
        <v>70</v>
      </c>
      <c r="C486" s="4" t="s">
        <v>17</v>
      </c>
      <c r="D486" s="5">
        <v>4316.82</v>
      </c>
      <c r="E486" s="6">
        <v>2</v>
      </c>
      <c r="F486" s="5">
        <v>8633.64</v>
      </c>
      <c r="G486" s="1">
        <v>45414</v>
      </c>
      <c r="H486" t="s">
        <v>71</v>
      </c>
      <c r="I486">
        <v>3.6</v>
      </c>
      <c r="J486" t="s">
        <v>32</v>
      </c>
      <c r="K486">
        <v>2024</v>
      </c>
      <c r="L486">
        <v>1726.7280000000001</v>
      </c>
      <c r="M486">
        <v>30</v>
      </c>
      <c r="N486" t="s">
        <v>41</v>
      </c>
      <c r="O486" t="s">
        <v>21</v>
      </c>
      <c r="P486">
        <f>FlipkartSales[[#This Row],[Price (INR)]]*FlipkartSales[[#This Row],[Quantity Sold]]</f>
        <v>8633.64</v>
      </c>
      <c r="Q486">
        <f>FlipkartSales[[#This Row],[Total Sales (INR)]]-FlipkartSales[[#This Row],[Calculated Sales]]</f>
        <v>0</v>
      </c>
      <c r="R486" s="9">
        <f t="shared" si="56"/>
        <v>0.2</v>
      </c>
      <c r="S486">
        <f t="shared" si="57"/>
        <v>4316.82</v>
      </c>
      <c r="T486">
        <f t="shared" si="58"/>
        <v>863.36400000000003</v>
      </c>
      <c r="U486">
        <f t="shared" si="59"/>
        <v>5</v>
      </c>
      <c r="V486" t="str">
        <f t="shared" si="60"/>
        <v>Q2</v>
      </c>
      <c r="W486" t="str">
        <f t="shared" si="61"/>
        <v>May-2024</v>
      </c>
      <c r="X486">
        <f t="shared" si="62"/>
        <v>2590.0919999999996</v>
      </c>
      <c r="Y486" s="5">
        <f t="shared" si="63"/>
        <v>6043.5479999999998</v>
      </c>
      <c r="Z486" s="21">
        <f>DATE(K486,MATCH(J486,{"January","February","March","April","May","June","July","August","September","October","November","December"},0),1)</f>
        <v>45413</v>
      </c>
    </row>
    <row r="487" spans="1:26" x14ac:dyDescent="0.3">
      <c r="A487" s="4" t="s">
        <v>555</v>
      </c>
      <c r="B487" s="4" t="s">
        <v>176</v>
      </c>
      <c r="C487" s="4" t="s">
        <v>24</v>
      </c>
      <c r="D487" s="5">
        <v>45426.39</v>
      </c>
      <c r="E487" s="6">
        <v>4</v>
      </c>
      <c r="F487" s="5">
        <v>181705.56</v>
      </c>
      <c r="G487" s="1">
        <v>45596</v>
      </c>
      <c r="H487" t="s">
        <v>80</v>
      </c>
      <c r="I487">
        <v>2.8</v>
      </c>
      <c r="J487" t="s">
        <v>45</v>
      </c>
      <c r="K487">
        <v>2024</v>
      </c>
      <c r="L487">
        <v>36341.112000000001</v>
      </c>
      <c r="M487">
        <v>25</v>
      </c>
      <c r="N487" t="s">
        <v>27</v>
      </c>
      <c r="O487" t="s">
        <v>33</v>
      </c>
      <c r="P487">
        <f>FlipkartSales[[#This Row],[Price (INR)]]*FlipkartSales[[#This Row],[Quantity Sold]]</f>
        <v>181705.56</v>
      </c>
      <c r="Q487">
        <f>FlipkartSales[[#This Row],[Total Sales (INR)]]-FlipkartSales[[#This Row],[Calculated Sales]]</f>
        <v>0</v>
      </c>
      <c r="R487" s="9">
        <f t="shared" si="56"/>
        <v>0.2</v>
      </c>
      <c r="S487">
        <f t="shared" si="57"/>
        <v>45426.39</v>
      </c>
      <c r="T487">
        <f t="shared" si="58"/>
        <v>9085.2780000000002</v>
      </c>
      <c r="U487">
        <f t="shared" si="59"/>
        <v>10</v>
      </c>
      <c r="V487" t="str">
        <f t="shared" si="60"/>
        <v>Q4</v>
      </c>
      <c r="W487" t="str">
        <f t="shared" si="61"/>
        <v>Oct-2024</v>
      </c>
      <c r="X487">
        <f t="shared" si="62"/>
        <v>45426.39</v>
      </c>
      <c r="Y487" s="5">
        <f t="shared" si="63"/>
        <v>136279.16999999998</v>
      </c>
      <c r="Z487" s="21">
        <f>DATE(K487,MATCH(J487,{"January","February","March","April","May","June","July","August","September","October","November","December"},0),1)</f>
        <v>45566</v>
      </c>
    </row>
    <row r="488" spans="1:26" x14ac:dyDescent="0.3">
      <c r="A488" s="4" t="s">
        <v>556</v>
      </c>
      <c r="B488" s="4" t="s">
        <v>96</v>
      </c>
      <c r="C488" s="4" t="s">
        <v>36</v>
      </c>
      <c r="D488" s="5">
        <v>14971.45</v>
      </c>
      <c r="E488" s="6">
        <v>3</v>
      </c>
      <c r="F488" s="5">
        <v>44914.35</v>
      </c>
      <c r="G488" s="1">
        <v>45445</v>
      </c>
      <c r="H488" t="s">
        <v>25</v>
      </c>
      <c r="I488">
        <v>4.5</v>
      </c>
      <c r="J488" t="s">
        <v>67</v>
      </c>
      <c r="K488">
        <v>2024</v>
      </c>
      <c r="L488">
        <v>8982.8700000000008</v>
      </c>
      <c r="M488">
        <v>27</v>
      </c>
      <c r="N488" t="s">
        <v>27</v>
      </c>
      <c r="O488" t="s">
        <v>68</v>
      </c>
      <c r="P488">
        <f>FlipkartSales[[#This Row],[Price (INR)]]*FlipkartSales[[#This Row],[Quantity Sold]]</f>
        <v>44914.350000000006</v>
      </c>
      <c r="Q488">
        <f>FlipkartSales[[#This Row],[Total Sales (INR)]]-FlipkartSales[[#This Row],[Calculated Sales]]</f>
        <v>0</v>
      </c>
      <c r="R488" s="9">
        <f t="shared" si="56"/>
        <v>0.2</v>
      </c>
      <c r="S488">
        <f t="shared" si="57"/>
        <v>14971.449999999999</v>
      </c>
      <c r="T488">
        <f t="shared" si="58"/>
        <v>2994.2900000000004</v>
      </c>
      <c r="U488">
        <f t="shared" si="59"/>
        <v>6</v>
      </c>
      <c r="V488" t="str">
        <f t="shared" si="60"/>
        <v>Q2</v>
      </c>
      <c r="W488" t="str">
        <f t="shared" si="61"/>
        <v>Jun-2024</v>
      </c>
      <c r="X488">
        <f t="shared" si="62"/>
        <v>12126.8745</v>
      </c>
      <c r="Y488" s="5">
        <f t="shared" si="63"/>
        <v>32787.4755</v>
      </c>
      <c r="Z488" s="21">
        <f>DATE(K488,MATCH(J488,{"January","February","March","April","May","June","July","August","September","October","November","December"},0),1)</f>
        <v>45444</v>
      </c>
    </row>
    <row r="489" spans="1:26" x14ac:dyDescent="0.3">
      <c r="A489" s="4" t="s">
        <v>557</v>
      </c>
      <c r="B489" s="4" t="s">
        <v>84</v>
      </c>
      <c r="C489" s="4" t="s">
        <v>40</v>
      </c>
      <c r="D489" s="5">
        <v>12245.12</v>
      </c>
      <c r="E489" s="6">
        <v>2</v>
      </c>
      <c r="F489" s="5">
        <v>24490.240000000002</v>
      </c>
      <c r="G489" s="1">
        <v>45531</v>
      </c>
      <c r="H489" t="s">
        <v>64</v>
      </c>
      <c r="I489">
        <v>4.5</v>
      </c>
      <c r="J489" t="s">
        <v>88</v>
      </c>
      <c r="K489">
        <v>2024</v>
      </c>
      <c r="L489">
        <v>4898.0480000000007</v>
      </c>
      <c r="M489">
        <v>13</v>
      </c>
      <c r="N489" t="s">
        <v>41</v>
      </c>
      <c r="O489" t="s">
        <v>28</v>
      </c>
      <c r="P489">
        <f>FlipkartSales[[#This Row],[Price (INR)]]*FlipkartSales[[#This Row],[Quantity Sold]]</f>
        <v>24490.240000000002</v>
      </c>
      <c r="Q489">
        <f>FlipkartSales[[#This Row],[Total Sales (INR)]]-FlipkartSales[[#This Row],[Calculated Sales]]</f>
        <v>0</v>
      </c>
      <c r="R489" s="9">
        <f t="shared" si="56"/>
        <v>0.2</v>
      </c>
      <c r="S489">
        <f t="shared" si="57"/>
        <v>12245.12</v>
      </c>
      <c r="T489">
        <f t="shared" si="58"/>
        <v>2449.0240000000003</v>
      </c>
      <c r="U489">
        <f t="shared" si="59"/>
        <v>8</v>
      </c>
      <c r="V489" t="str">
        <f t="shared" si="60"/>
        <v>Q3</v>
      </c>
      <c r="W489" t="str">
        <f t="shared" si="61"/>
        <v>Aug-2024</v>
      </c>
      <c r="X489">
        <f t="shared" si="62"/>
        <v>3183.7312000000002</v>
      </c>
      <c r="Y489" s="5">
        <f t="shared" si="63"/>
        <v>21306.508800000003</v>
      </c>
      <c r="Z489" s="21">
        <f>DATE(K489,MATCH(J489,{"January","February","March","April","May","June","July","August","September","October","November","December"},0),1)</f>
        <v>45505</v>
      </c>
    </row>
    <row r="490" spans="1:26" x14ac:dyDescent="0.3">
      <c r="A490" s="4" t="s">
        <v>558</v>
      </c>
      <c r="B490" s="4" t="s">
        <v>74</v>
      </c>
      <c r="C490" s="4" t="s">
        <v>17</v>
      </c>
      <c r="D490" s="5">
        <v>48405.89</v>
      </c>
      <c r="E490" s="6">
        <v>4</v>
      </c>
      <c r="F490" s="5">
        <v>193623.56</v>
      </c>
      <c r="G490" s="1">
        <v>45382</v>
      </c>
      <c r="H490" t="s">
        <v>44</v>
      </c>
      <c r="I490">
        <v>4.9000000000000004</v>
      </c>
      <c r="J490" t="s">
        <v>56</v>
      </c>
      <c r="K490">
        <v>2024</v>
      </c>
      <c r="L490">
        <v>38724.712</v>
      </c>
      <c r="M490">
        <v>16</v>
      </c>
      <c r="N490" t="s">
        <v>20</v>
      </c>
      <c r="O490" t="s">
        <v>68</v>
      </c>
      <c r="P490">
        <f>FlipkartSales[[#This Row],[Price (INR)]]*FlipkartSales[[#This Row],[Quantity Sold]]</f>
        <v>193623.56</v>
      </c>
      <c r="Q490">
        <f>FlipkartSales[[#This Row],[Total Sales (INR)]]-FlipkartSales[[#This Row],[Calculated Sales]]</f>
        <v>0</v>
      </c>
      <c r="R490" s="9">
        <f t="shared" si="56"/>
        <v>0.2</v>
      </c>
      <c r="S490">
        <f t="shared" si="57"/>
        <v>48405.89</v>
      </c>
      <c r="T490">
        <f t="shared" si="58"/>
        <v>9681.1779999999999</v>
      </c>
      <c r="U490">
        <f t="shared" si="59"/>
        <v>3</v>
      </c>
      <c r="V490" t="str">
        <f t="shared" si="60"/>
        <v>Q1</v>
      </c>
      <c r="W490" t="str">
        <f t="shared" si="61"/>
        <v>Mar-2024</v>
      </c>
      <c r="X490">
        <f t="shared" si="62"/>
        <v>30979.7696</v>
      </c>
      <c r="Y490" s="5">
        <f t="shared" si="63"/>
        <v>162643.7904</v>
      </c>
      <c r="Z490" s="21">
        <f>DATE(K490,MATCH(J490,{"January","February","March","April","May","June","July","August","September","October","November","December"},0),1)</f>
        <v>45352</v>
      </c>
    </row>
    <row r="491" spans="1:26" x14ac:dyDescent="0.3">
      <c r="A491" s="4" t="s">
        <v>559</v>
      </c>
      <c r="B491" s="4" t="s">
        <v>94</v>
      </c>
      <c r="C491" s="4" t="s">
        <v>31</v>
      </c>
      <c r="D491" s="5">
        <v>12757.67</v>
      </c>
      <c r="E491" s="6">
        <v>5</v>
      </c>
      <c r="F491" s="5">
        <v>63788.35</v>
      </c>
      <c r="G491" s="1">
        <v>45615</v>
      </c>
      <c r="H491" t="s">
        <v>25</v>
      </c>
      <c r="I491">
        <v>3.3</v>
      </c>
      <c r="J491" t="s">
        <v>37</v>
      </c>
      <c r="K491">
        <v>2024</v>
      </c>
      <c r="L491">
        <v>12757.67</v>
      </c>
      <c r="M491">
        <v>25</v>
      </c>
      <c r="N491" t="s">
        <v>41</v>
      </c>
      <c r="O491" t="s">
        <v>21</v>
      </c>
      <c r="P491">
        <f>FlipkartSales[[#This Row],[Price (INR)]]*FlipkartSales[[#This Row],[Quantity Sold]]</f>
        <v>63788.35</v>
      </c>
      <c r="Q491">
        <f>FlipkartSales[[#This Row],[Total Sales (INR)]]-FlipkartSales[[#This Row],[Calculated Sales]]</f>
        <v>0</v>
      </c>
      <c r="R491" s="9">
        <f t="shared" si="56"/>
        <v>0.2</v>
      </c>
      <c r="S491">
        <f t="shared" si="57"/>
        <v>12757.67</v>
      </c>
      <c r="T491">
        <f t="shared" si="58"/>
        <v>2551.5340000000001</v>
      </c>
      <c r="U491">
        <f t="shared" si="59"/>
        <v>11</v>
      </c>
      <c r="V491" t="str">
        <f t="shared" si="60"/>
        <v>Q4</v>
      </c>
      <c r="W491" t="str">
        <f t="shared" si="61"/>
        <v>Nov-2024</v>
      </c>
      <c r="X491">
        <f t="shared" si="62"/>
        <v>15947.0875</v>
      </c>
      <c r="Y491" s="5">
        <f t="shared" si="63"/>
        <v>47841.262499999997</v>
      </c>
      <c r="Z491" s="21">
        <f>DATE(K491,MATCH(J491,{"January","February","March","April","May","June","July","August","September","October","November","December"},0),1)</f>
        <v>45597</v>
      </c>
    </row>
    <row r="492" spans="1:26" x14ac:dyDescent="0.3">
      <c r="A492" s="4" t="s">
        <v>560</v>
      </c>
      <c r="B492" s="4" t="s">
        <v>176</v>
      </c>
      <c r="C492" s="4" t="s">
        <v>24</v>
      </c>
      <c r="D492" s="5">
        <v>33071.089999999997</v>
      </c>
      <c r="E492" s="6">
        <v>2</v>
      </c>
      <c r="F492" s="5">
        <v>66142.179999999993</v>
      </c>
      <c r="G492" s="1">
        <v>45570</v>
      </c>
      <c r="H492" t="s">
        <v>64</v>
      </c>
      <c r="I492">
        <v>3.5</v>
      </c>
      <c r="J492" t="s">
        <v>45</v>
      </c>
      <c r="K492">
        <v>2024</v>
      </c>
      <c r="L492">
        <v>13228.436</v>
      </c>
      <c r="M492">
        <v>5</v>
      </c>
      <c r="N492" t="s">
        <v>20</v>
      </c>
      <c r="O492" t="s">
        <v>68</v>
      </c>
      <c r="P492">
        <f>FlipkartSales[[#This Row],[Price (INR)]]*FlipkartSales[[#This Row],[Quantity Sold]]</f>
        <v>66142.179999999993</v>
      </c>
      <c r="Q492">
        <f>FlipkartSales[[#This Row],[Total Sales (INR)]]-FlipkartSales[[#This Row],[Calculated Sales]]</f>
        <v>0</v>
      </c>
      <c r="R492" s="9">
        <f t="shared" si="56"/>
        <v>0.2</v>
      </c>
      <c r="S492">
        <f t="shared" si="57"/>
        <v>33071.089999999997</v>
      </c>
      <c r="T492">
        <f t="shared" si="58"/>
        <v>6614.2179999999998</v>
      </c>
      <c r="U492">
        <f t="shared" si="59"/>
        <v>10</v>
      </c>
      <c r="V492" t="str">
        <f t="shared" si="60"/>
        <v>Q4</v>
      </c>
      <c r="W492" t="str">
        <f t="shared" si="61"/>
        <v>Oct-2024</v>
      </c>
      <c r="X492">
        <f t="shared" si="62"/>
        <v>3307.1089999999995</v>
      </c>
      <c r="Y492" s="5">
        <f t="shared" si="63"/>
        <v>62835.070999999996</v>
      </c>
      <c r="Z492" s="21">
        <f>DATE(K492,MATCH(J492,{"January","February","March","April","May","June","July","August","September","October","November","December"},0),1)</f>
        <v>45566</v>
      </c>
    </row>
    <row r="493" spans="1:26" x14ac:dyDescent="0.3">
      <c r="A493" s="4" t="s">
        <v>561</v>
      </c>
      <c r="B493" s="4" t="s">
        <v>94</v>
      </c>
      <c r="C493" s="4" t="s">
        <v>31</v>
      </c>
      <c r="D493" s="5">
        <v>4869.5600000000004</v>
      </c>
      <c r="E493" s="6">
        <v>1</v>
      </c>
      <c r="F493" s="5">
        <v>4869.5600000000004</v>
      </c>
      <c r="G493" s="1">
        <v>45386</v>
      </c>
      <c r="H493" t="s">
        <v>25</v>
      </c>
      <c r="I493">
        <v>1.9</v>
      </c>
      <c r="J493" t="s">
        <v>62</v>
      </c>
      <c r="K493">
        <v>2024</v>
      </c>
      <c r="L493">
        <v>973.91200000000015</v>
      </c>
      <c r="M493">
        <v>30</v>
      </c>
      <c r="N493" t="s">
        <v>27</v>
      </c>
      <c r="O493" t="s">
        <v>21</v>
      </c>
      <c r="P493">
        <f>FlipkartSales[[#This Row],[Price (INR)]]*FlipkartSales[[#This Row],[Quantity Sold]]</f>
        <v>4869.5600000000004</v>
      </c>
      <c r="Q493">
        <f>FlipkartSales[[#This Row],[Total Sales (INR)]]-FlipkartSales[[#This Row],[Calculated Sales]]</f>
        <v>0</v>
      </c>
      <c r="R493" s="9">
        <f t="shared" si="56"/>
        <v>0.2</v>
      </c>
      <c r="S493">
        <f t="shared" si="57"/>
        <v>4869.5600000000004</v>
      </c>
      <c r="T493">
        <f t="shared" si="58"/>
        <v>973.91200000000015</v>
      </c>
      <c r="U493">
        <f t="shared" si="59"/>
        <v>4</v>
      </c>
      <c r="V493" t="str">
        <f t="shared" si="60"/>
        <v>Q2</v>
      </c>
      <c r="W493" t="str">
        <f t="shared" si="61"/>
        <v>Apr-2024</v>
      </c>
      <c r="X493">
        <f t="shared" si="62"/>
        <v>1460.8680000000002</v>
      </c>
      <c r="Y493" s="5">
        <f t="shared" si="63"/>
        <v>3408.692</v>
      </c>
      <c r="Z493" s="21">
        <f>DATE(K493,MATCH(J493,{"January","February","March","April","May","June","July","August","September","October","November","December"},0),1)</f>
        <v>45383</v>
      </c>
    </row>
    <row r="494" spans="1:26" x14ac:dyDescent="0.3">
      <c r="A494" s="4" t="s">
        <v>562</v>
      </c>
      <c r="B494" s="4" t="s">
        <v>78</v>
      </c>
      <c r="C494" s="4" t="s">
        <v>24</v>
      </c>
      <c r="D494" s="5">
        <v>45127.31</v>
      </c>
      <c r="E494" s="6">
        <v>4</v>
      </c>
      <c r="F494" s="5">
        <v>180509.24</v>
      </c>
      <c r="G494" s="1">
        <v>45672</v>
      </c>
      <c r="H494" t="s">
        <v>64</v>
      </c>
      <c r="I494">
        <v>4.2</v>
      </c>
      <c r="J494" t="s">
        <v>53</v>
      </c>
      <c r="K494">
        <v>2025</v>
      </c>
      <c r="L494">
        <v>36101.847999999998</v>
      </c>
      <c r="M494">
        <v>30</v>
      </c>
      <c r="N494" t="s">
        <v>20</v>
      </c>
      <c r="O494" t="s">
        <v>21</v>
      </c>
      <c r="P494">
        <f>FlipkartSales[[#This Row],[Price (INR)]]*FlipkartSales[[#This Row],[Quantity Sold]]</f>
        <v>180509.24</v>
      </c>
      <c r="Q494">
        <f>FlipkartSales[[#This Row],[Total Sales (INR)]]-FlipkartSales[[#This Row],[Calculated Sales]]</f>
        <v>0</v>
      </c>
      <c r="R494" s="9">
        <f t="shared" si="56"/>
        <v>0.2</v>
      </c>
      <c r="S494">
        <f t="shared" si="57"/>
        <v>45127.31</v>
      </c>
      <c r="T494">
        <f t="shared" si="58"/>
        <v>9025.4619999999995</v>
      </c>
      <c r="U494">
        <f t="shared" si="59"/>
        <v>1</v>
      </c>
      <c r="V494" t="str">
        <f t="shared" si="60"/>
        <v>Q1</v>
      </c>
      <c r="W494" t="str">
        <f t="shared" si="61"/>
        <v>Jan-2025</v>
      </c>
      <c r="X494">
        <f t="shared" si="62"/>
        <v>54152.77199999999</v>
      </c>
      <c r="Y494" s="5">
        <f t="shared" si="63"/>
        <v>126356.46799999999</v>
      </c>
      <c r="Z494" s="21">
        <f>DATE(K494,MATCH(J494,{"January","February","March","April","May","June","July","August","September","October","November","December"},0),1)</f>
        <v>45658</v>
      </c>
    </row>
    <row r="495" spans="1:26" x14ac:dyDescent="0.3">
      <c r="A495" s="4" t="s">
        <v>563</v>
      </c>
      <c r="B495" s="4" t="s">
        <v>84</v>
      </c>
      <c r="C495" s="4" t="s">
        <v>40</v>
      </c>
      <c r="D495" s="5">
        <v>8867.7199999999993</v>
      </c>
      <c r="E495" s="6">
        <v>1</v>
      </c>
      <c r="F495" s="5">
        <v>8867.7199999999993</v>
      </c>
      <c r="G495" s="1">
        <v>45566</v>
      </c>
      <c r="H495" t="s">
        <v>80</v>
      </c>
      <c r="I495">
        <v>4.3</v>
      </c>
      <c r="J495" t="s">
        <v>45</v>
      </c>
      <c r="K495">
        <v>2024</v>
      </c>
      <c r="L495">
        <v>1773.5439999999999</v>
      </c>
      <c r="M495">
        <v>5</v>
      </c>
      <c r="N495" t="s">
        <v>27</v>
      </c>
      <c r="O495" t="s">
        <v>33</v>
      </c>
      <c r="P495">
        <f>FlipkartSales[[#This Row],[Price (INR)]]*FlipkartSales[[#This Row],[Quantity Sold]]</f>
        <v>8867.7199999999993</v>
      </c>
      <c r="Q495">
        <f>FlipkartSales[[#This Row],[Total Sales (INR)]]-FlipkartSales[[#This Row],[Calculated Sales]]</f>
        <v>0</v>
      </c>
      <c r="R495" s="9">
        <f t="shared" si="56"/>
        <v>0.2</v>
      </c>
      <c r="S495">
        <f t="shared" si="57"/>
        <v>8867.7199999999993</v>
      </c>
      <c r="T495">
        <f t="shared" si="58"/>
        <v>1773.5439999999999</v>
      </c>
      <c r="U495">
        <f t="shared" si="59"/>
        <v>10</v>
      </c>
      <c r="V495" t="str">
        <f t="shared" si="60"/>
        <v>Q4</v>
      </c>
      <c r="W495" t="str">
        <f t="shared" si="61"/>
        <v>Oct-2024</v>
      </c>
      <c r="X495">
        <f t="shared" si="62"/>
        <v>443.38599999999997</v>
      </c>
      <c r="Y495" s="5">
        <f t="shared" si="63"/>
        <v>8424.3339999999989</v>
      </c>
      <c r="Z495" s="21">
        <f>DATE(K495,MATCH(J495,{"January","February","March","April","May","June","July","August","September","October","November","December"},0),1)</f>
        <v>45566</v>
      </c>
    </row>
    <row r="496" spans="1:26" x14ac:dyDescent="0.3">
      <c r="A496" s="4" t="s">
        <v>564</v>
      </c>
      <c r="B496" s="4" t="s">
        <v>39</v>
      </c>
      <c r="C496" s="4" t="s">
        <v>40</v>
      </c>
      <c r="D496" s="5">
        <v>31749.94</v>
      </c>
      <c r="E496" s="6">
        <v>1</v>
      </c>
      <c r="F496" s="5">
        <v>31749.94</v>
      </c>
      <c r="G496" s="1">
        <v>45437</v>
      </c>
      <c r="H496" t="s">
        <v>64</v>
      </c>
      <c r="I496">
        <v>3.1</v>
      </c>
      <c r="J496" t="s">
        <v>32</v>
      </c>
      <c r="K496">
        <v>2024</v>
      </c>
      <c r="L496">
        <v>6349.9880000000003</v>
      </c>
      <c r="M496">
        <v>19</v>
      </c>
      <c r="N496" t="s">
        <v>41</v>
      </c>
      <c r="O496" t="s">
        <v>21</v>
      </c>
      <c r="P496">
        <f>FlipkartSales[[#This Row],[Price (INR)]]*FlipkartSales[[#This Row],[Quantity Sold]]</f>
        <v>31749.94</v>
      </c>
      <c r="Q496">
        <f>FlipkartSales[[#This Row],[Total Sales (INR)]]-FlipkartSales[[#This Row],[Calculated Sales]]</f>
        <v>0</v>
      </c>
      <c r="R496" s="9">
        <f t="shared" si="56"/>
        <v>0.2</v>
      </c>
      <c r="S496">
        <f t="shared" si="57"/>
        <v>31749.94</v>
      </c>
      <c r="T496">
        <f t="shared" si="58"/>
        <v>6349.9880000000003</v>
      </c>
      <c r="U496">
        <f t="shared" si="59"/>
        <v>5</v>
      </c>
      <c r="V496" t="str">
        <f t="shared" si="60"/>
        <v>Q2</v>
      </c>
      <c r="W496" t="str">
        <f t="shared" si="61"/>
        <v>May-2024</v>
      </c>
      <c r="X496">
        <f t="shared" si="62"/>
        <v>6032.4885999999997</v>
      </c>
      <c r="Y496" s="5">
        <f t="shared" si="63"/>
        <v>25717.451399999998</v>
      </c>
      <c r="Z496" s="21">
        <f>DATE(K496,MATCH(J496,{"January","February","March","April","May","June","July","August","September","October","November","December"},0),1)</f>
        <v>45413</v>
      </c>
    </row>
    <row r="497" spans="1:26" x14ac:dyDescent="0.3">
      <c r="A497" s="4" t="s">
        <v>565</v>
      </c>
      <c r="B497" s="4" t="s">
        <v>100</v>
      </c>
      <c r="C497" s="4" t="s">
        <v>31</v>
      </c>
      <c r="D497" s="5">
        <v>40944.769999999997</v>
      </c>
      <c r="E497" s="6">
        <v>2</v>
      </c>
      <c r="F497" s="5">
        <v>81889.539999999994</v>
      </c>
      <c r="G497" s="1">
        <v>45599</v>
      </c>
      <c r="H497" t="s">
        <v>71</v>
      </c>
      <c r="I497">
        <v>2.9</v>
      </c>
      <c r="J497" t="s">
        <v>37</v>
      </c>
      <c r="K497">
        <v>2024</v>
      </c>
      <c r="L497">
        <v>16377.907999999999</v>
      </c>
      <c r="M497">
        <v>6</v>
      </c>
      <c r="N497" t="s">
        <v>41</v>
      </c>
      <c r="O497" t="s">
        <v>33</v>
      </c>
      <c r="P497">
        <f>FlipkartSales[[#This Row],[Price (INR)]]*FlipkartSales[[#This Row],[Quantity Sold]]</f>
        <v>81889.539999999994</v>
      </c>
      <c r="Q497">
        <f>FlipkartSales[[#This Row],[Total Sales (INR)]]-FlipkartSales[[#This Row],[Calculated Sales]]</f>
        <v>0</v>
      </c>
      <c r="R497" s="9">
        <f t="shared" si="56"/>
        <v>0.2</v>
      </c>
      <c r="S497">
        <f t="shared" si="57"/>
        <v>40944.769999999997</v>
      </c>
      <c r="T497">
        <f t="shared" si="58"/>
        <v>8188.9539999999997</v>
      </c>
      <c r="U497">
        <f t="shared" si="59"/>
        <v>11</v>
      </c>
      <c r="V497" t="str">
        <f t="shared" si="60"/>
        <v>Q4</v>
      </c>
      <c r="W497" t="str">
        <f t="shared" si="61"/>
        <v>Nov-2024</v>
      </c>
      <c r="X497">
        <f t="shared" si="62"/>
        <v>4913.3724000000002</v>
      </c>
      <c r="Y497" s="5">
        <f t="shared" si="63"/>
        <v>76976.167599999986</v>
      </c>
      <c r="Z497" s="21">
        <f>DATE(K497,MATCH(J497,{"January","February","March","April","May","June","July","August","September","October","November","December"},0),1)</f>
        <v>45597</v>
      </c>
    </row>
    <row r="498" spans="1:26" x14ac:dyDescent="0.3">
      <c r="A498" s="4" t="s">
        <v>566</v>
      </c>
      <c r="B498" s="4" t="s">
        <v>50</v>
      </c>
      <c r="C498" s="4" t="s">
        <v>40</v>
      </c>
      <c r="D498" s="5">
        <v>20859.61</v>
      </c>
      <c r="E498" s="6">
        <v>4</v>
      </c>
      <c r="F498" s="5">
        <v>83438.44</v>
      </c>
      <c r="G498" s="1">
        <v>45406</v>
      </c>
      <c r="H498" t="s">
        <v>44</v>
      </c>
      <c r="I498">
        <v>4.9000000000000004</v>
      </c>
      <c r="J498" t="s">
        <v>62</v>
      </c>
      <c r="K498">
        <v>2024</v>
      </c>
      <c r="L498">
        <v>16687.688000000002</v>
      </c>
      <c r="M498">
        <v>26</v>
      </c>
      <c r="N498" t="s">
        <v>41</v>
      </c>
      <c r="O498" t="s">
        <v>33</v>
      </c>
      <c r="P498">
        <f>FlipkartSales[[#This Row],[Price (INR)]]*FlipkartSales[[#This Row],[Quantity Sold]]</f>
        <v>83438.44</v>
      </c>
      <c r="Q498">
        <f>FlipkartSales[[#This Row],[Total Sales (INR)]]-FlipkartSales[[#This Row],[Calculated Sales]]</f>
        <v>0</v>
      </c>
      <c r="R498" s="9">
        <f t="shared" si="56"/>
        <v>0.2</v>
      </c>
      <c r="S498">
        <f t="shared" si="57"/>
        <v>20859.61</v>
      </c>
      <c r="T498">
        <f t="shared" si="58"/>
        <v>4171.9220000000005</v>
      </c>
      <c r="U498">
        <f t="shared" si="59"/>
        <v>4</v>
      </c>
      <c r="V498" t="str">
        <f t="shared" si="60"/>
        <v>Q2</v>
      </c>
      <c r="W498" t="str">
        <f t="shared" si="61"/>
        <v>Apr-2024</v>
      </c>
      <c r="X498">
        <f t="shared" si="62"/>
        <v>21693.9944</v>
      </c>
      <c r="Y498" s="5">
        <f t="shared" si="63"/>
        <v>61744.445600000006</v>
      </c>
      <c r="Z498" s="21">
        <f>DATE(K498,MATCH(J498,{"January","February","March","April","May","June","July","August","September","October","November","December"},0),1)</f>
        <v>45383</v>
      </c>
    </row>
    <row r="499" spans="1:26" x14ac:dyDescent="0.3">
      <c r="A499" s="4" t="s">
        <v>567</v>
      </c>
      <c r="B499" s="4" t="s">
        <v>16</v>
      </c>
      <c r="C499" s="4" t="s">
        <v>17</v>
      </c>
      <c r="D499" s="5">
        <v>6884.74</v>
      </c>
      <c r="E499" s="6">
        <v>5</v>
      </c>
      <c r="F499" s="5">
        <v>34423.699999999997</v>
      </c>
      <c r="G499" s="1">
        <v>45516</v>
      </c>
      <c r="H499" t="s">
        <v>80</v>
      </c>
      <c r="I499">
        <v>1.4</v>
      </c>
      <c r="J499" t="s">
        <v>88</v>
      </c>
      <c r="K499">
        <v>2024</v>
      </c>
      <c r="L499">
        <v>6884.74</v>
      </c>
      <c r="M499">
        <v>20</v>
      </c>
      <c r="N499" t="s">
        <v>20</v>
      </c>
      <c r="O499" t="s">
        <v>33</v>
      </c>
      <c r="P499">
        <f>FlipkartSales[[#This Row],[Price (INR)]]*FlipkartSales[[#This Row],[Quantity Sold]]</f>
        <v>34423.699999999997</v>
      </c>
      <c r="Q499">
        <f>FlipkartSales[[#This Row],[Total Sales (INR)]]-FlipkartSales[[#This Row],[Calculated Sales]]</f>
        <v>0</v>
      </c>
      <c r="R499" s="9">
        <f t="shared" si="56"/>
        <v>0.2</v>
      </c>
      <c r="S499">
        <f t="shared" si="57"/>
        <v>6884.74</v>
      </c>
      <c r="T499">
        <f t="shared" si="58"/>
        <v>1376.9479999999999</v>
      </c>
      <c r="U499">
        <f t="shared" si="59"/>
        <v>8</v>
      </c>
      <c r="V499" t="str">
        <f t="shared" si="60"/>
        <v>Q3</v>
      </c>
      <c r="W499" t="str">
        <f t="shared" si="61"/>
        <v>Aug-2024</v>
      </c>
      <c r="X499">
        <f t="shared" si="62"/>
        <v>6884.74</v>
      </c>
      <c r="Y499" s="5">
        <f t="shared" si="63"/>
        <v>27538.959999999999</v>
      </c>
      <c r="Z499" s="21">
        <f>DATE(K499,MATCH(J499,{"January","February","March","April","May","June","July","August","September","October","November","December"},0),1)</f>
        <v>45505</v>
      </c>
    </row>
    <row r="500" spans="1:26" x14ac:dyDescent="0.3">
      <c r="A500" s="4" t="s">
        <v>568</v>
      </c>
      <c r="B500" s="4" t="s">
        <v>23</v>
      </c>
      <c r="C500" s="4" t="s">
        <v>24</v>
      </c>
      <c r="D500" s="5">
        <v>40238.5</v>
      </c>
      <c r="E500" s="6">
        <v>3</v>
      </c>
      <c r="F500" s="5">
        <v>120715.5</v>
      </c>
      <c r="G500" s="1">
        <v>45494</v>
      </c>
      <c r="H500" t="s">
        <v>44</v>
      </c>
      <c r="I500">
        <v>3.9</v>
      </c>
      <c r="J500" t="s">
        <v>48</v>
      </c>
      <c r="K500">
        <v>2024</v>
      </c>
      <c r="L500">
        <v>24143.100000000002</v>
      </c>
      <c r="M500">
        <v>29</v>
      </c>
      <c r="N500" t="s">
        <v>27</v>
      </c>
      <c r="O500" t="s">
        <v>28</v>
      </c>
      <c r="P500">
        <f>FlipkartSales[[#This Row],[Price (INR)]]*FlipkartSales[[#This Row],[Quantity Sold]]</f>
        <v>120715.5</v>
      </c>
      <c r="Q500">
        <f>FlipkartSales[[#This Row],[Total Sales (INR)]]-FlipkartSales[[#This Row],[Calculated Sales]]</f>
        <v>0</v>
      </c>
      <c r="R500" s="9">
        <f t="shared" si="56"/>
        <v>0.2</v>
      </c>
      <c r="S500">
        <f t="shared" si="57"/>
        <v>40238.5</v>
      </c>
      <c r="T500">
        <f t="shared" si="58"/>
        <v>8047.7000000000007</v>
      </c>
      <c r="U500">
        <f t="shared" si="59"/>
        <v>7</v>
      </c>
      <c r="V500" t="str">
        <f t="shared" si="60"/>
        <v>Q3</v>
      </c>
      <c r="W500" t="str">
        <f t="shared" si="61"/>
        <v>Jul-2024</v>
      </c>
      <c r="X500">
        <f t="shared" si="62"/>
        <v>35007.495000000003</v>
      </c>
      <c r="Y500" s="5">
        <f t="shared" si="63"/>
        <v>85708.005000000005</v>
      </c>
      <c r="Z500" s="21">
        <f>DATE(K500,MATCH(J500,{"January","February","March","April","May","June","July","August","September","October","November","December"},0),1)</f>
        <v>45474</v>
      </c>
    </row>
    <row r="501" spans="1:26" x14ac:dyDescent="0.3">
      <c r="A501" s="4" t="s">
        <v>569</v>
      </c>
      <c r="B501" s="4" t="s">
        <v>66</v>
      </c>
      <c r="C501" s="4" t="s">
        <v>36</v>
      </c>
      <c r="D501" s="5">
        <v>10422.280000000001</v>
      </c>
      <c r="E501" s="6">
        <v>5</v>
      </c>
      <c r="F501" s="5">
        <v>52111.4</v>
      </c>
      <c r="G501" s="1">
        <v>45469</v>
      </c>
      <c r="H501" t="s">
        <v>80</v>
      </c>
      <c r="I501">
        <v>3.5</v>
      </c>
      <c r="J501" t="s">
        <v>67</v>
      </c>
      <c r="K501">
        <v>2024</v>
      </c>
      <c r="L501">
        <v>10422.280000000001</v>
      </c>
      <c r="M501">
        <v>12</v>
      </c>
      <c r="N501" t="s">
        <v>41</v>
      </c>
      <c r="O501" t="s">
        <v>28</v>
      </c>
      <c r="P501">
        <f>FlipkartSales[[#This Row],[Price (INR)]]*FlipkartSales[[#This Row],[Quantity Sold]]</f>
        <v>52111.4</v>
      </c>
      <c r="Q501">
        <f>FlipkartSales[[#This Row],[Total Sales (INR)]]-FlipkartSales[[#This Row],[Calculated Sales]]</f>
        <v>0</v>
      </c>
      <c r="R501" s="9">
        <f t="shared" si="56"/>
        <v>0.2</v>
      </c>
      <c r="S501">
        <f t="shared" si="57"/>
        <v>10422.280000000001</v>
      </c>
      <c r="T501">
        <f t="shared" si="58"/>
        <v>2084.4560000000001</v>
      </c>
      <c r="U501">
        <f t="shared" si="59"/>
        <v>6</v>
      </c>
      <c r="V501" t="str">
        <f t="shared" si="60"/>
        <v>Q2</v>
      </c>
      <c r="W501" t="str">
        <f t="shared" si="61"/>
        <v>Jun-2024</v>
      </c>
      <c r="X501">
        <f t="shared" si="62"/>
        <v>6253.3680000000004</v>
      </c>
      <c r="Y501" s="5">
        <f t="shared" si="63"/>
        <v>45858.031999999999</v>
      </c>
      <c r="Z501" s="21">
        <f>DATE(K501,MATCH(J501,{"January","February","March","April","May","June","July","August","September","October","November","December"},0),1)</f>
        <v>45444</v>
      </c>
    </row>
    <row r="502" spans="1:26" x14ac:dyDescent="0.3">
      <c r="A502" s="4" t="s">
        <v>570</v>
      </c>
      <c r="B502" s="4" t="s">
        <v>125</v>
      </c>
      <c r="C502" s="4" t="s">
        <v>17</v>
      </c>
      <c r="D502" s="5">
        <v>13862.56</v>
      </c>
      <c r="E502" s="6">
        <v>1</v>
      </c>
      <c r="F502" s="5">
        <v>13862.56</v>
      </c>
      <c r="G502" s="1">
        <v>45657</v>
      </c>
      <c r="H502" t="s">
        <v>44</v>
      </c>
      <c r="I502">
        <v>1.6</v>
      </c>
      <c r="J502" t="s">
        <v>26</v>
      </c>
      <c r="K502">
        <v>2024</v>
      </c>
      <c r="L502">
        <v>2772.5120000000002</v>
      </c>
      <c r="M502">
        <v>17</v>
      </c>
      <c r="N502" t="s">
        <v>41</v>
      </c>
      <c r="O502" t="s">
        <v>21</v>
      </c>
      <c r="P502">
        <f>FlipkartSales[[#This Row],[Price (INR)]]*FlipkartSales[[#This Row],[Quantity Sold]]</f>
        <v>13862.56</v>
      </c>
      <c r="Q502">
        <f>FlipkartSales[[#This Row],[Total Sales (INR)]]-FlipkartSales[[#This Row],[Calculated Sales]]</f>
        <v>0</v>
      </c>
      <c r="R502" s="9">
        <f t="shared" si="56"/>
        <v>0.2</v>
      </c>
      <c r="S502">
        <f t="shared" si="57"/>
        <v>13862.56</v>
      </c>
      <c r="T502">
        <f t="shared" si="58"/>
        <v>2772.5120000000002</v>
      </c>
      <c r="U502">
        <f t="shared" si="59"/>
        <v>12</v>
      </c>
      <c r="V502" t="str">
        <f t="shared" si="60"/>
        <v>Q4</v>
      </c>
      <c r="W502" t="str">
        <f t="shared" si="61"/>
        <v>Dec-2024</v>
      </c>
      <c r="X502">
        <f t="shared" si="62"/>
        <v>2356.6351999999997</v>
      </c>
      <c r="Y502" s="5">
        <f t="shared" si="63"/>
        <v>11505.924800000001</v>
      </c>
      <c r="Z502" s="21">
        <f>DATE(K502,MATCH(J502,{"January","February","March","April","May","June","July","August","September","October","November","December"},0),1)</f>
        <v>45627</v>
      </c>
    </row>
    <row r="503" spans="1:26" x14ac:dyDescent="0.3">
      <c r="A503" s="4" t="s">
        <v>571</v>
      </c>
      <c r="B503" s="4" t="s">
        <v>30</v>
      </c>
      <c r="C503" s="4" t="s">
        <v>31</v>
      </c>
      <c r="D503" s="5">
        <v>35911.22</v>
      </c>
      <c r="E503" s="6">
        <v>4</v>
      </c>
      <c r="F503" s="5">
        <v>143644.88</v>
      </c>
      <c r="G503" s="1">
        <v>45547</v>
      </c>
      <c r="H503" t="s">
        <v>71</v>
      </c>
      <c r="I503">
        <v>4.0999999999999996</v>
      </c>
      <c r="J503" t="s">
        <v>19</v>
      </c>
      <c r="K503">
        <v>2024</v>
      </c>
      <c r="L503">
        <v>28728.976000000002</v>
      </c>
      <c r="M503">
        <v>25</v>
      </c>
      <c r="N503" t="s">
        <v>27</v>
      </c>
      <c r="O503" t="s">
        <v>33</v>
      </c>
      <c r="P503">
        <f>FlipkartSales[[#This Row],[Price (INR)]]*FlipkartSales[[#This Row],[Quantity Sold]]</f>
        <v>143644.88</v>
      </c>
      <c r="Q503">
        <f>FlipkartSales[[#This Row],[Total Sales (INR)]]-FlipkartSales[[#This Row],[Calculated Sales]]</f>
        <v>0</v>
      </c>
      <c r="R503" s="9">
        <f t="shared" si="56"/>
        <v>0.2</v>
      </c>
      <c r="S503">
        <f t="shared" si="57"/>
        <v>35911.22</v>
      </c>
      <c r="T503">
        <f t="shared" si="58"/>
        <v>7182.2440000000006</v>
      </c>
      <c r="U503">
        <f t="shared" si="59"/>
        <v>9</v>
      </c>
      <c r="V503" t="str">
        <f t="shared" si="60"/>
        <v>Q3</v>
      </c>
      <c r="W503" t="str">
        <f t="shared" si="61"/>
        <v>Sep-2024</v>
      </c>
      <c r="X503">
        <f t="shared" si="62"/>
        <v>35911.22</v>
      </c>
      <c r="Y503" s="5">
        <f t="shared" si="63"/>
        <v>107733.66</v>
      </c>
      <c r="Z503" s="21">
        <f>DATE(K503,MATCH(J503,{"January","February","March","April","May","June","July","August","September","October","November","December"},0),1)</f>
        <v>45536</v>
      </c>
    </row>
    <row r="504" spans="1:26" x14ac:dyDescent="0.3">
      <c r="A504" s="4" t="s">
        <v>572</v>
      </c>
      <c r="B504" s="4" t="s">
        <v>52</v>
      </c>
      <c r="C504" s="4" t="s">
        <v>24</v>
      </c>
      <c r="D504" s="5">
        <v>16523.689999999999</v>
      </c>
      <c r="E504" s="6">
        <v>3</v>
      </c>
      <c r="F504" s="5">
        <v>49571.07</v>
      </c>
      <c r="G504" s="1">
        <v>45521</v>
      </c>
      <c r="H504" t="s">
        <v>71</v>
      </c>
      <c r="I504">
        <v>2.8</v>
      </c>
      <c r="J504" t="s">
        <v>88</v>
      </c>
      <c r="K504">
        <v>2024</v>
      </c>
      <c r="L504">
        <v>9914.2139999999999</v>
      </c>
      <c r="M504">
        <v>5</v>
      </c>
      <c r="N504" t="s">
        <v>41</v>
      </c>
      <c r="O504" t="s">
        <v>28</v>
      </c>
      <c r="P504">
        <f>FlipkartSales[[#This Row],[Price (INR)]]*FlipkartSales[[#This Row],[Quantity Sold]]</f>
        <v>49571.069999999992</v>
      </c>
      <c r="Q504">
        <f>FlipkartSales[[#This Row],[Total Sales (INR)]]-FlipkartSales[[#This Row],[Calculated Sales]]</f>
        <v>0</v>
      </c>
      <c r="R504" s="9">
        <f t="shared" si="56"/>
        <v>0.2</v>
      </c>
      <c r="S504">
        <f t="shared" si="57"/>
        <v>16523.689999999999</v>
      </c>
      <c r="T504">
        <f t="shared" si="58"/>
        <v>3304.7379999999998</v>
      </c>
      <c r="U504">
        <f t="shared" si="59"/>
        <v>8</v>
      </c>
      <c r="V504" t="str">
        <f t="shared" si="60"/>
        <v>Q3</v>
      </c>
      <c r="W504" t="str">
        <f t="shared" si="61"/>
        <v>Aug-2024</v>
      </c>
      <c r="X504">
        <f t="shared" si="62"/>
        <v>2478.5535</v>
      </c>
      <c r="Y504" s="5">
        <f t="shared" si="63"/>
        <v>47092.516499999998</v>
      </c>
      <c r="Z504" s="21">
        <f>DATE(K504,MATCH(J504,{"January","February","March","April","May","June","July","August","September","October","November","December"},0),1)</f>
        <v>45505</v>
      </c>
    </row>
    <row r="505" spans="1:26" x14ac:dyDescent="0.3">
      <c r="A505" s="4" t="s">
        <v>573</v>
      </c>
      <c r="B505" s="4" t="s">
        <v>61</v>
      </c>
      <c r="C505" s="4" t="s">
        <v>31</v>
      </c>
      <c r="D505" s="5">
        <v>6566.03</v>
      </c>
      <c r="E505" s="6">
        <v>5</v>
      </c>
      <c r="F505" s="5">
        <v>32830.15</v>
      </c>
      <c r="G505" s="1">
        <v>45402</v>
      </c>
      <c r="H505" t="s">
        <v>64</v>
      </c>
      <c r="I505">
        <v>2.6</v>
      </c>
      <c r="J505" t="s">
        <v>62</v>
      </c>
      <c r="K505">
        <v>2024</v>
      </c>
      <c r="L505">
        <v>6566.0300000000007</v>
      </c>
      <c r="M505">
        <v>20</v>
      </c>
      <c r="N505" t="s">
        <v>27</v>
      </c>
      <c r="O505" t="s">
        <v>33</v>
      </c>
      <c r="P505">
        <f>FlipkartSales[[#This Row],[Price (INR)]]*FlipkartSales[[#This Row],[Quantity Sold]]</f>
        <v>32830.15</v>
      </c>
      <c r="Q505">
        <f>FlipkartSales[[#This Row],[Total Sales (INR)]]-FlipkartSales[[#This Row],[Calculated Sales]]</f>
        <v>0</v>
      </c>
      <c r="R505" s="9">
        <f t="shared" si="56"/>
        <v>0.2</v>
      </c>
      <c r="S505">
        <f t="shared" si="57"/>
        <v>6566.0300000000007</v>
      </c>
      <c r="T505">
        <f t="shared" si="58"/>
        <v>1313.2060000000001</v>
      </c>
      <c r="U505">
        <f t="shared" si="59"/>
        <v>4</v>
      </c>
      <c r="V505" t="str">
        <f t="shared" si="60"/>
        <v>Q2</v>
      </c>
      <c r="W505" t="str">
        <f t="shared" si="61"/>
        <v>Apr-2024</v>
      </c>
      <c r="X505">
        <f t="shared" si="62"/>
        <v>6566.03</v>
      </c>
      <c r="Y505" s="5">
        <f t="shared" si="63"/>
        <v>26264.120000000003</v>
      </c>
      <c r="Z505" s="21">
        <f>DATE(K505,MATCH(J505,{"January","February","March","April","May","June","July","August","September","October","November","December"},0),1)</f>
        <v>45383</v>
      </c>
    </row>
    <row r="506" spans="1:26" x14ac:dyDescent="0.3">
      <c r="A506" s="4" t="s">
        <v>574</v>
      </c>
      <c r="B506" s="4" t="s">
        <v>84</v>
      </c>
      <c r="C506" s="4" t="s">
        <v>40</v>
      </c>
      <c r="D506" s="5">
        <v>18799.05</v>
      </c>
      <c r="E506" s="6">
        <v>3</v>
      </c>
      <c r="F506" s="5">
        <v>56397.15</v>
      </c>
      <c r="G506" s="1">
        <v>45689</v>
      </c>
      <c r="H506" t="s">
        <v>25</v>
      </c>
      <c r="I506">
        <v>4.3</v>
      </c>
      <c r="J506" t="s">
        <v>59</v>
      </c>
      <c r="K506">
        <v>2025</v>
      </c>
      <c r="L506">
        <v>11279.43</v>
      </c>
      <c r="M506">
        <v>11</v>
      </c>
      <c r="N506" t="s">
        <v>27</v>
      </c>
      <c r="O506" t="s">
        <v>68</v>
      </c>
      <c r="P506">
        <f>FlipkartSales[[#This Row],[Price (INR)]]*FlipkartSales[[#This Row],[Quantity Sold]]</f>
        <v>56397.149999999994</v>
      </c>
      <c r="Q506">
        <f>FlipkartSales[[#This Row],[Total Sales (INR)]]-FlipkartSales[[#This Row],[Calculated Sales]]</f>
        <v>0</v>
      </c>
      <c r="R506" s="9">
        <f t="shared" si="56"/>
        <v>0.2</v>
      </c>
      <c r="S506">
        <f t="shared" si="57"/>
        <v>18799.05</v>
      </c>
      <c r="T506">
        <f t="shared" si="58"/>
        <v>3759.81</v>
      </c>
      <c r="U506">
        <f t="shared" si="59"/>
        <v>2</v>
      </c>
      <c r="V506" t="str">
        <f t="shared" si="60"/>
        <v>Q1</v>
      </c>
      <c r="W506" t="str">
        <f t="shared" si="61"/>
        <v>Feb-2025</v>
      </c>
      <c r="X506">
        <f t="shared" si="62"/>
        <v>6203.6864999999998</v>
      </c>
      <c r="Y506" s="5">
        <f t="shared" si="63"/>
        <v>50193.463499999998</v>
      </c>
      <c r="Z506" s="21">
        <f>DATE(K506,MATCH(J506,{"January","February","March","April","May","June","July","August","September","October","November","December"},0),1)</f>
        <v>45689</v>
      </c>
    </row>
    <row r="507" spans="1:26" x14ac:dyDescent="0.3">
      <c r="A507" s="4" t="s">
        <v>575</v>
      </c>
      <c r="B507" s="4" t="s">
        <v>107</v>
      </c>
      <c r="C507" s="4" t="s">
        <v>36</v>
      </c>
      <c r="D507" s="5">
        <v>8436.7099999999991</v>
      </c>
      <c r="E507" s="6">
        <v>5</v>
      </c>
      <c r="F507" s="5">
        <v>42183.55</v>
      </c>
      <c r="G507" s="1">
        <v>45395</v>
      </c>
      <c r="H507" t="s">
        <v>44</v>
      </c>
      <c r="I507">
        <v>4.9000000000000004</v>
      </c>
      <c r="J507" t="s">
        <v>62</v>
      </c>
      <c r="K507">
        <v>2024</v>
      </c>
      <c r="L507">
        <v>8436.7100000000009</v>
      </c>
      <c r="M507">
        <v>9</v>
      </c>
      <c r="N507" t="s">
        <v>27</v>
      </c>
      <c r="O507" t="s">
        <v>68</v>
      </c>
      <c r="P507">
        <f>FlipkartSales[[#This Row],[Price (INR)]]*FlipkartSales[[#This Row],[Quantity Sold]]</f>
        <v>42183.549999999996</v>
      </c>
      <c r="Q507">
        <f>FlipkartSales[[#This Row],[Total Sales (INR)]]-FlipkartSales[[#This Row],[Calculated Sales]]</f>
        <v>0</v>
      </c>
      <c r="R507" s="9">
        <f t="shared" si="56"/>
        <v>0.2</v>
      </c>
      <c r="S507">
        <f t="shared" si="57"/>
        <v>8436.7100000000009</v>
      </c>
      <c r="T507">
        <f t="shared" si="58"/>
        <v>1687.3420000000001</v>
      </c>
      <c r="U507">
        <f t="shared" si="59"/>
        <v>4</v>
      </c>
      <c r="V507" t="str">
        <f t="shared" si="60"/>
        <v>Q2</v>
      </c>
      <c r="W507" t="str">
        <f t="shared" si="61"/>
        <v>Apr-2024</v>
      </c>
      <c r="X507">
        <f t="shared" si="62"/>
        <v>3796.5195000000003</v>
      </c>
      <c r="Y507" s="5">
        <f t="shared" si="63"/>
        <v>38387.030500000001</v>
      </c>
      <c r="Z507" s="21">
        <f>DATE(K507,MATCH(J507,{"January","February","March","April","May","June","July","August","September","October","November","December"},0),1)</f>
        <v>45383</v>
      </c>
    </row>
    <row r="508" spans="1:26" x14ac:dyDescent="0.3">
      <c r="A508" s="4" t="s">
        <v>576</v>
      </c>
      <c r="B508" s="4" t="s">
        <v>39</v>
      </c>
      <c r="C508" s="4" t="s">
        <v>40</v>
      </c>
      <c r="D508" s="5">
        <v>19380.5</v>
      </c>
      <c r="E508" s="6">
        <v>4</v>
      </c>
      <c r="F508" s="5">
        <v>77522</v>
      </c>
      <c r="G508" s="1">
        <v>45466</v>
      </c>
      <c r="H508" t="s">
        <v>25</v>
      </c>
      <c r="I508">
        <v>3.3</v>
      </c>
      <c r="J508" t="s">
        <v>67</v>
      </c>
      <c r="K508">
        <v>2024</v>
      </c>
      <c r="L508">
        <v>15504.400000000001</v>
      </c>
      <c r="M508">
        <v>26</v>
      </c>
      <c r="N508" t="s">
        <v>27</v>
      </c>
      <c r="O508" t="s">
        <v>68</v>
      </c>
      <c r="P508">
        <f>FlipkartSales[[#This Row],[Price (INR)]]*FlipkartSales[[#This Row],[Quantity Sold]]</f>
        <v>77522</v>
      </c>
      <c r="Q508">
        <f>FlipkartSales[[#This Row],[Total Sales (INR)]]-FlipkartSales[[#This Row],[Calculated Sales]]</f>
        <v>0</v>
      </c>
      <c r="R508" s="9">
        <f t="shared" si="56"/>
        <v>0.2</v>
      </c>
      <c r="S508">
        <f t="shared" si="57"/>
        <v>19380.5</v>
      </c>
      <c r="T508">
        <f t="shared" si="58"/>
        <v>3876.1000000000004</v>
      </c>
      <c r="U508">
        <f t="shared" si="59"/>
        <v>6</v>
      </c>
      <c r="V508" t="str">
        <f t="shared" si="60"/>
        <v>Q2</v>
      </c>
      <c r="W508" t="str">
        <f t="shared" si="61"/>
        <v>Jun-2024</v>
      </c>
      <c r="X508">
        <f t="shared" si="62"/>
        <v>20155.72</v>
      </c>
      <c r="Y508" s="5">
        <f t="shared" si="63"/>
        <v>57366.28</v>
      </c>
      <c r="Z508" s="21">
        <f>DATE(K508,MATCH(J508,{"January","February","March","April","May","June","July","August","September","October","November","December"},0),1)</f>
        <v>45444</v>
      </c>
    </row>
    <row r="509" spans="1:26" x14ac:dyDescent="0.3">
      <c r="A509" s="4" t="s">
        <v>577</v>
      </c>
      <c r="B509" s="4" t="s">
        <v>61</v>
      </c>
      <c r="C509" s="4" t="s">
        <v>31</v>
      </c>
      <c r="D509" s="5">
        <v>20228.05</v>
      </c>
      <c r="E509" s="6">
        <v>3</v>
      </c>
      <c r="F509" s="5">
        <v>60684.15</v>
      </c>
      <c r="G509" s="1">
        <v>45689</v>
      </c>
      <c r="H509" t="s">
        <v>25</v>
      </c>
      <c r="I509">
        <v>1.2</v>
      </c>
      <c r="J509" t="s">
        <v>59</v>
      </c>
      <c r="K509">
        <v>2025</v>
      </c>
      <c r="L509">
        <v>12136.830000000002</v>
      </c>
      <c r="M509">
        <v>27</v>
      </c>
      <c r="N509" t="s">
        <v>27</v>
      </c>
      <c r="O509" t="s">
        <v>21</v>
      </c>
      <c r="P509">
        <f>FlipkartSales[[#This Row],[Price (INR)]]*FlipkartSales[[#This Row],[Quantity Sold]]</f>
        <v>60684.149999999994</v>
      </c>
      <c r="Q509">
        <f>FlipkartSales[[#This Row],[Total Sales (INR)]]-FlipkartSales[[#This Row],[Calculated Sales]]</f>
        <v>0</v>
      </c>
      <c r="R509" s="9">
        <f t="shared" si="56"/>
        <v>0.2</v>
      </c>
      <c r="S509">
        <f t="shared" si="57"/>
        <v>20228.05</v>
      </c>
      <c r="T509">
        <f t="shared" si="58"/>
        <v>4045.6100000000006</v>
      </c>
      <c r="U509">
        <f t="shared" si="59"/>
        <v>2</v>
      </c>
      <c r="V509" t="str">
        <f t="shared" si="60"/>
        <v>Q1</v>
      </c>
      <c r="W509" t="str">
        <f t="shared" si="61"/>
        <v>Feb-2025</v>
      </c>
      <c r="X509">
        <f t="shared" si="62"/>
        <v>16384.720499999999</v>
      </c>
      <c r="Y509" s="5">
        <f t="shared" si="63"/>
        <v>44299.429499999998</v>
      </c>
      <c r="Z509" s="21">
        <f>DATE(K509,MATCH(J509,{"January","February","March","April","May","June","July","August","September","October","November","December"},0),1)</f>
        <v>45689</v>
      </c>
    </row>
    <row r="510" spans="1:26" x14ac:dyDescent="0.3">
      <c r="A510" s="4" t="s">
        <v>578</v>
      </c>
      <c r="B510" s="4" t="s">
        <v>96</v>
      </c>
      <c r="C510" s="4" t="s">
        <v>36</v>
      </c>
      <c r="D510" s="5">
        <v>28606.86</v>
      </c>
      <c r="E510" s="6">
        <v>5</v>
      </c>
      <c r="F510" s="5">
        <v>143034.29999999999</v>
      </c>
      <c r="G510" s="1">
        <v>45520</v>
      </c>
      <c r="H510" t="s">
        <v>25</v>
      </c>
      <c r="I510">
        <v>4.8</v>
      </c>
      <c r="J510" t="s">
        <v>88</v>
      </c>
      <c r="K510">
        <v>2024</v>
      </c>
      <c r="L510">
        <v>28606.86</v>
      </c>
      <c r="M510">
        <v>7</v>
      </c>
      <c r="N510" t="s">
        <v>20</v>
      </c>
      <c r="O510" t="s">
        <v>33</v>
      </c>
      <c r="P510">
        <f>FlipkartSales[[#This Row],[Price (INR)]]*FlipkartSales[[#This Row],[Quantity Sold]]</f>
        <v>143034.29999999999</v>
      </c>
      <c r="Q510">
        <f>FlipkartSales[[#This Row],[Total Sales (INR)]]-FlipkartSales[[#This Row],[Calculated Sales]]</f>
        <v>0</v>
      </c>
      <c r="R510" s="9">
        <f t="shared" si="56"/>
        <v>0.2</v>
      </c>
      <c r="S510">
        <f t="shared" si="57"/>
        <v>28606.859999999997</v>
      </c>
      <c r="T510">
        <f t="shared" si="58"/>
        <v>5721.3720000000003</v>
      </c>
      <c r="U510">
        <f t="shared" si="59"/>
        <v>8</v>
      </c>
      <c r="V510" t="str">
        <f t="shared" si="60"/>
        <v>Q3</v>
      </c>
      <c r="W510" t="str">
        <f t="shared" si="61"/>
        <v>Aug-2024</v>
      </c>
      <c r="X510">
        <f t="shared" si="62"/>
        <v>10012.400999999998</v>
      </c>
      <c r="Y510" s="5">
        <f t="shared" si="63"/>
        <v>133021.89899999998</v>
      </c>
      <c r="Z510" s="21">
        <f>DATE(K510,MATCH(J510,{"January","February","March","April","May","June","July","August","September","October","November","December"},0),1)</f>
        <v>45505</v>
      </c>
    </row>
    <row r="511" spans="1:26" x14ac:dyDescent="0.3">
      <c r="A511" s="4" t="s">
        <v>579</v>
      </c>
      <c r="B511" s="4" t="s">
        <v>118</v>
      </c>
      <c r="C511" s="4" t="s">
        <v>17</v>
      </c>
      <c r="D511" s="5">
        <v>16803.759999999998</v>
      </c>
      <c r="E511" s="6">
        <v>4</v>
      </c>
      <c r="F511" s="5">
        <v>67215.039999999994</v>
      </c>
      <c r="G511" s="1">
        <v>45438</v>
      </c>
      <c r="H511" t="s">
        <v>44</v>
      </c>
      <c r="I511">
        <v>4</v>
      </c>
      <c r="J511" t="s">
        <v>32</v>
      </c>
      <c r="K511">
        <v>2024</v>
      </c>
      <c r="L511">
        <v>13443.008</v>
      </c>
      <c r="M511">
        <v>16</v>
      </c>
      <c r="N511" t="s">
        <v>41</v>
      </c>
      <c r="O511" t="s">
        <v>68</v>
      </c>
      <c r="P511">
        <f>FlipkartSales[[#This Row],[Price (INR)]]*FlipkartSales[[#This Row],[Quantity Sold]]</f>
        <v>67215.039999999994</v>
      </c>
      <c r="Q511">
        <f>FlipkartSales[[#This Row],[Total Sales (INR)]]-FlipkartSales[[#This Row],[Calculated Sales]]</f>
        <v>0</v>
      </c>
      <c r="R511" s="9">
        <f t="shared" si="56"/>
        <v>0.2</v>
      </c>
      <c r="S511">
        <f t="shared" si="57"/>
        <v>16803.759999999998</v>
      </c>
      <c r="T511">
        <f t="shared" si="58"/>
        <v>3360.752</v>
      </c>
      <c r="U511">
        <f t="shared" si="59"/>
        <v>5</v>
      </c>
      <c r="V511" t="str">
        <f t="shared" si="60"/>
        <v>Q2</v>
      </c>
      <c r="W511" t="str">
        <f t="shared" si="61"/>
        <v>May-2024</v>
      </c>
      <c r="X511">
        <f t="shared" si="62"/>
        <v>10754.4064</v>
      </c>
      <c r="Y511" s="5">
        <f t="shared" si="63"/>
        <v>56460.633599999994</v>
      </c>
      <c r="Z511" s="21">
        <f>DATE(K511,MATCH(J511,{"January","February","March","April","May","June","July","August","September","October","November","December"},0),1)</f>
        <v>45413</v>
      </c>
    </row>
    <row r="512" spans="1:26" x14ac:dyDescent="0.3">
      <c r="A512" s="4" t="s">
        <v>580</v>
      </c>
      <c r="B512" s="4" t="s">
        <v>30</v>
      </c>
      <c r="C512" s="4" t="s">
        <v>31</v>
      </c>
      <c r="D512" s="5">
        <v>18093.34</v>
      </c>
      <c r="E512" s="6">
        <v>5</v>
      </c>
      <c r="F512" s="5">
        <v>90466.7</v>
      </c>
      <c r="G512" s="1">
        <v>45678</v>
      </c>
      <c r="H512" t="s">
        <v>71</v>
      </c>
      <c r="I512">
        <v>4.2</v>
      </c>
      <c r="J512" t="s">
        <v>53</v>
      </c>
      <c r="K512">
        <v>2025</v>
      </c>
      <c r="L512">
        <v>18093.34</v>
      </c>
      <c r="M512">
        <v>30</v>
      </c>
      <c r="N512" t="s">
        <v>20</v>
      </c>
      <c r="O512" t="s">
        <v>28</v>
      </c>
      <c r="P512">
        <f>FlipkartSales[[#This Row],[Price (INR)]]*FlipkartSales[[#This Row],[Quantity Sold]]</f>
        <v>90466.7</v>
      </c>
      <c r="Q512">
        <f>FlipkartSales[[#This Row],[Total Sales (INR)]]-FlipkartSales[[#This Row],[Calculated Sales]]</f>
        <v>0</v>
      </c>
      <c r="R512" s="9">
        <f t="shared" si="56"/>
        <v>0.2</v>
      </c>
      <c r="S512">
        <f t="shared" si="57"/>
        <v>18093.34</v>
      </c>
      <c r="T512">
        <f t="shared" si="58"/>
        <v>3618.6680000000001</v>
      </c>
      <c r="U512">
        <f t="shared" si="59"/>
        <v>1</v>
      </c>
      <c r="V512" t="str">
        <f t="shared" si="60"/>
        <v>Q1</v>
      </c>
      <c r="W512" t="str">
        <f t="shared" si="61"/>
        <v>Jan-2025</v>
      </c>
      <c r="X512">
        <f t="shared" si="62"/>
        <v>27140.01</v>
      </c>
      <c r="Y512" s="5">
        <f t="shared" si="63"/>
        <v>63326.69</v>
      </c>
      <c r="Z512" s="21">
        <f>DATE(K512,MATCH(J512,{"January","February","March","April","May","June","July","August","September","October","November","December"},0),1)</f>
        <v>45658</v>
      </c>
    </row>
    <row r="513" spans="1:26" x14ac:dyDescent="0.3">
      <c r="A513" s="4" t="s">
        <v>581</v>
      </c>
      <c r="B513" s="4" t="s">
        <v>55</v>
      </c>
      <c r="C513" s="4" t="s">
        <v>36</v>
      </c>
      <c r="D513" s="5">
        <v>31737.13</v>
      </c>
      <c r="E513" s="6">
        <v>5</v>
      </c>
      <c r="F513" s="5">
        <v>158685.65</v>
      </c>
      <c r="G513" s="1">
        <v>45394</v>
      </c>
      <c r="H513" t="s">
        <v>80</v>
      </c>
      <c r="I513">
        <v>4</v>
      </c>
      <c r="J513" t="s">
        <v>62</v>
      </c>
      <c r="K513">
        <v>2024</v>
      </c>
      <c r="L513">
        <v>31737.13</v>
      </c>
      <c r="M513">
        <v>20</v>
      </c>
      <c r="N513" t="s">
        <v>41</v>
      </c>
      <c r="O513" t="s">
        <v>68</v>
      </c>
      <c r="P513">
        <f>FlipkartSales[[#This Row],[Price (INR)]]*FlipkartSales[[#This Row],[Quantity Sold]]</f>
        <v>158685.65</v>
      </c>
      <c r="Q513">
        <f>FlipkartSales[[#This Row],[Total Sales (INR)]]-FlipkartSales[[#This Row],[Calculated Sales]]</f>
        <v>0</v>
      </c>
      <c r="R513" s="9">
        <f t="shared" si="56"/>
        <v>0.2</v>
      </c>
      <c r="S513">
        <f t="shared" si="57"/>
        <v>31737.129999999997</v>
      </c>
      <c r="T513">
        <f t="shared" si="58"/>
        <v>6347.4260000000004</v>
      </c>
      <c r="U513">
        <f t="shared" si="59"/>
        <v>4</v>
      </c>
      <c r="V513" t="str">
        <f t="shared" si="60"/>
        <v>Q2</v>
      </c>
      <c r="W513" t="str">
        <f t="shared" si="61"/>
        <v>Apr-2024</v>
      </c>
      <c r="X513">
        <f t="shared" si="62"/>
        <v>31737.13</v>
      </c>
      <c r="Y513" s="5">
        <f t="shared" si="63"/>
        <v>126948.51999999999</v>
      </c>
      <c r="Z513" s="21">
        <f>DATE(K513,MATCH(J513,{"January","February","March","April","May","June","July","August","September","October","November","December"},0),1)</f>
        <v>45383</v>
      </c>
    </row>
    <row r="514" spans="1:26" x14ac:dyDescent="0.3">
      <c r="A514" s="4" t="s">
        <v>582</v>
      </c>
      <c r="B514" s="4" t="s">
        <v>61</v>
      </c>
      <c r="C514" s="4" t="s">
        <v>31</v>
      </c>
      <c r="D514" s="5">
        <v>49861.17</v>
      </c>
      <c r="E514" s="6">
        <v>3</v>
      </c>
      <c r="F514" s="5">
        <v>149583.51</v>
      </c>
      <c r="G514" s="1">
        <v>45559</v>
      </c>
      <c r="H514" t="s">
        <v>25</v>
      </c>
      <c r="I514">
        <v>2.5</v>
      </c>
      <c r="J514" t="s">
        <v>19</v>
      </c>
      <c r="K514">
        <v>2024</v>
      </c>
      <c r="L514">
        <v>29916.702000000005</v>
      </c>
      <c r="M514">
        <v>23</v>
      </c>
      <c r="N514" t="s">
        <v>20</v>
      </c>
      <c r="O514" t="s">
        <v>68</v>
      </c>
      <c r="P514">
        <f>FlipkartSales[[#This Row],[Price (INR)]]*FlipkartSales[[#This Row],[Quantity Sold]]</f>
        <v>149583.51</v>
      </c>
      <c r="Q514">
        <f>FlipkartSales[[#This Row],[Total Sales (INR)]]-FlipkartSales[[#This Row],[Calculated Sales]]</f>
        <v>0</v>
      </c>
      <c r="R514" s="9">
        <f t="shared" ref="R514:R577" si="64">L514/F514</f>
        <v>0.2</v>
      </c>
      <c r="S514">
        <f t="shared" ref="S514:S577" si="65">F514/E514</f>
        <v>49861.170000000006</v>
      </c>
      <c r="T514">
        <f t="shared" ref="T514:T577" si="66">L514/E514</f>
        <v>9972.2340000000022</v>
      </c>
      <c r="U514">
        <f t="shared" ref="U514:U577" si="67">MONTH(G514)</f>
        <v>9</v>
      </c>
      <c r="V514" t="str">
        <f t="shared" ref="V514:V577" si="68">"Q"&amp;ROUNDUP(MONTH(G514)/3,0)</f>
        <v>Q3</v>
      </c>
      <c r="W514" t="str">
        <f t="shared" ref="W514:W577" si="69">TEXT(G514,"mmm-yyyy")</f>
        <v>Sep-2024</v>
      </c>
      <c r="X514">
        <f t="shared" ref="X514:X577" si="70">F514*M514/100</f>
        <v>34404.207300000002</v>
      </c>
      <c r="Y514" s="5">
        <f t="shared" ref="Y514:Y577" si="71">F514-X514</f>
        <v>115179.3027</v>
      </c>
      <c r="Z514" s="21">
        <f>DATE(K514,MATCH(J514,{"January","February","March","April","May","June","July","August","September","October","November","December"},0),1)</f>
        <v>45536</v>
      </c>
    </row>
    <row r="515" spans="1:26" x14ac:dyDescent="0.3">
      <c r="A515" s="4" t="s">
        <v>583</v>
      </c>
      <c r="B515" s="4" t="s">
        <v>16</v>
      </c>
      <c r="C515" s="4" t="s">
        <v>17</v>
      </c>
      <c r="D515" s="5">
        <v>21233.35</v>
      </c>
      <c r="E515" s="6">
        <v>1</v>
      </c>
      <c r="F515" s="5">
        <v>21233.35</v>
      </c>
      <c r="G515" s="1">
        <v>45537</v>
      </c>
      <c r="H515" t="s">
        <v>64</v>
      </c>
      <c r="I515">
        <v>1.7</v>
      </c>
      <c r="J515" t="s">
        <v>19</v>
      </c>
      <c r="K515">
        <v>2024</v>
      </c>
      <c r="L515">
        <v>4246.67</v>
      </c>
      <c r="M515">
        <v>9</v>
      </c>
      <c r="N515" t="s">
        <v>27</v>
      </c>
      <c r="O515" t="s">
        <v>68</v>
      </c>
      <c r="P515">
        <f>FlipkartSales[[#This Row],[Price (INR)]]*FlipkartSales[[#This Row],[Quantity Sold]]</f>
        <v>21233.35</v>
      </c>
      <c r="Q515">
        <f>FlipkartSales[[#This Row],[Total Sales (INR)]]-FlipkartSales[[#This Row],[Calculated Sales]]</f>
        <v>0</v>
      </c>
      <c r="R515" s="9">
        <f t="shared" si="64"/>
        <v>0.2</v>
      </c>
      <c r="S515">
        <f t="shared" si="65"/>
        <v>21233.35</v>
      </c>
      <c r="T515">
        <f t="shared" si="66"/>
        <v>4246.67</v>
      </c>
      <c r="U515">
        <f t="shared" si="67"/>
        <v>9</v>
      </c>
      <c r="V515" t="str">
        <f t="shared" si="68"/>
        <v>Q3</v>
      </c>
      <c r="W515" t="str">
        <f t="shared" si="69"/>
        <v>Sep-2024</v>
      </c>
      <c r="X515">
        <f t="shared" si="70"/>
        <v>1911.0014999999999</v>
      </c>
      <c r="Y515" s="5">
        <f t="shared" si="71"/>
        <v>19322.3485</v>
      </c>
      <c r="Z515" s="21">
        <f>DATE(K515,MATCH(J515,{"January","February","March","April","May","June","July","August","September","October","November","December"},0),1)</f>
        <v>45536</v>
      </c>
    </row>
    <row r="516" spans="1:26" x14ac:dyDescent="0.3">
      <c r="A516" s="4" t="s">
        <v>584</v>
      </c>
      <c r="B516" s="4" t="s">
        <v>145</v>
      </c>
      <c r="C516" s="4" t="s">
        <v>40</v>
      </c>
      <c r="D516" s="5">
        <v>776.91</v>
      </c>
      <c r="E516" s="6">
        <v>5</v>
      </c>
      <c r="F516" s="5">
        <v>3884.55</v>
      </c>
      <c r="G516" s="1">
        <v>45489</v>
      </c>
      <c r="H516" t="s">
        <v>64</v>
      </c>
      <c r="I516">
        <v>4.2</v>
      </c>
      <c r="J516" t="s">
        <v>48</v>
      </c>
      <c r="K516">
        <v>2024</v>
      </c>
      <c r="L516">
        <v>776.91000000000008</v>
      </c>
      <c r="M516">
        <v>26</v>
      </c>
      <c r="N516" t="s">
        <v>41</v>
      </c>
      <c r="O516" t="s">
        <v>21</v>
      </c>
      <c r="P516">
        <f>FlipkartSales[[#This Row],[Price (INR)]]*FlipkartSales[[#This Row],[Quantity Sold]]</f>
        <v>3884.5499999999997</v>
      </c>
      <c r="Q516">
        <f>FlipkartSales[[#This Row],[Total Sales (INR)]]-FlipkartSales[[#This Row],[Calculated Sales]]</f>
        <v>0</v>
      </c>
      <c r="R516" s="9">
        <f t="shared" si="64"/>
        <v>0.2</v>
      </c>
      <c r="S516">
        <f t="shared" si="65"/>
        <v>776.91000000000008</v>
      </c>
      <c r="T516">
        <f t="shared" si="66"/>
        <v>155.38200000000001</v>
      </c>
      <c r="U516">
        <f t="shared" si="67"/>
        <v>7</v>
      </c>
      <c r="V516" t="str">
        <f t="shared" si="68"/>
        <v>Q3</v>
      </c>
      <c r="W516" t="str">
        <f t="shared" si="69"/>
        <v>Jul-2024</v>
      </c>
      <c r="X516">
        <f t="shared" si="70"/>
        <v>1009.9830000000001</v>
      </c>
      <c r="Y516" s="5">
        <f t="shared" si="71"/>
        <v>2874.567</v>
      </c>
      <c r="Z516" s="21">
        <f>DATE(K516,MATCH(J516,{"January","February","March","April","May","June","July","August","September","October","November","December"},0),1)</f>
        <v>45474</v>
      </c>
    </row>
    <row r="517" spans="1:26" x14ac:dyDescent="0.3">
      <c r="A517" s="4" t="s">
        <v>585</v>
      </c>
      <c r="B517" s="4" t="s">
        <v>61</v>
      </c>
      <c r="C517" s="4" t="s">
        <v>31</v>
      </c>
      <c r="D517" s="5">
        <v>25542.71</v>
      </c>
      <c r="E517" s="6">
        <v>1</v>
      </c>
      <c r="F517" s="5">
        <v>25542.71</v>
      </c>
      <c r="G517" s="1">
        <v>45640</v>
      </c>
      <c r="H517" t="s">
        <v>25</v>
      </c>
      <c r="I517">
        <v>2.2000000000000002</v>
      </c>
      <c r="J517" t="s">
        <v>26</v>
      </c>
      <c r="K517">
        <v>2024</v>
      </c>
      <c r="L517">
        <v>5108.5420000000004</v>
      </c>
      <c r="M517">
        <v>29</v>
      </c>
      <c r="N517" t="s">
        <v>41</v>
      </c>
      <c r="O517" t="s">
        <v>28</v>
      </c>
      <c r="P517">
        <f>FlipkartSales[[#This Row],[Price (INR)]]*FlipkartSales[[#This Row],[Quantity Sold]]</f>
        <v>25542.71</v>
      </c>
      <c r="Q517">
        <f>FlipkartSales[[#This Row],[Total Sales (INR)]]-FlipkartSales[[#This Row],[Calculated Sales]]</f>
        <v>0</v>
      </c>
      <c r="R517" s="9">
        <f t="shared" si="64"/>
        <v>0.2</v>
      </c>
      <c r="S517">
        <f t="shared" si="65"/>
        <v>25542.71</v>
      </c>
      <c r="T517">
        <f t="shared" si="66"/>
        <v>5108.5420000000004</v>
      </c>
      <c r="U517">
        <f t="shared" si="67"/>
        <v>12</v>
      </c>
      <c r="V517" t="str">
        <f t="shared" si="68"/>
        <v>Q4</v>
      </c>
      <c r="W517" t="str">
        <f t="shared" si="69"/>
        <v>Dec-2024</v>
      </c>
      <c r="X517">
        <f t="shared" si="70"/>
        <v>7407.3858999999993</v>
      </c>
      <c r="Y517" s="5">
        <f t="shared" si="71"/>
        <v>18135.324099999998</v>
      </c>
      <c r="Z517" s="21">
        <f>DATE(K517,MATCH(J517,{"January","February","March","April","May","June","July","August","September","October","November","December"},0),1)</f>
        <v>45627</v>
      </c>
    </row>
    <row r="518" spans="1:26" x14ac:dyDescent="0.3">
      <c r="A518" s="4" t="s">
        <v>586</v>
      </c>
      <c r="B518" s="4" t="s">
        <v>47</v>
      </c>
      <c r="C518" s="4" t="s">
        <v>24</v>
      </c>
      <c r="D518" s="5">
        <v>10818.28</v>
      </c>
      <c r="E518" s="6">
        <v>5</v>
      </c>
      <c r="F518" s="5">
        <v>54091.4</v>
      </c>
      <c r="G518" s="1">
        <v>45495</v>
      </c>
      <c r="H518" t="s">
        <v>25</v>
      </c>
      <c r="I518">
        <v>1.6</v>
      </c>
      <c r="J518" t="s">
        <v>48</v>
      </c>
      <c r="K518">
        <v>2024</v>
      </c>
      <c r="L518">
        <v>10818.28</v>
      </c>
      <c r="M518">
        <v>18</v>
      </c>
      <c r="N518" t="s">
        <v>20</v>
      </c>
      <c r="O518" t="s">
        <v>33</v>
      </c>
      <c r="P518">
        <f>FlipkartSales[[#This Row],[Price (INR)]]*FlipkartSales[[#This Row],[Quantity Sold]]</f>
        <v>54091.4</v>
      </c>
      <c r="Q518">
        <f>FlipkartSales[[#This Row],[Total Sales (INR)]]-FlipkartSales[[#This Row],[Calculated Sales]]</f>
        <v>0</v>
      </c>
      <c r="R518" s="9">
        <f t="shared" si="64"/>
        <v>0.2</v>
      </c>
      <c r="S518">
        <f t="shared" si="65"/>
        <v>10818.28</v>
      </c>
      <c r="T518">
        <f t="shared" si="66"/>
        <v>2163.6559999999999</v>
      </c>
      <c r="U518">
        <f t="shared" si="67"/>
        <v>7</v>
      </c>
      <c r="V518" t="str">
        <f t="shared" si="68"/>
        <v>Q3</v>
      </c>
      <c r="W518" t="str">
        <f t="shared" si="69"/>
        <v>Jul-2024</v>
      </c>
      <c r="X518">
        <f t="shared" si="70"/>
        <v>9736.4520000000011</v>
      </c>
      <c r="Y518" s="5">
        <f t="shared" si="71"/>
        <v>44354.948000000004</v>
      </c>
      <c r="Z518" s="21">
        <f>DATE(K518,MATCH(J518,{"January","February","March","April","May","June","July","August","September","October","November","December"},0),1)</f>
        <v>45474</v>
      </c>
    </row>
    <row r="519" spans="1:26" x14ac:dyDescent="0.3">
      <c r="A519" s="4" t="s">
        <v>587</v>
      </c>
      <c r="B519" s="4" t="s">
        <v>55</v>
      </c>
      <c r="C519" s="4" t="s">
        <v>36</v>
      </c>
      <c r="D519" s="5">
        <v>45801.19</v>
      </c>
      <c r="E519" s="6">
        <v>5</v>
      </c>
      <c r="F519" s="5">
        <v>229005.95</v>
      </c>
      <c r="G519" s="1">
        <v>45589</v>
      </c>
      <c r="H519" t="s">
        <v>71</v>
      </c>
      <c r="I519">
        <v>2.4</v>
      </c>
      <c r="J519" t="s">
        <v>45</v>
      </c>
      <c r="K519">
        <v>2024</v>
      </c>
      <c r="L519">
        <v>45801.19</v>
      </c>
      <c r="M519">
        <v>9</v>
      </c>
      <c r="N519" t="s">
        <v>20</v>
      </c>
      <c r="O519" t="s">
        <v>28</v>
      </c>
      <c r="P519">
        <f>FlipkartSales[[#This Row],[Price (INR)]]*FlipkartSales[[#This Row],[Quantity Sold]]</f>
        <v>229005.95</v>
      </c>
      <c r="Q519">
        <f>FlipkartSales[[#This Row],[Total Sales (INR)]]-FlipkartSales[[#This Row],[Calculated Sales]]</f>
        <v>0</v>
      </c>
      <c r="R519" s="9">
        <f t="shared" si="64"/>
        <v>0.2</v>
      </c>
      <c r="S519">
        <f t="shared" si="65"/>
        <v>45801.19</v>
      </c>
      <c r="T519">
        <f t="shared" si="66"/>
        <v>9160.2380000000012</v>
      </c>
      <c r="U519">
        <f t="shared" si="67"/>
        <v>10</v>
      </c>
      <c r="V519" t="str">
        <f t="shared" si="68"/>
        <v>Q4</v>
      </c>
      <c r="W519" t="str">
        <f t="shared" si="69"/>
        <v>Oct-2024</v>
      </c>
      <c r="X519">
        <f t="shared" si="70"/>
        <v>20610.535500000002</v>
      </c>
      <c r="Y519" s="5">
        <f t="shared" si="71"/>
        <v>208395.41450000001</v>
      </c>
      <c r="Z519" s="21">
        <f>DATE(K519,MATCH(J519,{"January","February","March","April","May","June","July","August","September","October","November","December"},0),1)</f>
        <v>45566</v>
      </c>
    </row>
    <row r="520" spans="1:26" x14ac:dyDescent="0.3">
      <c r="A520" s="4" t="s">
        <v>588</v>
      </c>
      <c r="B520" s="4" t="s">
        <v>30</v>
      </c>
      <c r="C520" s="4" t="s">
        <v>31</v>
      </c>
      <c r="D520" s="5">
        <v>6963.56</v>
      </c>
      <c r="E520" s="6">
        <v>2</v>
      </c>
      <c r="F520" s="5">
        <v>13927.12</v>
      </c>
      <c r="G520" s="1">
        <v>45632</v>
      </c>
      <c r="H520" t="s">
        <v>18</v>
      </c>
      <c r="I520">
        <v>3.3</v>
      </c>
      <c r="J520" t="s">
        <v>26</v>
      </c>
      <c r="K520">
        <v>2024</v>
      </c>
      <c r="L520">
        <v>2785.4240000000004</v>
      </c>
      <c r="M520">
        <v>19</v>
      </c>
      <c r="N520" t="s">
        <v>41</v>
      </c>
      <c r="O520" t="s">
        <v>33</v>
      </c>
      <c r="P520">
        <f>FlipkartSales[[#This Row],[Price (INR)]]*FlipkartSales[[#This Row],[Quantity Sold]]</f>
        <v>13927.12</v>
      </c>
      <c r="Q520">
        <f>FlipkartSales[[#This Row],[Total Sales (INR)]]-FlipkartSales[[#This Row],[Calculated Sales]]</f>
        <v>0</v>
      </c>
      <c r="R520" s="9">
        <f t="shared" si="64"/>
        <v>0.2</v>
      </c>
      <c r="S520">
        <f t="shared" si="65"/>
        <v>6963.56</v>
      </c>
      <c r="T520">
        <f t="shared" si="66"/>
        <v>1392.7120000000002</v>
      </c>
      <c r="U520">
        <f t="shared" si="67"/>
        <v>12</v>
      </c>
      <c r="V520" t="str">
        <f t="shared" si="68"/>
        <v>Q4</v>
      </c>
      <c r="W520" t="str">
        <f t="shared" si="69"/>
        <v>Dec-2024</v>
      </c>
      <c r="X520">
        <f t="shared" si="70"/>
        <v>2646.1528000000003</v>
      </c>
      <c r="Y520" s="5">
        <f t="shared" si="71"/>
        <v>11280.967200000001</v>
      </c>
      <c r="Z520" s="21">
        <f>DATE(K520,MATCH(J520,{"January","February","March","April","May","June","July","August","September","October","November","December"},0),1)</f>
        <v>45627</v>
      </c>
    </row>
    <row r="521" spans="1:26" x14ac:dyDescent="0.3">
      <c r="A521" s="4" t="s">
        <v>589</v>
      </c>
      <c r="B521" s="4" t="s">
        <v>66</v>
      </c>
      <c r="C521" s="4" t="s">
        <v>36</v>
      </c>
      <c r="D521" s="5">
        <v>37082.11</v>
      </c>
      <c r="E521" s="6">
        <v>1</v>
      </c>
      <c r="F521" s="5">
        <v>37082.11</v>
      </c>
      <c r="G521" s="1">
        <v>45455</v>
      </c>
      <c r="H521" t="s">
        <v>25</v>
      </c>
      <c r="I521">
        <v>4.4000000000000004</v>
      </c>
      <c r="J521" t="s">
        <v>67</v>
      </c>
      <c r="K521">
        <v>2024</v>
      </c>
      <c r="L521">
        <v>7416.4220000000005</v>
      </c>
      <c r="M521">
        <v>21</v>
      </c>
      <c r="N521" t="s">
        <v>20</v>
      </c>
      <c r="O521" t="s">
        <v>21</v>
      </c>
      <c r="P521">
        <f>FlipkartSales[[#This Row],[Price (INR)]]*FlipkartSales[[#This Row],[Quantity Sold]]</f>
        <v>37082.11</v>
      </c>
      <c r="Q521">
        <f>FlipkartSales[[#This Row],[Total Sales (INR)]]-FlipkartSales[[#This Row],[Calculated Sales]]</f>
        <v>0</v>
      </c>
      <c r="R521" s="9">
        <f t="shared" si="64"/>
        <v>0.2</v>
      </c>
      <c r="S521">
        <f t="shared" si="65"/>
        <v>37082.11</v>
      </c>
      <c r="T521">
        <f t="shared" si="66"/>
        <v>7416.4220000000005</v>
      </c>
      <c r="U521">
        <f t="shared" si="67"/>
        <v>6</v>
      </c>
      <c r="V521" t="str">
        <f t="shared" si="68"/>
        <v>Q2</v>
      </c>
      <c r="W521" t="str">
        <f t="shared" si="69"/>
        <v>Jun-2024</v>
      </c>
      <c r="X521">
        <f t="shared" si="70"/>
        <v>7787.2431000000006</v>
      </c>
      <c r="Y521" s="5">
        <f t="shared" si="71"/>
        <v>29294.866900000001</v>
      </c>
      <c r="Z521" s="21">
        <f>DATE(K521,MATCH(J521,{"January","February","March","April","May","June","July","August","September","October","November","December"},0),1)</f>
        <v>45444</v>
      </c>
    </row>
    <row r="522" spans="1:26" x14ac:dyDescent="0.3">
      <c r="A522" s="4" t="s">
        <v>590</v>
      </c>
      <c r="B522" s="4" t="s">
        <v>74</v>
      </c>
      <c r="C522" s="4" t="s">
        <v>17</v>
      </c>
      <c r="D522" s="5">
        <v>6842.69</v>
      </c>
      <c r="E522" s="6">
        <v>1</v>
      </c>
      <c r="F522" s="5">
        <v>6842.69</v>
      </c>
      <c r="G522" s="1">
        <v>45447</v>
      </c>
      <c r="H522" t="s">
        <v>25</v>
      </c>
      <c r="I522">
        <v>3.6</v>
      </c>
      <c r="J522" t="s">
        <v>67</v>
      </c>
      <c r="K522">
        <v>2024</v>
      </c>
      <c r="L522">
        <v>1368.538</v>
      </c>
      <c r="M522">
        <v>18</v>
      </c>
      <c r="N522" t="s">
        <v>20</v>
      </c>
      <c r="O522" t="s">
        <v>21</v>
      </c>
      <c r="P522">
        <f>FlipkartSales[[#This Row],[Price (INR)]]*FlipkartSales[[#This Row],[Quantity Sold]]</f>
        <v>6842.69</v>
      </c>
      <c r="Q522">
        <f>FlipkartSales[[#This Row],[Total Sales (INR)]]-FlipkartSales[[#This Row],[Calculated Sales]]</f>
        <v>0</v>
      </c>
      <c r="R522" s="9">
        <f t="shared" si="64"/>
        <v>0.2</v>
      </c>
      <c r="S522">
        <f t="shared" si="65"/>
        <v>6842.69</v>
      </c>
      <c r="T522">
        <f t="shared" si="66"/>
        <v>1368.538</v>
      </c>
      <c r="U522">
        <f t="shared" si="67"/>
        <v>6</v>
      </c>
      <c r="V522" t="str">
        <f t="shared" si="68"/>
        <v>Q2</v>
      </c>
      <c r="W522" t="str">
        <f t="shared" si="69"/>
        <v>Jun-2024</v>
      </c>
      <c r="X522">
        <f t="shared" si="70"/>
        <v>1231.6841999999999</v>
      </c>
      <c r="Y522" s="5">
        <f t="shared" si="71"/>
        <v>5611.0057999999999</v>
      </c>
      <c r="Z522" s="21">
        <f>DATE(K522,MATCH(J522,{"January","February","March","April","May","June","July","August","September","October","November","December"},0),1)</f>
        <v>45444</v>
      </c>
    </row>
    <row r="523" spans="1:26" x14ac:dyDescent="0.3">
      <c r="A523" s="4" t="s">
        <v>591</v>
      </c>
      <c r="B523" s="4" t="s">
        <v>58</v>
      </c>
      <c r="C523" s="4" t="s">
        <v>31</v>
      </c>
      <c r="D523" s="5">
        <v>7283.96</v>
      </c>
      <c r="E523" s="6">
        <v>1</v>
      </c>
      <c r="F523" s="5">
        <v>7283.96</v>
      </c>
      <c r="G523" s="1">
        <v>45390</v>
      </c>
      <c r="H523" t="s">
        <v>64</v>
      </c>
      <c r="I523">
        <v>2</v>
      </c>
      <c r="J523" t="s">
        <v>62</v>
      </c>
      <c r="K523">
        <v>2024</v>
      </c>
      <c r="L523">
        <v>1456.7920000000001</v>
      </c>
      <c r="M523">
        <v>24</v>
      </c>
      <c r="N523" t="s">
        <v>20</v>
      </c>
      <c r="O523" t="s">
        <v>21</v>
      </c>
      <c r="P523">
        <f>FlipkartSales[[#This Row],[Price (INR)]]*FlipkartSales[[#This Row],[Quantity Sold]]</f>
        <v>7283.96</v>
      </c>
      <c r="Q523">
        <f>FlipkartSales[[#This Row],[Total Sales (INR)]]-FlipkartSales[[#This Row],[Calculated Sales]]</f>
        <v>0</v>
      </c>
      <c r="R523" s="9">
        <f t="shared" si="64"/>
        <v>0.2</v>
      </c>
      <c r="S523">
        <f t="shared" si="65"/>
        <v>7283.96</v>
      </c>
      <c r="T523">
        <f t="shared" si="66"/>
        <v>1456.7920000000001</v>
      </c>
      <c r="U523">
        <f t="shared" si="67"/>
        <v>4</v>
      </c>
      <c r="V523" t="str">
        <f t="shared" si="68"/>
        <v>Q2</v>
      </c>
      <c r="W523" t="str">
        <f t="shared" si="69"/>
        <v>Apr-2024</v>
      </c>
      <c r="X523">
        <f t="shared" si="70"/>
        <v>1748.1504</v>
      </c>
      <c r="Y523" s="5">
        <f t="shared" si="71"/>
        <v>5535.8096000000005</v>
      </c>
      <c r="Z523" s="21">
        <f>DATE(K523,MATCH(J523,{"January","February","March","April","May","June","July","August","September","October","November","December"},0),1)</f>
        <v>45383</v>
      </c>
    </row>
    <row r="524" spans="1:26" x14ac:dyDescent="0.3">
      <c r="A524" s="4" t="s">
        <v>592</v>
      </c>
      <c r="B524" s="4" t="s">
        <v>39</v>
      </c>
      <c r="C524" s="4" t="s">
        <v>40</v>
      </c>
      <c r="D524" s="5">
        <v>218.58</v>
      </c>
      <c r="E524" s="6">
        <v>5</v>
      </c>
      <c r="F524" s="5">
        <v>1092.9000000000001</v>
      </c>
      <c r="G524" s="1">
        <v>45402</v>
      </c>
      <c r="H524" t="s">
        <v>44</v>
      </c>
      <c r="I524">
        <v>4.8</v>
      </c>
      <c r="J524" t="s">
        <v>62</v>
      </c>
      <c r="K524">
        <v>2024</v>
      </c>
      <c r="L524">
        <v>218.58000000000004</v>
      </c>
      <c r="M524">
        <v>9</v>
      </c>
      <c r="N524" t="s">
        <v>27</v>
      </c>
      <c r="O524" t="s">
        <v>21</v>
      </c>
      <c r="P524">
        <f>FlipkartSales[[#This Row],[Price (INR)]]*FlipkartSales[[#This Row],[Quantity Sold]]</f>
        <v>1092.9000000000001</v>
      </c>
      <c r="Q524">
        <f>FlipkartSales[[#This Row],[Total Sales (INR)]]-FlipkartSales[[#This Row],[Calculated Sales]]</f>
        <v>0</v>
      </c>
      <c r="R524" s="9">
        <f t="shared" si="64"/>
        <v>0.2</v>
      </c>
      <c r="S524">
        <f t="shared" si="65"/>
        <v>218.58</v>
      </c>
      <c r="T524">
        <f t="shared" si="66"/>
        <v>43.716000000000008</v>
      </c>
      <c r="U524">
        <f t="shared" si="67"/>
        <v>4</v>
      </c>
      <c r="V524" t="str">
        <f t="shared" si="68"/>
        <v>Q2</v>
      </c>
      <c r="W524" t="str">
        <f t="shared" si="69"/>
        <v>Apr-2024</v>
      </c>
      <c r="X524">
        <f t="shared" si="70"/>
        <v>98.361000000000004</v>
      </c>
      <c r="Y524" s="5">
        <f t="shared" si="71"/>
        <v>994.5390000000001</v>
      </c>
      <c r="Z524" s="21">
        <f>DATE(K524,MATCH(J524,{"January","February","March","April","May","June","July","August","September","October","November","December"},0),1)</f>
        <v>45383</v>
      </c>
    </row>
    <row r="525" spans="1:26" x14ac:dyDescent="0.3">
      <c r="A525" s="4" t="s">
        <v>593</v>
      </c>
      <c r="B525" s="4" t="s">
        <v>96</v>
      </c>
      <c r="C525" s="4" t="s">
        <v>36</v>
      </c>
      <c r="D525" s="5">
        <v>38689.699999999997</v>
      </c>
      <c r="E525" s="6">
        <v>3</v>
      </c>
      <c r="F525" s="5">
        <v>116069.1</v>
      </c>
      <c r="G525" s="1">
        <v>45563</v>
      </c>
      <c r="H525" t="s">
        <v>18</v>
      </c>
      <c r="I525">
        <v>1.9</v>
      </c>
      <c r="J525" t="s">
        <v>19</v>
      </c>
      <c r="K525">
        <v>2024</v>
      </c>
      <c r="L525">
        <v>23213.820000000003</v>
      </c>
      <c r="M525">
        <v>16</v>
      </c>
      <c r="N525" t="s">
        <v>27</v>
      </c>
      <c r="O525" t="s">
        <v>33</v>
      </c>
      <c r="P525">
        <f>FlipkartSales[[#This Row],[Price (INR)]]*FlipkartSales[[#This Row],[Quantity Sold]]</f>
        <v>116069.09999999999</v>
      </c>
      <c r="Q525">
        <f>FlipkartSales[[#This Row],[Total Sales (INR)]]-FlipkartSales[[#This Row],[Calculated Sales]]</f>
        <v>0</v>
      </c>
      <c r="R525" s="9">
        <f t="shared" si="64"/>
        <v>0.2</v>
      </c>
      <c r="S525">
        <f t="shared" si="65"/>
        <v>38689.700000000004</v>
      </c>
      <c r="T525">
        <f t="shared" si="66"/>
        <v>7737.9400000000014</v>
      </c>
      <c r="U525">
        <f t="shared" si="67"/>
        <v>9</v>
      </c>
      <c r="V525" t="str">
        <f t="shared" si="68"/>
        <v>Q3</v>
      </c>
      <c r="W525" t="str">
        <f t="shared" si="69"/>
        <v>Sep-2024</v>
      </c>
      <c r="X525">
        <f t="shared" si="70"/>
        <v>18571.056</v>
      </c>
      <c r="Y525" s="5">
        <f t="shared" si="71"/>
        <v>97498.044000000009</v>
      </c>
      <c r="Z525" s="21">
        <f>DATE(K525,MATCH(J525,{"January","February","March","April","May","June","July","August","September","October","November","December"},0),1)</f>
        <v>45536</v>
      </c>
    </row>
    <row r="526" spans="1:26" x14ac:dyDescent="0.3">
      <c r="A526" s="4" t="s">
        <v>594</v>
      </c>
      <c r="B526" s="4" t="s">
        <v>50</v>
      </c>
      <c r="C526" s="4" t="s">
        <v>40</v>
      </c>
      <c r="D526" s="5">
        <v>8863.9699999999993</v>
      </c>
      <c r="E526" s="6">
        <v>2</v>
      </c>
      <c r="F526" s="5">
        <v>17727.939999999999</v>
      </c>
      <c r="G526" s="1">
        <v>45561</v>
      </c>
      <c r="H526" t="s">
        <v>25</v>
      </c>
      <c r="I526">
        <v>4.5</v>
      </c>
      <c r="J526" t="s">
        <v>19</v>
      </c>
      <c r="K526">
        <v>2024</v>
      </c>
      <c r="L526">
        <v>3545.5879999999997</v>
      </c>
      <c r="M526">
        <v>20</v>
      </c>
      <c r="N526" t="s">
        <v>20</v>
      </c>
      <c r="O526" t="s">
        <v>68</v>
      </c>
      <c r="P526">
        <f>FlipkartSales[[#This Row],[Price (INR)]]*FlipkartSales[[#This Row],[Quantity Sold]]</f>
        <v>17727.939999999999</v>
      </c>
      <c r="Q526">
        <f>FlipkartSales[[#This Row],[Total Sales (INR)]]-FlipkartSales[[#This Row],[Calculated Sales]]</f>
        <v>0</v>
      </c>
      <c r="R526" s="9">
        <f t="shared" si="64"/>
        <v>0.2</v>
      </c>
      <c r="S526">
        <f t="shared" si="65"/>
        <v>8863.9699999999993</v>
      </c>
      <c r="T526">
        <f t="shared" si="66"/>
        <v>1772.7939999999999</v>
      </c>
      <c r="U526">
        <f t="shared" si="67"/>
        <v>9</v>
      </c>
      <c r="V526" t="str">
        <f t="shared" si="68"/>
        <v>Q3</v>
      </c>
      <c r="W526" t="str">
        <f t="shared" si="69"/>
        <v>Sep-2024</v>
      </c>
      <c r="X526">
        <f t="shared" si="70"/>
        <v>3545.5879999999997</v>
      </c>
      <c r="Y526" s="5">
        <f t="shared" si="71"/>
        <v>14182.351999999999</v>
      </c>
      <c r="Z526" s="21">
        <f>DATE(K526,MATCH(J526,{"January","February","March","April","May","June","July","August","September","October","November","December"},0),1)</f>
        <v>45536</v>
      </c>
    </row>
    <row r="527" spans="1:26" x14ac:dyDescent="0.3">
      <c r="A527" s="4" t="s">
        <v>595</v>
      </c>
      <c r="B527" s="4" t="s">
        <v>47</v>
      </c>
      <c r="C527" s="4" t="s">
        <v>24</v>
      </c>
      <c r="D527" s="5">
        <v>12472.17</v>
      </c>
      <c r="E527" s="6">
        <v>5</v>
      </c>
      <c r="F527" s="5">
        <v>62360.85</v>
      </c>
      <c r="G527" s="1">
        <v>45405</v>
      </c>
      <c r="H527" t="s">
        <v>25</v>
      </c>
      <c r="I527">
        <v>1.9</v>
      </c>
      <c r="J527" t="s">
        <v>62</v>
      </c>
      <c r="K527">
        <v>2024</v>
      </c>
      <c r="L527">
        <v>12472.17</v>
      </c>
      <c r="M527">
        <v>30</v>
      </c>
      <c r="N527" t="s">
        <v>20</v>
      </c>
      <c r="O527" t="s">
        <v>33</v>
      </c>
      <c r="P527">
        <f>FlipkartSales[[#This Row],[Price (INR)]]*FlipkartSales[[#This Row],[Quantity Sold]]</f>
        <v>62360.85</v>
      </c>
      <c r="Q527">
        <f>FlipkartSales[[#This Row],[Total Sales (INR)]]-FlipkartSales[[#This Row],[Calculated Sales]]</f>
        <v>0</v>
      </c>
      <c r="R527" s="9">
        <f t="shared" si="64"/>
        <v>0.2</v>
      </c>
      <c r="S527">
        <f t="shared" si="65"/>
        <v>12472.17</v>
      </c>
      <c r="T527">
        <f t="shared" si="66"/>
        <v>2494.4340000000002</v>
      </c>
      <c r="U527">
        <f t="shared" si="67"/>
        <v>4</v>
      </c>
      <c r="V527" t="str">
        <f t="shared" si="68"/>
        <v>Q2</v>
      </c>
      <c r="W527" t="str">
        <f t="shared" si="69"/>
        <v>Apr-2024</v>
      </c>
      <c r="X527">
        <f t="shared" si="70"/>
        <v>18708.255000000001</v>
      </c>
      <c r="Y527" s="5">
        <f t="shared" si="71"/>
        <v>43652.595000000001</v>
      </c>
      <c r="Z527" s="21">
        <f>DATE(K527,MATCH(J527,{"January","February","March","April","May","June","July","August","September","October","November","December"},0),1)</f>
        <v>45383</v>
      </c>
    </row>
    <row r="528" spans="1:26" x14ac:dyDescent="0.3">
      <c r="A528" s="4" t="s">
        <v>596</v>
      </c>
      <c r="B528" s="4" t="s">
        <v>23</v>
      </c>
      <c r="C528" s="4" t="s">
        <v>24</v>
      </c>
      <c r="D528" s="5">
        <v>8734.44</v>
      </c>
      <c r="E528" s="6">
        <v>1</v>
      </c>
      <c r="F528" s="5">
        <v>8734.44</v>
      </c>
      <c r="G528" s="1">
        <v>45591</v>
      </c>
      <c r="H528" t="s">
        <v>18</v>
      </c>
      <c r="I528">
        <v>2.5</v>
      </c>
      <c r="J528" t="s">
        <v>45</v>
      </c>
      <c r="K528">
        <v>2024</v>
      </c>
      <c r="L528">
        <v>1746.8880000000001</v>
      </c>
      <c r="M528">
        <v>30</v>
      </c>
      <c r="N528" t="s">
        <v>27</v>
      </c>
      <c r="O528" t="s">
        <v>28</v>
      </c>
      <c r="P528">
        <f>FlipkartSales[[#This Row],[Price (INR)]]*FlipkartSales[[#This Row],[Quantity Sold]]</f>
        <v>8734.44</v>
      </c>
      <c r="Q528">
        <f>FlipkartSales[[#This Row],[Total Sales (INR)]]-FlipkartSales[[#This Row],[Calculated Sales]]</f>
        <v>0</v>
      </c>
      <c r="R528" s="9">
        <f t="shared" si="64"/>
        <v>0.2</v>
      </c>
      <c r="S528">
        <f t="shared" si="65"/>
        <v>8734.44</v>
      </c>
      <c r="T528">
        <f t="shared" si="66"/>
        <v>1746.8880000000001</v>
      </c>
      <c r="U528">
        <f t="shared" si="67"/>
        <v>10</v>
      </c>
      <c r="V528" t="str">
        <f t="shared" si="68"/>
        <v>Q4</v>
      </c>
      <c r="W528" t="str">
        <f t="shared" si="69"/>
        <v>Oct-2024</v>
      </c>
      <c r="X528">
        <f t="shared" si="70"/>
        <v>2620.3320000000003</v>
      </c>
      <c r="Y528" s="5">
        <f t="shared" si="71"/>
        <v>6114.1080000000002</v>
      </c>
      <c r="Z528" s="21">
        <f>DATE(K528,MATCH(J528,{"January","February","March","April","May","June","July","August","September","October","November","December"},0),1)</f>
        <v>45566</v>
      </c>
    </row>
    <row r="529" spans="1:26" x14ac:dyDescent="0.3">
      <c r="A529" s="4" t="s">
        <v>597</v>
      </c>
      <c r="B529" s="4" t="s">
        <v>58</v>
      </c>
      <c r="C529" s="4" t="s">
        <v>31</v>
      </c>
      <c r="D529" s="5">
        <v>32422.04</v>
      </c>
      <c r="E529" s="6">
        <v>5</v>
      </c>
      <c r="F529" s="5">
        <v>162110.20000000001</v>
      </c>
      <c r="G529" s="1">
        <v>45340</v>
      </c>
      <c r="H529" t="s">
        <v>80</v>
      </c>
      <c r="I529">
        <v>1.9</v>
      </c>
      <c r="J529" t="s">
        <v>59</v>
      </c>
      <c r="K529">
        <v>2024</v>
      </c>
      <c r="L529">
        <v>32422.040000000005</v>
      </c>
      <c r="M529">
        <v>20</v>
      </c>
      <c r="N529" t="s">
        <v>27</v>
      </c>
      <c r="O529" t="s">
        <v>21</v>
      </c>
      <c r="P529">
        <f>FlipkartSales[[#This Row],[Price (INR)]]*FlipkartSales[[#This Row],[Quantity Sold]]</f>
        <v>162110.20000000001</v>
      </c>
      <c r="Q529">
        <f>FlipkartSales[[#This Row],[Total Sales (INR)]]-FlipkartSales[[#This Row],[Calculated Sales]]</f>
        <v>0</v>
      </c>
      <c r="R529" s="9">
        <f t="shared" si="64"/>
        <v>0.2</v>
      </c>
      <c r="S529">
        <f t="shared" si="65"/>
        <v>32422.04</v>
      </c>
      <c r="T529">
        <f t="shared" si="66"/>
        <v>6484.4080000000013</v>
      </c>
      <c r="U529">
        <f t="shared" si="67"/>
        <v>2</v>
      </c>
      <c r="V529" t="str">
        <f t="shared" si="68"/>
        <v>Q1</v>
      </c>
      <c r="W529" t="str">
        <f t="shared" si="69"/>
        <v>Feb-2024</v>
      </c>
      <c r="X529">
        <f t="shared" si="70"/>
        <v>32422.04</v>
      </c>
      <c r="Y529" s="5">
        <f t="shared" si="71"/>
        <v>129688.16</v>
      </c>
      <c r="Z529" s="21">
        <f>DATE(K529,MATCH(J529,{"January","February","March","April","May","June","July","August","September","October","November","December"},0),1)</f>
        <v>45323</v>
      </c>
    </row>
    <row r="530" spans="1:26" x14ac:dyDescent="0.3">
      <c r="A530" s="4" t="s">
        <v>598</v>
      </c>
      <c r="B530" s="4" t="s">
        <v>96</v>
      </c>
      <c r="C530" s="4" t="s">
        <v>36</v>
      </c>
      <c r="D530" s="5">
        <v>45532.34</v>
      </c>
      <c r="E530" s="6">
        <v>5</v>
      </c>
      <c r="F530" s="5">
        <v>227661.7</v>
      </c>
      <c r="G530" s="1">
        <v>45410</v>
      </c>
      <c r="H530" t="s">
        <v>71</v>
      </c>
      <c r="I530">
        <v>3.6</v>
      </c>
      <c r="J530" t="s">
        <v>62</v>
      </c>
      <c r="K530">
        <v>2024</v>
      </c>
      <c r="L530">
        <v>45532.340000000004</v>
      </c>
      <c r="M530">
        <v>25</v>
      </c>
      <c r="N530" t="s">
        <v>41</v>
      </c>
      <c r="O530" t="s">
        <v>21</v>
      </c>
      <c r="P530">
        <f>FlipkartSales[[#This Row],[Price (INR)]]*FlipkartSales[[#This Row],[Quantity Sold]]</f>
        <v>227661.69999999998</v>
      </c>
      <c r="Q530">
        <f>FlipkartSales[[#This Row],[Total Sales (INR)]]-FlipkartSales[[#This Row],[Calculated Sales]]</f>
        <v>0</v>
      </c>
      <c r="R530" s="9">
        <f t="shared" si="64"/>
        <v>0.2</v>
      </c>
      <c r="S530">
        <f t="shared" si="65"/>
        <v>45532.340000000004</v>
      </c>
      <c r="T530">
        <f t="shared" si="66"/>
        <v>9106.4680000000008</v>
      </c>
      <c r="U530">
        <f t="shared" si="67"/>
        <v>4</v>
      </c>
      <c r="V530" t="str">
        <f t="shared" si="68"/>
        <v>Q2</v>
      </c>
      <c r="W530" t="str">
        <f t="shared" si="69"/>
        <v>Apr-2024</v>
      </c>
      <c r="X530">
        <f t="shared" si="70"/>
        <v>56915.425000000003</v>
      </c>
      <c r="Y530" s="5">
        <f t="shared" si="71"/>
        <v>170746.27500000002</v>
      </c>
      <c r="Z530" s="21">
        <f>DATE(K530,MATCH(J530,{"January","February","March","April","May","June","July","August","September","October","November","December"},0),1)</f>
        <v>45383</v>
      </c>
    </row>
    <row r="531" spans="1:26" x14ac:dyDescent="0.3">
      <c r="A531" s="4" t="s">
        <v>599</v>
      </c>
      <c r="B531" s="4" t="s">
        <v>30</v>
      </c>
      <c r="C531" s="4" t="s">
        <v>31</v>
      </c>
      <c r="D531" s="5">
        <v>22534.799999999999</v>
      </c>
      <c r="E531" s="6">
        <v>4</v>
      </c>
      <c r="F531" s="5">
        <v>90139.199999999997</v>
      </c>
      <c r="G531" s="1">
        <v>45534</v>
      </c>
      <c r="H531" t="s">
        <v>64</v>
      </c>
      <c r="I531">
        <v>1.4</v>
      </c>
      <c r="J531" t="s">
        <v>88</v>
      </c>
      <c r="K531">
        <v>2024</v>
      </c>
      <c r="L531">
        <v>18027.84</v>
      </c>
      <c r="M531">
        <v>11</v>
      </c>
      <c r="N531" t="s">
        <v>41</v>
      </c>
      <c r="O531" t="s">
        <v>28</v>
      </c>
      <c r="P531">
        <f>FlipkartSales[[#This Row],[Price (INR)]]*FlipkartSales[[#This Row],[Quantity Sold]]</f>
        <v>90139.199999999997</v>
      </c>
      <c r="Q531">
        <f>FlipkartSales[[#This Row],[Total Sales (INR)]]-FlipkartSales[[#This Row],[Calculated Sales]]</f>
        <v>0</v>
      </c>
      <c r="R531" s="9">
        <f t="shared" si="64"/>
        <v>0.2</v>
      </c>
      <c r="S531">
        <f t="shared" si="65"/>
        <v>22534.799999999999</v>
      </c>
      <c r="T531">
        <f t="shared" si="66"/>
        <v>4506.96</v>
      </c>
      <c r="U531">
        <f t="shared" si="67"/>
        <v>8</v>
      </c>
      <c r="V531" t="str">
        <f t="shared" si="68"/>
        <v>Q3</v>
      </c>
      <c r="W531" t="str">
        <f t="shared" si="69"/>
        <v>Aug-2024</v>
      </c>
      <c r="X531">
        <f t="shared" si="70"/>
        <v>9915.3119999999999</v>
      </c>
      <c r="Y531" s="5">
        <f t="shared" si="71"/>
        <v>80223.887999999992</v>
      </c>
      <c r="Z531" s="21">
        <f>DATE(K531,MATCH(J531,{"January","February","March","April","May","June","July","August","September","October","November","December"},0),1)</f>
        <v>45505</v>
      </c>
    </row>
    <row r="532" spans="1:26" x14ac:dyDescent="0.3">
      <c r="A532" s="4" t="s">
        <v>600</v>
      </c>
      <c r="B532" s="4" t="s">
        <v>125</v>
      </c>
      <c r="C532" s="4" t="s">
        <v>17</v>
      </c>
      <c r="D532" s="5">
        <v>26058.55</v>
      </c>
      <c r="E532" s="6">
        <v>1</v>
      </c>
      <c r="F532" s="5">
        <v>26058.55</v>
      </c>
      <c r="G532" s="1">
        <v>45593</v>
      </c>
      <c r="H532" t="s">
        <v>25</v>
      </c>
      <c r="I532">
        <v>2</v>
      </c>
      <c r="J532" t="s">
        <v>45</v>
      </c>
      <c r="K532">
        <v>2024</v>
      </c>
      <c r="L532">
        <v>5211.71</v>
      </c>
      <c r="M532">
        <v>8</v>
      </c>
      <c r="N532" t="s">
        <v>27</v>
      </c>
      <c r="O532" t="s">
        <v>33</v>
      </c>
      <c r="P532">
        <f>FlipkartSales[[#This Row],[Price (INR)]]*FlipkartSales[[#This Row],[Quantity Sold]]</f>
        <v>26058.55</v>
      </c>
      <c r="Q532">
        <f>FlipkartSales[[#This Row],[Total Sales (INR)]]-FlipkartSales[[#This Row],[Calculated Sales]]</f>
        <v>0</v>
      </c>
      <c r="R532" s="9">
        <f t="shared" si="64"/>
        <v>0.2</v>
      </c>
      <c r="S532">
        <f t="shared" si="65"/>
        <v>26058.55</v>
      </c>
      <c r="T532">
        <f t="shared" si="66"/>
        <v>5211.71</v>
      </c>
      <c r="U532">
        <f t="shared" si="67"/>
        <v>10</v>
      </c>
      <c r="V532" t="str">
        <f t="shared" si="68"/>
        <v>Q4</v>
      </c>
      <c r="W532" t="str">
        <f t="shared" si="69"/>
        <v>Oct-2024</v>
      </c>
      <c r="X532">
        <f t="shared" si="70"/>
        <v>2084.6839999999997</v>
      </c>
      <c r="Y532" s="5">
        <f t="shared" si="71"/>
        <v>23973.865999999998</v>
      </c>
      <c r="Z532" s="21">
        <f>DATE(K532,MATCH(J532,{"January","February","March","April","May","June","July","August","September","October","November","December"},0),1)</f>
        <v>45566</v>
      </c>
    </row>
    <row r="533" spans="1:26" x14ac:dyDescent="0.3">
      <c r="A533" s="4" t="s">
        <v>601</v>
      </c>
      <c r="B533" s="4" t="s">
        <v>84</v>
      </c>
      <c r="C533" s="4" t="s">
        <v>40</v>
      </c>
      <c r="D533" s="5">
        <v>13348.84</v>
      </c>
      <c r="E533" s="6">
        <v>2</v>
      </c>
      <c r="F533" s="5">
        <v>26697.68</v>
      </c>
      <c r="G533" s="1">
        <v>45500</v>
      </c>
      <c r="H533" t="s">
        <v>64</v>
      </c>
      <c r="I533">
        <v>4.2</v>
      </c>
      <c r="J533" t="s">
        <v>48</v>
      </c>
      <c r="K533">
        <v>2024</v>
      </c>
      <c r="L533">
        <v>5339.5360000000001</v>
      </c>
      <c r="M533">
        <v>5</v>
      </c>
      <c r="N533" t="s">
        <v>20</v>
      </c>
      <c r="O533" t="s">
        <v>68</v>
      </c>
      <c r="P533">
        <f>FlipkartSales[[#This Row],[Price (INR)]]*FlipkartSales[[#This Row],[Quantity Sold]]</f>
        <v>26697.68</v>
      </c>
      <c r="Q533">
        <f>FlipkartSales[[#This Row],[Total Sales (INR)]]-FlipkartSales[[#This Row],[Calculated Sales]]</f>
        <v>0</v>
      </c>
      <c r="R533" s="9">
        <f t="shared" si="64"/>
        <v>0.2</v>
      </c>
      <c r="S533">
        <f t="shared" si="65"/>
        <v>13348.84</v>
      </c>
      <c r="T533">
        <f t="shared" si="66"/>
        <v>2669.768</v>
      </c>
      <c r="U533">
        <f t="shared" si="67"/>
        <v>7</v>
      </c>
      <c r="V533" t="str">
        <f t="shared" si="68"/>
        <v>Q3</v>
      </c>
      <c r="W533" t="str">
        <f t="shared" si="69"/>
        <v>Jul-2024</v>
      </c>
      <c r="X533">
        <f t="shared" si="70"/>
        <v>1334.884</v>
      </c>
      <c r="Y533" s="5">
        <f t="shared" si="71"/>
        <v>25362.796000000002</v>
      </c>
      <c r="Z533" s="21">
        <f>DATE(K533,MATCH(J533,{"January","February","March","April","May","June","July","August","September","October","November","December"},0),1)</f>
        <v>45474</v>
      </c>
    </row>
    <row r="534" spans="1:26" x14ac:dyDescent="0.3">
      <c r="A534" s="4" t="s">
        <v>602</v>
      </c>
      <c r="B534" s="4" t="s">
        <v>50</v>
      </c>
      <c r="C534" s="4" t="s">
        <v>40</v>
      </c>
      <c r="D534" s="5">
        <v>46792.3</v>
      </c>
      <c r="E534" s="6">
        <v>1</v>
      </c>
      <c r="F534" s="5">
        <v>46792.3</v>
      </c>
      <c r="G534" s="1">
        <v>45459</v>
      </c>
      <c r="H534" t="s">
        <v>71</v>
      </c>
      <c r="I534">
        <v>4.9000000000000004</v>
      </c>
      <c r="J534" t="s">
        <v>67</v>
      </c>
      <c r="K534">
        <v>2024</v>
      </c>
      <c r="L534">
        <v>9358.4600000000009</v>
      </c>
      <c r="M534">
        <v>9</v>
      </c>
      <c r="N534" t="s">
        <v>20</v>
      </c>
      <c r="O534" t="s">
        <v>68</v>
      </c>
      <c r="P534">
        <f>FlipkartSales[[#This Row],[Price (INR)]]*FlipkartSales[[#This Row],[Quantity Sold]]</f>
        <v>46792.3</v>
      </c>
      <c r="Q534">
        <f>FlipkartSales[[#This Row],[Total Sales (INR)]]-FlipkartSales[[#This Row],[Calculated Sales]]</f>
        <v>0</v>
      </c>
      <c r="R534" s="9">
        <f t="shared" si="64"/>
        <v>0.2</v>
      </c>
      <c r="S534">
        <f t="shared" si="65"/>
        <v>46792.3</v>
      </c>
      <c r="T534">
        <f t="shared" si="66"/>
        <v>9358.4600000000009</v>
      </c>
      <c r="U534">
        <f t="shared" si="67"/>
        <v>6</v>
      </c>
      <c r="V534" t="str">
        <f t="shared" si="68"/>
        <v>Q2</v>
      </c>
      <c r="W534" t="str">
        <f t="shared" si="69"/>
        <v>Jun-2024</v>
      </c>
      <c r="X534">
        <f t="shared" si="70"/>
        <v>4211.3069999999998</v>
      </c>
      <c r="Y534" s="5">
        <f t="shared" si="71"/>
        <v>42580.993000000002</v>
      </c>
      <c r="Z534" s="21">
        <f>DATE(K534,MATCH(J534,{"January","February","March","April","May","June","July","August","September","October","November","December"},0),1)</f>
        <v>45444</v>
      </c>
    </row>
    <row r="535" spans="1:26" x14ac:dyDescent="0.3">
      <c r="A535" s="4" t="s">
        <v>603</v>
      </c>
      <c r="B535" s="4" t="s">
        <v>145</v>
      </c>
      <c r="C535" s="4" t="s">
        <v>40</v>
      </c>
      <c r="D535" s="5">
        <v>15764.25</v>
      </c>
      <c r="E535" s="6">
        <v>4</v>
      </c>
      <c r="F535" s="5">
        <v>63057</v>
      </c>
      <c r="G535" s="1">
        <v>45424</v>
      </c>
      <c r="H535" t="s">
        <v>64</v>
      </c>
      <c r="I535">
        <v>4</v>
      </c>
      <c r="J535" t="s">
        <v>32</v>
      </c>
      <c r="K535">
        <v>2024</v>
      </c>
      <c r="L535">
        <v>12611.400000000001</v>
      </c>
      <c r="M535">
        <v>27</v>
      </c>
      <c r="N535" t="s">
        <v>20</v>
      </c>
      <c r="O535" t="s">
        <v>28</v>
      </c>
      <c r="P535">
        <f>FlipkartSales[[#This Row],[Price (INR)]]*FlipkartSales[[#This Row],[Quantity Sold]]</f>
        <v>63057</v>
      </c>
      <c r="Q535">
        <f>FlipkartSales[[#This Row],[Total Sales (INR)]]-FlipkartSales[[#This Row],[Calculated Sales]]</f>
        <v>0</v>
      </c>
      <c r="R535" s="9">
        <f t="shared" si="64"/>
        <v>0.2</v>
      </c>
      <c r="S535">
        <f t="shared" si="65"/>
        <v>15764.25</v>
      </c>
      <c r="T535">
        <f t="shared" si="66"/>
        <v>3152.8500000000004</v>
      </c>
      <c r="U535">
        <f t="shared" si="67"/>
        <v>5</v>
      </c>
      <c r="V535" t="str">
        <f t="shared" si="68"/>
        <v>Q2</v>
      </c>
      <c r="W535" t="str">
        <f t="shared" si="69"/>
        <v>May-2024</v>
      </c>
      <c r="X535">
        <f t="shared" si="70"/>
        <v>17025.39</v>
      </c>
      <c r="Y535" s="5">
        <f t="shared" si="71"/>
        <v>46031.61</v>
      </c>
      <c r="Z535" s="21">
        <f>DATE(K535,MATCH(J535,{"January","February","March","April","May","June","July","August","September","October","November","December"},0),1)</f>
        <v>45413</v>
      </c>
    </row>
    <row r="536" spans="1:26" x14ac:dyDescent="0.3">
      <c r="A536" s="4" t="s">
        <v>604</v>
      </c>
      <c r="B536" s="4" t="s">
        <v>35</v>
      </c>
      <c r="C536" s="4" t="s">
        <v>36</v>
      </c>
      <c r="D536" s="5">
        <v>45019</v>
      </c>
      <c r="E536" s="6">
        <v>5</v>
      </c>
      <c r="F536" s="5">
        <v>225095</v>
      </c>
      <c r="G536" s="1">
        <v>45664</v>
      </c>
      <c r="H536" t="s">
        <v>64</v>
      </c>
      <c r="I536">
        <v>4.7</v>
      </c>
      <c r="J536" t="s">
        <v>53</v>
      </c>
      <c r="K536">
        <v>2025</v>
      </c>
      <c r="L536">
        <v>45019</v>
      </c>
      <c r="M536">
        <v>30</v>
      </c>
      <c r="N536" t="s">
        <v>20</v>
      </c>
      <c r="O536" t="s">
        <v>68</v>
      </c>
      <c r="P536">
        <f>FlipkartSales[[#This Row],[Price (INR)]]*FlipkartSales[[#This Row],[Quantity Sold]]</f>
        <v>225095</v>
      </c>
      <c r="Q536">
        <f>FlipkartSales[[#This Row],[Total Sales (INR)]]-FlipkartSales[[#This Row],[Calculated Sales]]</f>
        <v>0</v>
      </c>
      <c r="R536" s="9">
        <f t="shared" si="64"/>
        <v>0.2</v>
      </c>
      <c r="S536">
        <f t="shared" si="65"/>
        <v>45019</v>
      </c>
      <c r="T536">
        <f t="shared" si="66"/>
        <v>9003.7999999999993</v>
      </c>
      <c r="U536">
        <f t="shared" si="67"/>
        <v>1</v>
      </c>
      <c r="V536" t="str">
        <f t="shared" si="68"/>
        <v>Q1</v>
      </c>
      <c r="W536" t="str">
        <f t="shared" si="69"/>
        <v>Jan-2025</v>
      </c>
      <c r="X536">
        <f t="shared" si="70"/>
        <v>67528.5</v>
      </c>
      <c r="Y536" s="5">
        <f t="shared" si="71"/>
        <v>157566.5</v>
      </c>
      <c r="Z536" s="21">
        <f>DATE(K536,MATCH(J536,{"January","February","March","April","May","June","July","August","September","October","November","December"},0),1)</f>
        <v>45658</v>
      </c>
    </row>
    <row r="537" spans="1:26" x14ac:dyDescent="0.3">
      <c r="A537" s="4" t="s">
        <v>605</v>
      </c>
      <c r="B537" s="4" t="s">
        <v>176</v>
      </c>
      <c r="C537" s="4" t="s">
        <v>24</v>
      </c>
      <c r="D537" s="5">
        <v>42794.400000000001</v>
      </c>
      <c r="E537" s="6">
        <v>4</v>
      </c>
      <c r="F537" s="5">
        <v>171177.60000000001</v>
      </c>
      <c r="G537" s="1">
        <v>45468</v>
      </c>
      <c r="H537" t="s">
        <v>64</v>
      </c>
      <c r="I537">
        <v>4.5999999999999996</v>
      </c>
      <c r="J537" t="s">
        <v>67</v>
      </c>
      <c r="K537">
        <v>2024</v>
      </c>
      <c r="L537">
        <v>34235.520000000004</v>
      </c>
      <c r="M537">
        <v>14</v>
      </c>
      <c r="N537" t="s">
        <v>41</v>
      </c>
      <c r="O537" t="s">
        <v>33</v>
      </c>
      <c r="P537">
        <f>FlipkartSales[[#This Row],[Price (INR)]]*FlipkartSales[[#This Row],[Quantity Sold]]</f>
        <v>171177.60000000001</v>
      </c>
      <c r="Q537">
        <f>FlipkartSales[[#This Row],[Total Sales (INR)]]-FlipkartSales[[#This Row],[Calculated Sales]]</f>
        <v>0</v>
      </c>
      <c r="R537" s="9">
        <f t="shared" si="64"/>
        <v>0.2</v>
      </c>
      <c r="S537">
        <f t="shared" si="65"/>
        <v>42794.400000000001</v>
      </c>
      <c r="T537">
        <f t="shared" si="66"/>
        <v>8558.880000000001</v>
      </c>
      <c r="U537">
        <f t="shared" si="67"/>
        <v>6</v>
      </c>
      <c r="V537" t="str">
        <f t="shared" si="68"/>
        <v>Q2</v>
      </c>
      <c r="W537" t="str">
        <f t="shared" si="69"/>
        <v>Jun-2024</v>
      </c>
      <c r="X537">
        <f t="shared" si="70"/>
        <v>23964.863999999998</v>
      </c>
      <c r="Y537" s="5">
        <f t="shared" si="71"/>
        <v>147212.736</v>
      </c>
      <c r="Z537" s="21">
        <f>DATE(K537,MATCH(J537,{"January","February","March","April","May","June","July","August","September","October","November","December"},0),1)</f>
        <v>45444</v>
      </c>
    </row>
    <row r="538" spans="1:26" x14ac:dyDescent="0.3">
      <c r="A538" s="4" t="s">
        <v>606</v>
      </c>
      <c r="B538" s="4" t="s">
        <v>16</v>
      </c>
      <c r="C538" s="4" t="s">
        <v>17</v>
      </c>
      <c r="D538" s="5">
        <v>492.53</v>
      </c>
      <c r="E538" s="6">
        <v>1</v>
      </c>
      <c r="F538" s="5">
        <v>492.53</v>
      </c>
      <c r="G538" s="1">
        <v>45397</v>
      </c>
      <c r="H538" t="s">
        <v>71</v>
      </c>
      <c r="I538">
        <v>4.4000000000000004</v>
      </c>
      <c r="J538" t="s">
        <v>62</v>
      </c>
      <c r="K538">
        <v>2024</v>
      </c>
      <c r="L538">
        <v>98.506</v>
      </c>
      <c r="M538">
        <v>26</v>
      </c>
      <c r="N538" t="s">
        <v>27</v>
      </c>
      <c r="O538" t="s">
        <v>33</v>
      </c>
      <c r="P538">
        <f>FlipkartSales[[#This Row],[Price (INR)]]*FlipkartSales[[#This Row],[Quantity Sold]]</f>
        <v>492.53</v>
      </c>
      <c r="Q538">
        <f>FlipkartSales[[#This Row],[Total Sales (INR)]]-FlipkartSales[[#This Row],[Calculated Sales]]</f>
        <v>0</v>
      </c>
      <c r="R538" s="9">
        <f t="shared" si="64"/>
        <v>0.2</v>
      </c>
      <c r="S538">
        <f t="shared" si="65"/>
        <v>492.53</v>
      </c>
      <c r="T538">
        <f t="shared" si="66"/>
        <v>98.506</v>
      </c>
      <c r="U538">
        <f t="shared" si="67"/>
        <v>4</v>
      </c>
      <c r="V538" t="str">
        <f t="shared" si="68"/>
        <v>Q2</v>
      </c>
      <c r="W538" t="str">
        <f t="shared" si="69"/>
        <v>Apr-2024</v>
      </c>
      <c r="X538">
        <f t="shared" si="70"/>
        <v>128.05779999999999</v>
      </c>
      <c r="Y538" s="5">
        <f t="shared" si="71"/>
        <v>364.47219999999999</v>
      </c>
      <c r="Z538" s="21">
        <f>DATE(K538,MATCH(J538,{"January","February","March","April","May","June","July","August","September","October","November","December"},0),1)</f>
        <v>45383</v>
      </c>
    </row>
    <row r="539" spans="1:26" x14ac:dyDescent="0.3">
      <c r="A539" s="4" t="s">
        <v>607</v>
      </c>
      <c r="B539" s="4" t="s">
        <v>145</v>
      </c>
      <c r="C539" s="4" t="s">
        <v>40</v>
      </c>
      <c r="D539" s="5">
        <v>30721.51</v>
      </c>
      <c r="E539" s="6">
        <v>4</v>
      </c>
      <c r="F539" s="5">
        <v>122886.04</v>
      </c>
      <c r="G539" s="1">
        <v>45501</v>
      </c>
      <c r="H539" t="s">
        <v>44</v>
      </c>
      <c r="I539">
        <v>3.4</v>
      </c>
      <c r="J539" t="s">
        <v>48</v>
      </c>
      <c r="K539">
        <v>2024</v>
      </c>
      <c r="L539">
        <v>24577.207999999999</v>
      </c>
      <c r="M539">
        <v>9</v>
      </c>
      <c r="N539" t="s">
        <v>20</v>
      </c>
      <c r="O539" t="s">
        <v>28</v>
      </c>
      <c r="P539">
        <f>FlipkartSales[[#This Row],[Price (INR)]]*FlipkartSales[[#This Row],[Quantity Sold]]</f>
        <v>122886.04</v>
      </c>
      <c r="Q539">
        <f>FlipkartSales[[#This Row],[Total Sales (INR)]]-FlipkartSales[[#This Row],[Calculated Sales]]</f>
        <v>0</v>
      </c>
      <c r="R539" s="9">
        <f t="shared" si="64"/>
        <v>0.2</v>
      </c>
      <c r="S539">
        <f t="shared" si="65"/>
        <v>30721.51</v>
      </c>
      <c r="T539">
        <f t="shared" si="66"/>
        <v>6144.3019999999997</v>
      </c>
      <c r="U539">
        <f t="shared" si="67"/>
        <v>7</v>
      </c>
      <c r="V539" t="str">
        <f t="shared" si="68"/>
        <v>Q3</v>
      </c>
      <c r="W539" t="str">
        <f t="shared" si="69"/>
        <v>Jul-2024</v>
      </c>
      <c r="X539">
        <f t="shared" si="70"/>
        <v>11059.743599999998</v>
      </c>
      <c r="Y539" s="5">
        <f t="shared" si="71"/>
        <v>111826.29639999999</v>
      </c>
      <c r="Z539" s="21">
        <f>DATE(K539,MATCH(J539,{"January","February","March","April","May","June","July","August","September","October","November","December"},0),1)</f>
        <v>45474</v>
      </c>
    </row>
    <row r="540" spans="1:26" x14ac:dyDescent="0.3">
      <c r="A540" s="4" t="s">
        <v>608</v>
      </c>
      <c r="B540" s="4" t="s">
        <v>39</v>
      </c>
      <c r="C540" s="4" t="s">
        <v>40</v>
      </c>
      <c r="D540" s="5">
        <v>17162.64</v>
      </c>
      <c r="E540" s="6">
        <v>3</v>
      </c>
      <c r="F540" s="5">
        <v>51487.92</v>
      </c>
      <c r="G540" s="1">
        <v>45485</v>
      </c>
      <c r="H540" t="s">
        <v>64</v>
      </c>
      <c r="I540">
        <v>4.7</v>
      </c>
      <c r="J540" t="s">
        <v>48</v>
      </c>
      <c r="K540">
        <v>2024</v>
      </c>
      <c r="L540">
        <v>10297.584000000001</v>
      </c>
      <c r="M540">
        <v>8</v>
      </c>
      <c r="N540" t="s">
        <v>41</v>
      </c>
      <c r="O540" t="s">
        <v>33</v>
      </c>
      <c r="P540">
        <f>FlipkartSales[[#This Row],[Price (INR)]]*FlipkartSales[[#This Row],[Quantity Sold]]</f>
        <v>51487.92</v>
      </c>
      <c r="Q540">
        <f>FlipkartSales[[#This Row],[Total Sales (INR)]]-FlipkartSales[[#This Row],[Calculated Sales]]</f>
        <v>0</v>
      </c>
      <c r="R540" s="9">
        <f t="shared" si="64"/>
        <v>0.2</v>
      </c>
      <c r="S540">
        <f t="shared" si="65"/>
        <v>17162.64</v>
      </c>
      <c r="T540">
        <f t="shared" si="66"/>
        <v>3432.5280000000002</v>
      </c>
      <c r="U540">
        <f t="shared" si="67"/>
        <v>7</v>
      </c>
      <c r="V540" t="str">
        <f t="shared" si="68"/>
        <v>Q3</v>
      </c>
      <c r="W540" t="str">
        <f t="shared" si="69"/>
        <v>Jul-2024</v>
      </c>
      <c r="X540">
        <f t="shared" si="70"/>
        <v>4119.0335999999998</v>
      </c>
      <c r="Y540" s="5">
        <f t="shared" si="71"/>
        <v>47368.886399999996</v>
      </c>
      <c r="Z540" s="21">
        <f>DATE(K540,MATCH(J540,{"January","February","March","April","May","June","July","August","September","October","November","December"},0),1)</f>
        <v>45474</v>
      </c>
    </row>
    <row r="541" spans="1:26" x14ac:dyDescent="0.3">
      <c r="A541" s="4" t="s">
        <v>609</v>
      </c>
      <c r="B541" s="4" t="s">
        <v>74</v>
      </c>
      <c r="C541" s="4" t="s">
        <v>17</v>
      </c>
      <c r="D541" s="5">
        <v>45888.54</v>
      </c>
      <c r="E541" s="6">
        <v>3</v>
      </c>
      <c r="F541" s="5">
        <v>137665.62</v>
      </c>
      <c r="G541" s="1">
        <v>45390</v>
      </c>
      <c r="H541" t="s">
        <v>71</v>
      </c>
      <c r="I541">
        <v>2</v>
      </c>
      <c r="J541" t="s">
        <v>62</v>
      </c>
      <c r="K541">
        <v>2024</v>
      </c>
      <c r="L541">
        <v>27533.124</v>
      </c>
      <c r="M541">
        <v>6</v>
      </c>
      <c r="N541" t="s">
        <v>20</v>
      </c>
      <c r="O541" t="s">
        <v>21</v>
      </c>
      <c r="P541">
        <f>FlipkartSales[[#This Row],[Price (INR)]]*FlipkartSales[[#This Row],[Quantity Sold]]</f>
        <v>137665.62</v>
      </c>
      <c r="Q541">
        <f>FlipkartSales[[#This Row],[Total Sales (INR)]]-FlipkartSales[[#This Row],[Calculated Sales]]</f>
        <v>0</v>
      </c>
      <c r="R541" s="9">
        <f t="shared" si="64"/>
        <v>0.2</v>
      </c>
      <c r="S541">
        <f t="shared" si="65"/>
        <v>45888.54</v>
      </c>
      <c r="T541">
        <f t="shared" si="66"/>
        <v>9177.7080000000005</v>
      </c>
      <c r="U541">
        <f t="shared" si="67"/>
        <v>4</v>
      </c>
      <c r="V541" t="str">
        <f t="shared" si="68"/>
        <v>Q2</v>
      </c>
      <c r="W541" t="str">
        <f t="shared" si="69"/>
        <v>Apr-2024</v>
      </c>
      <c r="X541">
        <f t="shared" si="70"/>
        <v>8259.9372000000003</v>
      </c>
      <c r="Y541" s="5">
        <f t="shared" si="71"/>
        <v>129405.6828</v>
      </c>
      <c r="Z541" s="21">
        <f>DATE(K541,MATCH(J541,{"January","February","March","April","May","June","July","August","September","October","November","December"},0),1)</f>
        <v>45383</v>
      </c>
    </row>
    <row r="542" spans="1:26" x14ac:dyDescent="0.3">
      <c r="A542" s="4" t="s">
        <v>610</v>
      </c>
      <c r="B542" s="4" t="s">
        <v>50</v>
      </c>
      <c r="C542" s="4" t="s">
        <v>40</v>
      </c>
      <c r="D542" s="5">
        <v>49052.43</v>
      </c>
      <c r="E542" s="6">
        <v>3</v>
      </c>
      <c r="F542" s="5">
        <v>147157.29</v>
      </c>
      <c r="G542" s="1">
        <v>45628</v>
      </c>
      <c r="H542" t="s">
        <v>18</v>
      </c>
      <c r="I542">
        <v>4.5</v>
      </c>
      <c r="J542" t="s">
        <v>26</v>
      </c>
      <c r="K542">
        <v>2024</v>
      </c>
      <c r="L542">
        <v>29431.458000000002</v>
      </c>
      <c r="M542">
        <v>24</v>
      </c>
      <c r="N542" t="s">
        <v>27</v>
      </c>
      <c r="O542" t="s">
        <v>28</v>
      </c>
      <c r="P542">
        <f>FlipkartSales[[#This Row],[Price (INR)]]*FlipkartSales[[#This Row],[Quantity Sold]]</f>
        <v>147157.29</v>
      </c>
      <c r="Q542">
        <f>FlipkartSales[[#This Row],[Total Sales (INR)]]-FlipkartSales[[#This Row],[Calculated Sales]]</f>
        <v>0</v>
      </c>
      <c r="R542" s="9">
        <f t="shared" si="64"/>
        <v>0.2</v>
      </c>
      <c r="S542">
        <f t="shared" si="65"/>
        <v>49052.43</v>
      </c>
      <c r="T542">
        <f t="shared" si="66"/>
        <v>9810.4860000000008</v>
      </c>
      <c r="U542">
        <f t="shared" si="67"/>
        <v>12</v>
      </c>
      <c r="V542" t="str">
        <f t="shared" si="68"/>
        <v>Q4</v>
      </c>
      <c r="W542" t="str">
        <f t="shared" si="69"/>
        <v>Dec-2024</v>
      </c>
      <c r="X542">
        <f t="shared" si="70"/>
        <v>35317.749600000003</v>
      </c>
      <c r="Y542" s="5">
        <f t="shared" si="71"/>
        <v>111839.5404</v>
      </c>
      <c r="Z542" s="21">
        <f>DATE(K542,MATCH(J542,{"January","February","March","April","May","June","July","August","September","October","November","December"},0),1)</f>
        <v>45627</v>
      </c>
    </row>
    <row r="543" spans="1:26" x14ac:dyDescent="0.3">
      <c r="A543" s="4" t="s">
        <v>611</v>
      </c>
      <c r="B543" s="4" t="s">
        <v>145</v>
      </c>
      <c r="C543" s="4" t="s">
        <v>40</v>
      </c>
      <c r="D543" s="5">
        <v>2435.9699999999998</v>
      </c>
      <c r="E543" s="6">
        <v>1</v>
      </c>
      <c r="F543" s="5">
        <v>2435.9699999999998</v>
      </c>
      <c r="G543" s="1">
        <v>45381</v>
      </c>
      <c r="H543" t="s">
        <v>71</v>
      </c>
      <c r="I543">
        <v>2.2999999999999998</v>
      </c>
      <c r="J543" t="s">
        <v>56</v>
      </c>
      <c r="K543">
        <v>2024</v>
      </c>
      <c r="L543">
        <v>487.19399999999996</v>
      </c>
      <c r="M543">
        <v>14</v>
      </c>
      <c r="N543" t="s">
        <v>41</v>
      </c>
      <c r="O543" t="s">
        <v>33</v>
      </c>
      <c r="P543">
        <f>FlipkartSales[[#This Row],[Price (INR)]]*FlipkartSales[[#This Row],[Quantity Sold]]</f>
        <v>2435.9699999999998</v>
      </c>
      <c r="Q543">
        <f>FlipkartSales[[#This Row],[Total Sales (INR)]]-FlipkartSales[[#This Row],[Calculated Sales]]</f>
        <v>0</v>
      </c>
      <c r="R543" s="9">
        <f t="shared" si="64"/>
        <v>0.2</v>
      </c>
      <c r="S543">
        <f t="shared" si="65"/>
        <v>2435.9699999999998</v>
      </c>
      <c r="T543">
        <f t="shared" si="66"/>
        <v>487.19399999999996</v>
      </c>
      <c r="U543">
        <f t="shared" si="67"/>
        <v>3</v>
      </c>
      <c r="V543" t="str">
        <f t="shared" si="68"/>
        <v>Q1</v>
      </c>
      <c r="W543" t="str">
        <f t="shared" si="69"/>
        <v>Mar-2024</v>
      </c>
      <c r="X543">
        <f t="shared" si="70"/>
        <v>341.03579999999994</v>
      </c>
      <c r="Y543" s="5">
        <f t="shared" si="71"/>
        <v>2094.9341999999997</v>
      </c>
      <c r="Z543" s="21">
        <f>DATE(K543,MATCH(J543,{"January","February","March","April","May","June","July","August","September","October","November","December"},0),1)</f>
        <v>45352</v>
      </c>
    </row>
    <row r="544" spans="1:26" x14ac:dyDescent="0.3">
      <c r="A544" s="4" t="s">
        <v>612</v>
      </c>
      <c r="B544" s="4" t="s">
        <v>50</v>
      </c>
      <c r="C544" s="4" t="s">
        <v>40</v>
      </c>
      <c r="D544" s="5">
        <v>48128.02</v>
      </c>
      <c r="E544" s="6">
        <v>4</v>
      </c>
      <c r="F544" s="5">
        <v>192512.08</v>
      </c>
      <c r="G544" s="1">
        <v>45425</v>
      </c>
      <c r="H544" t="s">
        <v>44</v>
      </c>
      <c r="I544">
        <v>3.2</v>
      </c>
      <c r="J544" t="s">
        <v>32</v>
      </c>
      <c r="K544">
        <v>2024</v>
      </c>
      <c r="L544">
        <v>38502.415999999997</v>
      </c>
      <c r="M544">
        <v>30</v>
      </c>
      <c r="N544" t="s">
        <v>27</v>
      </c>
      <c r="O544" t="s">
        <v>28</v>
      </c>
      <c r="P544">
        <f>FlipkartSales[[#This Row],[Price (INR)]]*FlipkartSales[[#This Row],[Quantity Sold]]</f>
        <v>192512.08</v>
      </c>
      <c r="Q544">
        <f>FlipkartSales[[#This Row],[Total Sales (INR)]]-FlipkartSales[[#This Row],[Calculated Sales]]</f>
        <v>0</v>
      </c>
      <c r="R544" s="9">
        <f t="shared" si="64"/>
        <v>0.2</v>
      </c>
      <c r="S544">
        <f t="shared" si="65"/>
        <v>48128.02</v>
      </c>
      <c r="T544">
        <f t="shared" si="66"/>
        <v>9625.6039999999994</v>
      </c>
      <c r="U544">
        <f t="shared" si="67"/>
        <v>5</v>
      </c>
      <c r="V544" t="str">
        <f t="shared" si="68"/>
        <v>Q2</v>
      </c>
      <c r="W544" t="str">
        <f t="shared" si="69"/>
        <v>May-2024</v>
      </c>
      <c r="X544">
        <f t="shared" si="70"/>
        <v>57753.623999999996</v>
      </c>
      <c r="Y544" s="5">
        <f t="shared" si="71"/>
        <v>134758.45600000001</v>
      </c>
      <c r="Z544" s="21">
        <f>DATE(K544,MATCH(J544,{"January","February","March","April","May","June","July","August","September","October","November","December"},0),1)</f>
        <v>45413</v>
      </c>
    </row>
    <row r="545" spans="1:26" x14ac:dyDescent="0.3">
      <c r="A545" s="4" t="s">
        <v>613</v>
      </c>
      <c r="B545" s="4" t="s">
        <v>58</v>
      </c>
      <c r="C545" s="4" t="s">
        <v>31</v>
      </c>
      <c r="D545" s="5">
        <v>47111.56</v>
      </c>
      <c r="E545" s="6">
        <v>5</v>
      </c>
      <c r="F545" s="5">
        <v>235557.8</v>
      </c>
      <c r="G545" s="1">
        <v>45412</v>
      </c>
      <c r="H545" t="s">
        <v>25</v>
      </c>
      <c r="I545">
        <v>2.9</v>
      </c>
      <c r="J545" t="s">
        <v>62</v>
      </c>
      <c r="K545">
        <v>2024</v>
      </c>
      <c r="L545">
        <v>47111.56</v>
      </c>
      <c r="M545">
        <v>23</v>
      </c>
      <c r="N545" t="s">
        <v>27</v>
      </c>
      <c r="O545" t="s">
        <v>68</v>
      </c>
      <c r="P545">
        <f>FlipkartSales[[#This Row],[Price (INR)]]*FlipkartSales[[#This Row],[Quantity Sold]]</f>
        <v>235557.8</v>
      </c>
      <c r="Q545">
        <f>FlipkartSales[[#This Row],[Total Sales (INR)]]-FlipkartSales[[#This Row],[Calculated Sales]]</f>
        <v>0</v>
      </c>
      <c r="R545" s="9">
        <f t="shared" si="64"/>
        <v>0.2</v>
      </c>
      <c r="S545">
        <f t="shared" si="65"/>
        <v>47111.56</v>
      </c>
      <c r="T545">
        <f t="shared" si="66"/>
        <v>9422.3119999999999</v>
      </c>
      <c r="U545">
        <f t="shared" si="67"/>
        <v>4</v>
      </c>
      <c r="V545" t="str">
        <f t="shared" si="68"/>
        <v>Q2</v>
      </c>
      <c r="W545" t="str">
        <f t="shared" si="69"/>
        <v>Apr-2024</v>
      </c>
      <c r="X545">
        <f t="shared" si="70"/>
        <v>54178.293999999994</v>
      </c>
      <c r="Y545" s="5">
        <f t="shared" si="71"/>
        <v>181379.50599999999</v>
      </c>
      <c r="Z545" s="21">
        <f>DATE(K545,MATCH(J545,{"January","February","March","April","May","June","July","August","September","October","November","December"},0),1)</f>
        <v>45383</v>
      </c>
    </row>
    <row r="546" spans="1:26" x14ac:dyDescent="0.3">
      <c r="A546" s="4" t="s">
        <v>614</v>
      </c>
      <c r="B546" s="4" t="s">
        <v>16</v>
      </c>
      <c r="C546" s="4" t="s">
        <v>17</v>
      </c>
      <c r="D546" s="5">
        <v>8091.3</v>
      </c>
      <c r="E546" s="6">
        <v>5</v>
      </c>
      <c r="F546" s="5">
        <v>40456.5</v>
      </c>
      <c r="G546" s="1">
        <v>45518</v>
      </c>
      <c r="H546" t="s">
        <v>71</v>
      </c>
      <c r="I546">
        <v>2</v>
      </c>
      <c r="J546" t="s">
        <v>88</v>
      </c>
      <c r="K546">
        <v>2024</v>
      </c>
      <c r="L546">
        <v>8091.3</v>
      </c>
      <c r="M546">
        <v>30</v>
      </c>
      <c r="N546" t="s">
        <v>41</v>
      </c>
      <c r="O546" t="s">
        <v>33</v>
      </c>
      <c r="P546">
        <f>FlipkartSales[[#This Row],[Price (INR)]]*FlipkartSales[[#This Row],[Quantity Sold]]</f>
        <v>40456.5</v>
      </c>
      <c r="Q546">
        <f>FlipkartSales[[#This Row],[Total Sales (INR)]]-FlipkartSales[[#This Row],[Calculated Sales]]</f>
        <v>0</v>
      </c>
      <c r="R546" s="9">
        <f t="shared" si="64"/>
        <v>0.2</v>
      </c>
      <c r="S546">
        <f t="shared" si="65"/>
        <v>8091.3</v>
      </c>
      <c r="T546">
        <f t="shared" si="66"/>
        <v>1618.26</v>
      </c>
      <c r="U546">
        <f t="shared" si="67"/>
        <v>8</v>
      </c>
      <c r="V546" t="str">
        <f t="shared" si="68"/>
        <v>Q3</v>
      </c>
      <c r="W546" t="str">
        <f t="shared" si="69"/>
        <v>Aug-2024</v>
      </c>
      <c r="X546">
        <f t="shared" si="70"/>
        <v>12136.95</v>
      </c>
      <c r="Y546" s="5">
        <f t="shared" si="71"/>
        <v>28319.55</v>
      </c>
      <c r="Z546" s="21">
        <f>DATE(K546,MATCH(J546,{"January","February","March","April","May","June","July","August","September","October","November","December"},0),1)</f>
        <v>45505</v>
      </c>
    </row>
    <row r="547" spans="1:26" x14ac:dyDescent="0.3">
      <c r="A547" s="4" t="s">
        <v>615</v>
      </c>
      <c r="B547" s="4" t="s">
        <v>84</v>
      </c>
      <c r="C547" s="4" t="s">
        <v>40</v>
      </c>
      <c r="D547" s="5">
        <v>43217.1</v>
      </c>
      <c r="E547" s="6">
        <v>5</v>
      </c>
      <c r="F547" s="5">
        <v>216085.5</v>
      </c>
      <c r="G547" s="1">
        <v>45644</v>
      </c>
      <c r="H547" t="s">
        <v>18</v>
      </c>
      <c r="I547">
        <v>2.6</v>
      </c>
      <c r="J547" t="s">
        <v>26</v>
      </c>
      <c r="K547">
        <v>2024</v>
      </c>
      <c r="L547">
        <v>43217.100000000006</v>
      </c>
      <c r="M547">
        <v>5</v>
      </c>
      <c r="N547" t="s">
        <v>41</v>
      </c>
      <c r="O547" t="s">
        <v>21</v>
      </c>
      <c r="P547">
        <f>FlipkartSales[[#This Row],[Price (INR)]]*FlipkartSales[[#This Row],[Quantity Sold]]</f>
        <v>216085.5</v>
      </c>
      <c r="Q547">
        <f>FlipkartSales[[#This Row],[Total Sales (INR)]]-FlipkartSales[[#This Row],[Calculated Sales]]</f>
        <v>0</v>
      </c>
      <c r="R547" s="9">
        <f t="shared" si="64"/>
        <v>0.20000000000000004</v>
      </c>
      <c r="S547">
        <f t="shared" si="65"/>
        <v>43217.1</v>
      </c>
      <c r="T547">
        <f t="shared" si="66"/>
        <v>8643.4200000000019</v>
      </c>
      <c r="U547">
        <f t="shared" si="67"/>
        <v>12</v>
      </c>
      <c r="V547" t="str">
        <f t="shared" si="68"/>
        <v>Q4</v>
      </c>
      <c r="W547" t="str">
        <f t="shared" si="69"/>
        <v>Dec-2024</v>
      </c>
      <c r="X547">
        <f t="shared" si="70"/>
        <v>10804.275</v>
      </c>
      <c r="Y547" s="5">
        <f t="shared" si="71"/>
        <v>205281.22500000001</v>
      </c>
      <c r="Z547" s="21">
        <f>DATE(K547,MATCH(J547,{"January","February","March","April","May","June","July","August","September","October","November","December"},0),1)</f>
        <v>45627</v>
      </c>
    </row>
    <row r="548" spans="1:26" x14ac:dyDescent="0.3">
      <c r="A548" s="4" t="s">
        <v>616</v>
      </c>
      <c r="B548" s="4" t="s">
        <v>52</v>
      </c>
      <c r="C548" s="4" t="s">
        <v>24</v>
      </c>
      <c r="D548" s="5">
        <v>35592.76</v>
      </c>
      <c r="E548" s="6">
        <v>2</v>
      </c>
      <c r="F548" s="5">
        <v>71185.52</v>
      </c>
      <c r="G548" s="1">
        <v>45418</v>
      </c>
      <c r="H548" t="s">
        <v>18</v>
      </c>
      <c r="I548">
        <v>4.5999999999999996</v>
      </c>
      <c r="J548" t="s">
        <v>32</v>
      </c>
      <c r="K548">
        <v>2024</v>
      </c>
      <c r="L548">
        <v>14237.104000000001</v>
      </c>
      <c r="M548">
        <v>28</v>
      </c>
      <c r="N548" t="s">
        <v>41</v>
      </c>
      <c r="O548" t="s">
        <v>33</v>
      </c>
      <c r="P548">
        <f>FlipkartSales[[#This Row],[Price (INR)]]*FlipkartSales[[#This Row],[Quantity Sold]]</f>
        <v>71185.52</v>
      </c>
      <c r="Q548">
        <f>FlipkartSales[[#This Row],[Total Sales (INR)]]-FlipkartSales[[#This Row],[Calculated Sales]]</f>
        <v>0</v>
      </c>
      <c r="R548" s="9">
        <f t="shared" si="64"/>
        <v>0.2</v>
      </c>
      <c r="S548">
        <f t="shared" si="65"/>
        <v>35592.76</v>
      </c>
      <c r="T548">
        <f t="shared" si="66"/>
        <v>7118.5520000000006</v>
      </c>
      <c r="U548">
        <f t="shared" si="67"/>
        <v>5</v>
      </c>
      <c r="V548" t="str">
        <f t="shared" si="68"/>
        <v>Q2</v>
      </c>
      <c r="W548" t="str">
        <f t="shared" si="69"/>
        <v>May-2024</v>
      </c>
      <c r="X548">
        <f t="shared" si="70"/>
        <v>19931.945599999999</v>
      </c>
      <c r="Y548" s="5">
        <f t="shared" si="71"/>
        <v>51253.574400000005</v>
      </c>
      <c r="Z548" s="21">
        <f>DATE(K548,MATCH(J548,{"January","February","March","April","May","June","July","August","September","October","November","December"},0),1)</f>
        <v>45413</v>
      </c>
    </row>
    <row r="549" spans="1:26" x14ac:dyDescent="0.3">
      <c r="A549" s="4" t="s">
        <v>617</v>
      </c>
      <c r="B549" s="4" t="s">
        <v>94</v>
      </c>
      <c r="C549" s="4" t="s">
        <v>31</v>
      </c>
      <c r="D549" s="5">
        <v>9534.89</v>
      </c>
      <c r="E549" s="6">
        <v>5</v>
      </c>
      <c r="F549" s="5">
        <v>47674.45</v>
      </c>
      <c r="G549" s="1">
        <v>45487</v>
      </c>
      <c r="H549" t="s">
        <v>80</v>
      </c>
      <c r="I549">
        <v>4.2</v>
      </c>
      <c r="J549" t="s">
        <v>48</v>
      </c>
      <c r="K549">
        <v>2024</v>
      </c>
      <c r="L549">
        <v>9534.89</v>
      </c>
      <c r="M549">
        <v>9</v>
      </c>
      <c r="N549" t="s">
        <v>41</v>
      </c>
      <c r="O549" t="s">
        <v>28</v>
      </c>
      <c r="P549">
        <f>FlipkartSales[[#This Row],[Price (INR)]]*FlipkartSales[[#This Row],[Quantity Sold]]</f>
        <v>47674.45</v>
      </c>
      <c r="Q549">
        <f>FlipkartSales[[#This Row],[Total Sales (INR)]]-FlipkartSales[[#This Row],[Calculated Sales]]</f>
        <v>0</v>
      </c>
      <c r="R549" s="9">
        <f t="shared" si="64"/>
        <v>0.2</v>
      </c>
      <c r="S549">
        <f t="shared" si="65"/>
        <v>9534.89</v>
      </c>
      <c r="T549">
        <f t="shared" si="66"/>
        <v>1906.9779999999998</v>
      </c>
      <c r="U549">
        <f t="shared" si="67"/>
        <v>7</v>
      </c>
      <c r="V549" t="str">
        <f t="shared" si="68"/>
        <v>Q3</v>
      </c>
      <c r="W549" t="str">
        <f t="shared" si="69"/>
        <v>Jul-2024</v>
      </c>
      <c r="X549">
        <f t="shared" si="70"/>
        <v>4290.7004999999999</v>
      </c>
      <c r="Y549" s="5">
        <f t="shared" si="71"/>
        <v>43383.749499999998</v>
      </c>
      <c r="Z549" s="21">
        <f>DATE(K549,MATCH(J549,{"January","February","March","April","May","June","July","August","September","October","November","December"},0),1)</f>
        <v>45474</v>
      </c>
    </row>
    <row r="550" spans="1:26" x14ac:dyDescent="0.3">
      <c r="A550" s="4" t="s">
        <v>618</v>
      </c>
      <c r="B550" s="4" t="s">
        <v>100</v>
      </c>
      <c r="C550" s="4" t="s">
        <v>31</v>
      </c>
      <c r="D550" s="5">
        <v>46990.87</v>
      </c>
      <c r="E550" s="6">
        <v>4</v>
      </c>
      <c r="F550" s="5">
        <v>187963.48</v>
      </c>
      <c r="G550" s="1">
        <v>45384</v>
      </c>
      <c r="H550" t="s">
        <v>64</v>
      </c>
      <c r="I550">
        <v>1.7</v>
      </c>
      <c r="J550" t="s">
        <v>62</v>
      </c>
      <c r="K550">
        <v>2024</v>
      </c>
      <c r="L550">
        <v>37592.696000000004</v>
      </c>
      <c r="M550">
        <v>17</v>
      </c>
      <c r="N550" t="s">
        <v>41</v>
      </c>
      <c r="O550" t="s">
        <v>28</v>
      </c>
      <c r="P550">
        <f>FlipkartSales[[#This Row],[Price (INR)]]*FlipkartSales[[#This Row],[Quantity Sold]]</f>
        <v>187963.48</v>
      </c>
      <c r="Q550">
        <f>FlipkartSales[[#This Row],[Total Sales (INR)]]-FlipkartSales[[#This Row],[Calculated Sales]]</f>
        <v>0</v>
      </c>
      <c r="R550" s="9">
        <f t="shared" si="64"/>
        <v>0.2</v>
      </c>
      <c r="S550">
        <f t="shared" si="65"/>
        <v>46990.87</v>
      </c>
      <c r="T550">
        <f t="shared" si="66"/>
        <v>9398.1740000000009</v>
      </c>
      <c r="U550">
        <f t="shared" si="67"/>
        <v>4</v>
      </c>
      <c r="V550" t="str">
        <f t="shared" si="68"/>
        <v>Q2</v>
      </c>
      <c r="W550" t="str">
        <f t="shared" si="69"/>
        <v>Apr-2024</v>
      </c>
      <c r="X550">
        <f t="shared" si="70"/>
        <v>31953.7916</v>
      </c>
      <c r="Y550" s="5">
        <f t="shared" si="71"/>
        <v>156009.68840000001</v>
      </c>
      <c r="Z550" s="21">
        <f>DATE(K550,MATCH(J550,{"January","February","March","April","May","June","July","August","September","October","November","December"},0),1)</f>
        <v>45383</v>
      </c>
    </row>
    <row r="551" spans="1:26" x14ac:dyDescent="0.3">
      <c r="A551" s="4" t="s">
        <v>619</v>
      </c>
      <c r="B551" s="4" t="s">
        <v>50</v>
      </c>
      <c r="C551" s="4" t="s">
        <v>40</v>
      </c>
      <c r="D551" s="5">
        <v>31137.03</v>
      </c>
      <c r="E551" s="6">
        <v>5</v>
      </c>
      <c r="F551" s="5">
        <v>155685.15</v>
      </c>
      <c r="G551" s="1">
        <v>45655</v>
      </c>
      <c r="H551" t="s">
        <v>71</v>
      </c>
      <c r="I551">
        <v>2.6</v>
      </c>
      <c r="J551" t="s">
        <v>26</v>
      </c>
      <c r="K551">
        <v>2024</v>
      </c>
      <c r="L551">
        <v>31137.03</v>
      </c>
      <c r="M551">
        <v>8</v>
      </c>
      <c r="N551" t="s">
        <v>41</v>
      </c>
      <c r="O551" t="s">
        <v>33</v>
      </c>
      <c r="P551">
        <f>FlipkartSales[[#This Row],[Price (INR)]]*FlipkartSales[[#This Row],[Quantity Sold]]</f>
        <v>155685.15</v>
      </c>
      <c r="Q551">
        <f>FlipkartSales[[#This Row],[Total Sales (INR)]]-FlipkartSales[[#This Row],[Calculated Sales]]</f>
        <v>0</v>
      </c>
      <c r="R551" s="9">
        <f t="shared" si="64"/>
        <v>0.2</v>
      </c>
      <c r="S551">
        <f t="shared" si="65"/>
        <v>31137.03</v>
      </c>
      <c r="T551">
        <f t="shared" si="66"/>
        <v>6227.4059999999999</v>
      </c>
      <c r="U551">
        <f t="shared" si="67"/>
        <v>12</v>
      </c>
      <c r="V551" t="str">
        <f t="shared" si="68"/>
        <v>Q4</v>
      </c>
      <c r="W551" t="str">
        <f t="shared" si="69"/>
        <v>Dec-2024</v>
      </c>
      <c r="X551">
        <f t="shared" si="70"/>
        <v>12454.812</v>
      </c>
      <c r="Y551" s="5">
        <f t="shared" si="71"/>
        <v>143230.33799999999</v>
      </c>
      <c r="Z551" s="21">
        <f>DATE(K551,MATCH(J551,{"January","February","March","April","May","June","July","August","September","October","November","December"},0),1)</f>
        <v>45627</v>
      </c>
    </row>
    <row r="552" spans="1:26" x14ac:dyDescent="0.3">
      <c r="A552" s="4" t="s">
        <v>620</v>
      </c>
      <c r="B552" s="4" t="s">
        <v>96</v>
      </c>
      <c r="C552" s="4" t="s">
        <v>36</v>
      </c>
      <c r="D552" s="5">
        <v>35821.160000000003</v>
      </c>
      <c r="E552" s="6">
        <v>4</v>
      </c>
      <c r="F552" s="5">
        <v>143284.64000000001</v>
      </c>
      <c r="G552" s="1">
        <v>45695</v>
      </c>
      <c r="H552" t="s">
        <v>18</v>
      </c>
      <c r="I552">
        <v>2.1</v>
      </c>
      <c r="J552" t="s">
        <v>59</v>
      </c>
      <c r="K552">
        <v>2025</v>
      </c>
      <c r="L552">
        <v>28656.928000000004</v>
      </c>
      <c r="M552">
        <v>20</v>
      </c>
      <c r="N552" t="s">
        <v>41</v>
      </c>
      <c r="O552" t="s">
        <v>21</v>
      </c>
      <c r="P552">
        <f>FlipkartSales[[#This Row],[Price (INR)]]*FlipkartSales[[#This Row],[Quantity Sold]]</f>
        <v>143284.64000000001</v>
      </c>
      <c r="Q552">
        <f>FlipkartSales[[#This Row],[Total Sales (INR)]]-FlipkartSales[[#This Row],[Calculated Sales]]</f>
        <v>0</v>
      </c>
      <c r="R552" s="9">
        <f t="shared" si="64"/>
        <v>0.2</v>
      </c>
      <c r="S552">
        <f t="shared" si="65"/>
        <v>35821.160000000003</v>
      </c>
      <c r="T552">
        <f t="shared" si="66"/>
        <v>7164.2320000000009</v>
      </c>
      <c r="U552">
        <f t="shared" si="67"/>
        <v>2</v>
      </c>
      <c r="V552" t="str">
        <f t="shared" si="68"/>
        <v>Q1</v>
      </c>
      <c r="W552" t="str">
        <f t="shared" si="69"/>
        <v>Feb-2025</v>
      </c>
      <c r="X552">
        <f t="shared" si="70"/>
        <v>28656.928000000004</v>
      </c>
      <c r="Y552" s="5">
        <f t="shared" si="71"/>
        <v>114627.71200000001</v>
      </c>
      <c r="Z552" s="21">
        <f>DATE(K552,MATCH(J552,{"January","February","March","April","May","June","July","August","September","October","November","December"},0),1)</f>
        <v>45689</v>
      </c>
    </row>
    <row r="553" spans="1:26" x14ac:dyDescent="0.3">
      <c r="A553" s="4" t="s">
        <v>621</v>
      </c>
      <c r="B553" s="4" t="s">
        <v>100</v>
      </c>
      <c r="C553" s="4" t="s">
        <v>31</v>
      </c>
      <c r="D553" s="5">
        <v>28156.95</v>
      </c>
      <c r="E553" s="6">
        <v>5</v>
      </c>
      <c r="F553" s="5">
        <v>140784.75</v>
      </c>
      <c r="G553" s="1">
        <v>45418</v>
      </c>
      <c r="H553" t="s">
        <v>25</v>
      </c>
      <c r="I553">
        <v>2.7</v>
      </c>
      <c r="J553" t="s">
        <v>32</v>
      </c>
      <c r="K553">
        <v>2024</v>
      </c>
      <c r="L553">
        <v>28156.95</v>
      </c>
      <c r="M553">
        <v>28</v>
      </c>
      <c r="N553" t="s">
        <v>20</v>
      </c>
      <c r="O553" t="s">
        <v>21</v>
      </c>
      <c r="P553">
        <f>FlipkartSales[[#This Row],[Price (INR)]]*FlipkartSales[[#This Row],[Quantity Sold]]</f>
        <v>140784.75</v>
      </c>
      <c r="Q553">
        <f>FlipkartSales[[#This Row],[Total Sales (INR)]]-FlipkartSales[[#This Row],[Calculated Sales]]</f>
        <v>0</v>
      </c>
      <c r="R553" s="9">
        <f t="shared" si="64"/>
        <v>0.2</v>
      </c>
      <c r="S553">
        <f t="shared" si="65"/>
        <v>28156.95</v>
      </c>
      <c r="T553">
        <f t="shared" si="66"/>
        <v>5631.39</v>
      </c>
      <c r="U553">
        <f t="shared" si="67"/>
        <v>5</v>
      </c>
      <c r="V553" t="str">
        <f t="shared" si="68"/>
        <v>Q2</v>
      </c>
      <c r="W553" t="str">
        <f t="shared" si="69"/>
        <v>May-2024</v>
      </c>
      <c r="X553">
        <f t="shared" si="70"/>
        <v>39419.730000000003</v>
      </c>
      <c r="Y553" s="5">
        <f t="shared" si="71"/>
        <v>101365.01999999999</v>
      </c>
      <c r="Z553" s="21">
        <f>DATE(K553,MATCH(J553,{"January","February","March","April","May","June","July","August","September","October","November","December"},0),1)</f>
        <v>45413</v>
      </c>
    </row>
    <row r="554" spans="1:26" x14ac:dyDescent="0.3">
      <c r="A554" s="4" t="s">
        <v>622</v>
      </c>
      <c r="B554" s="4" t="s">
        <v>61</v>
      </c>
      <c r="C554" s="4" t="s">
        <v>31</v>
      </c>
      <c r="D554" s="5">
        <v>9335.19</v>
      </c>
      <c r="E554" s="6">
        <v>2</v>
      </c>
      <c r="F554" s="5">
        <v>18670.38</v>
      </c>
      <c r="G554" s="1">
        <v>45624</v>
      </c>
      <c r="H554" t="s">
        <v>64</v>
      </c>
      <c r="I554">
        <v>3.9</v>
      </c>
      <c r="J554" t="s">
        <v>37</v>
      </c>
      <c r="K554">
        <v>2024</v>
      </c>
      <c r="L554">
        <v>3734.0760000000005</v>
      </c>
      <c r="M554">
        <v>20</v>
      </c>
      <c r="N554" t="s">
        <v>27</v>
      </c>
      <c r="O554" t="s">
        <v>21</v>
      </c>
      <c r="P554">
        <f>FlipkartSales[[#This Row],[Price (INR)]]*FlipkartSales[[#This Row],[Quantity Sold]]</f>
        <v>18670.38</v>
      </c>
      <c r="Q554">
        <f>FlipkartSales[[#This Row],[Total Sales (INR)]]-FlipkartSales[[#This Row],[Calculated Sales]]</f>
        <v>0</v>
      </c>
      <c r="R554" s="9">
        <f t="shared" si="64"/>
        <v>0.2</v>
      </c>
      <c r="S554">
        <f t="shared" si="65"/>
        <v>9335.19</v>
      </c>
      <c r="T554">
        <f t="shared" si="66"/>
        <v>1867.0380000000002</v>
      </c>
      <c r="U554">
        <f t="shared" si="67"/>
        <v>11</v>
      </c>
      <c r="V554" t="str">
        <f t="shared" si="68"/>
        <v>Q4</v>
      </c>
      <c r="W554" t="str">
        <f t="shared" si="69"/>
        <v>Nov-2024</v>
      </c>
      <c r="X554">
        <f t="shared" si="70"/>
        <v>3734.0760000000005</v>
      </c>
      <c r="Y554" s="5">
        <f t="shared" si="71"/>
        <v>14936.304</v>
      </c>
      <c r="Z554" s="21">
        <f>DATE(K554,MATCH(J554,{"January","February","March","April","May","June","July","August","September","October","November","December"},0),1)</f>
        <v>45597</v>
      </c>
    </row>
    <row r="555" spans="1:26" x14ac:dyDescent="0.3">
      <c r="A555" s="4" t="s">
        <v>623</v>
      </c>
      <c r="B555" s="4" t="s">
        <v>78</v>
      </c>
      <c r="C555" s="4" t="s">
        <v>24</v>
      </c>
      <c r="D555" s="5">
        <v>25114.77</v>
      </c>
      <c r="E555" s="6">
        <v>2</v>
      </c>
      <c r="F555" s="5">
        <v>50229.54</v>
      </c>
      <c r="G555" s="1">
        <v>45511</v>
      </c>
      <c r="H555" t="s">
        <v>64</v>
      </c>
      <c r="I555">
        <v>3.6</v>
      </c>
      <c r="J555" t="s">
        <v>88</v>
      </c>
      <c r="K555">
        <v>2024</v>
      </c>
      <c r="L555">
        <v>10045.908000000001</v>
      </c>
      <c r="M555">
        <v>27</v>
      </c>
      <c r="N555" t="s">
        <v>41</v>
      </c>
      <c r="O555" t="s">
        <v>28</v>
      </c>
      <c r="P555">
        <f>FlipkartSales[[#This Row],[Price (INR)]]*FlipkartSales[[#This Row],[Quantity Sold]]</f>
        <v>50229.54</v>
      </c>
      <c r="Q555">
        <f>FlipkartSales[[#This Row],[Total Sales (INR)]]-FlipkartSales[[#This Row],[Calculated Sales]]</f>
        <v>0</v>
      </c>
      <c r="R555" s="9">
        <f t="shared" si="64"/>
        <v>0.2</v>
      </c>
      <c r="S555">
        <f t="shared" si="65"/>
        <v>25114.77</v>
      </c>
      <c r="T555">
        <f t="shared" si="66"/>
        <v>5022.9540000000006</v>
      </c>
      <c r="U555">
        <f t="shared" si="67"/>
        <v>8</v>
      </c>
      <c r="V555" t="str">
        <f t="shared" si="68"/>
        <v>Q3</v>
      </c>
      <c r="W555" t="str">
        <f t="shared" si="69"/>
        <v>Aug-2024</v>
      </c>
      <c r="X555">
        <f t="shared" si="70"/>
        <v>13561.9758</v>
      </c>
      <c r="Y555" s="5">
        <f t="shared" si="71"/>
        <v>36667.564200000001</v>
      </c>
      <c r="Z555" s="21">
        <f>DATE(K555,MATCH(J555,{"January","February","March","April","May","June","July","August","September","October","November","December"},0),1)</f>
        <v>45505</v>
      </c>
    </row>
    <row r="556" spans="1:26" x14ac:dyDescent="0.3">
      <c r="A556" s="4" t="s">
        <v>624</v>
      </c>
      <c r="B556" s="4" t="s">
        <v>61</v>
      </c>
      <c r="C556" s="4" t="s">
        <v>31</v>
      </c>
      <c r="D556" s="5">
        <v>19961.03</v>
      </c>
      <c r="E556" s="6">
        <v>3</v>
      </c>
      <c r="F556" s="5">
        <v>59883.09</v>
      </c>
      <c r="G556" s="1">
        <v>45624</v>
      </c>
      <c r="H556" t="s">
        <v>71</v>
      </c>
      <c r="I556">
        <v>2.9</v>
      </c>
      <c r="J556" t="s">
        <v>37</v>
      </c>
      <c r="K556">
        <v>2024</v>
      </c>
      <c r="L556">
        <v>11976.618</v>
      </c>
      <c r="M556">
        <v>6</v>
      </c>
      <c r="N556" t="s">
        <v>20</v>
      </c>
      <c r="O556" t="s">
        <v>33</v>
      </c>
      <c r="P556">
        <f>FlipkartSales[[#This Row],[Price (INR)]]*FlipkartSales[[#This Row],[Quantity Sold]]</f>
        <v>59883.09</v>
      </c>
      <c r="Q556">
        <f>FlipkartSales[[#This Row],[Total Sales (INR)]]-FlipkartSales[[#This Row],[Calculated Sales]]</f>
        <v>0</v>
      </c>
      <c r="R556" s="9">
        <f t="shared" si="64"/>
        <v>0.2</v>
      </c>
      <c r="S556">
        <f t="shared" si="65"/>
        <v>19961.03</v>
      </c>
      <c r="T556">
        <f t="shared" si="66"/>
        <v>3992.2060000000001</v>
      </c>
      <c r="U556">
        <f t="shared" si="67"/>
        <v>11</v>
      </c>
      <c r="V556" t="str">
        <f t="shared" si="68"/>
        <v>Q4</v>
      </c>
      <c r="W556" t="str">
        <f t="shared" si="69"/>
        <v>Nov-2024</v>
      </c>
      <c r="X556">
        <f t="shared" si="70"/>
        <v>3592.9853999999996</v>
      </c>
      <c r="Y556" s="5">
        <f t="shared" si="71"/>
        <v>56290.104599999999</v>
      </c>
      <c r="Z556" s="21">
        <f>DATE(K556,MATCH(J556,{"January","February","March","April","May","June","July","August","September","October","November","December"},0),1)</f>
        <v>45597</v>
      </c>
    </row>
    <row r="557" spans="1:26" x14ac:dyDescent="0.3">
      <c r="A557" s="4" t="s">
        <v>625</v>
      </c>
      <c r="B557" s="4" t="s">
        <v>96</v>
      </c>
      <c r="C557" s="4" t="s">
        <v>36</v>
      </c>
      <c r="D557" s="5">
        <v>38488.04</v>
      </c>
      <c r="E557" s="6">
        <v>2</v>
      </c>
      <c r="F557" s="5">
        <v>76976.08</v>
      </c>
      <c r="G557" s="1">
        <v>45508</v>
      </c>
      <c r="H557" t="s">
        <v>25</v>
      </c>
      <c r="I557">
        <v>1.1000000000000001</v>
      </c>
      <c r="J557" t="s">
        <v>88</v>
      </c>
      <c r="K557">
        <v>2024</v>
      </c>
      <c r="L557">
        <v>15395.216</v>
      </c>
      <c r="M557">
        <v>21</v>
      </c>
      <c r="N557" t="s">
        <v>20</v>
      </c>
      <c r="O557" t="s">
        <v>68</v>
      </c>
      <c r="P557">
        <f>FlipkartSales[[#This Row],[Price (INR)]]*FlipkartSales[[#This Row],[Quantity Sold]]</f>
        <v>76976.08</v>
      </c>
      <c r="Q557">
        <f>FlipkartSales[[#This Row],[Total Sales (INR)]]-FlipkartSales[[#This Row],[Calculated Sales]]</f>
        <v>0</v>
      </c>
      <c r="R557" s="9">
        <f t="shared" si="64"/>
        <v>0.2</v>
      </c>
      <c r="S557">
        <f t="shared" si="65"/>
        <v>38488.04</v>
      </c>
      <c r="T557">
        <f t="shared" si="66"/>
        <v>7697.6080000000002</v>
      </c>
      <c r="U557">
        <f t="shared" si="67"/>
        <v>8</v>
      </c>
      <c r="V557" t="str">
        <f t="shared" si="68"/>
        <v>Q3</v>
      </c>
      <c r="W557" t="str">
        <f t="shared" si="69"/>
        <v>Aug-2024</v>
      </c>
      <c r="X557">
        <f t="shared" si="70"/>
        <v>16164.976799999999</v>
      </c>
      <c r="Y557" s="5">
        <f t="shared" si="71"/>
        <v>60811.103200000005</v>
      </c>
      <c r="Z557" s="21">
        <f>DATE(K557,MATCH(J557,{"January","February","March","April","May","June","July","August","September","October","November","December"},0),1)</f>
        <v>45505</v>
      </c>
    </row>
    <row r="558" spans="1:26" x14ac:dyDescent="0.3">
      <c r="A558" s="4" t="s">
        <v>626</v>
      </c>
      <c r="B558" s="4" t="s">
        <v>58</v>
      </c>
      <c r="C558" s="4" t="s">
        <v>31</v>
      </c>
      <c r="D558" s="5">
        <v>20202.560000000001</v>
      </c>
      <c r="E558" s="6">
        <v>5</v>
      </c>
      <c r="F558" s="5">
        <v>101012.8</v>
      </c>
      <c r="G558" s="1">
        <v>45429</v>
      </c>
      <c r="H558" t="s">
        <v>71</v>
      </c>
      <c r="I558">
        <v>3.6</v>
      </c>
      <c r="J558" t="s">
        <v>32</v>
      </c>
      <c r="K558">
        <v>2024</v>
      </c>
      <c r="L558">
        <v>20202.560000000001</v>
      </c>
      <c r="M558">
        <v>24</v>
      </c>
      <c r="N558" t="s">
        <v>20</v>
      </c>
      <c r="O558" t="s">
        <v>28</v>
      </c>
      <c r="P558">
        <f>FlipkartSales[[#This Row],[Price (INR)]]*FlipkartSales[[#This Row],[Quantity Sold]]</f>
        <v>101012.8</v>
      </c>
      <c r="Q558">
        <f>FlipkartSales[[#This Row],[Total Sales (INR)]]-FlipkartSales[[#This Row],[Calculated Sales]]</f>
        <v>0</v>
      </c>
      <c r="R558" s="9">
        <f t="shared" si="64"/>
        <v>0.2</v>
      </c>
      <c r="S558">
        <f t="shared" si="65"/>
        <v>20202.560000000001</v>
      </c>
      <c r="T558">
        <f t="shared" si="66"/>
        <v>4040.5120000000002</v>
      </c>
      <c r="U558">
        <f t="shared" si="67"/>
        <v>5</v>
      </c>
      <c r="V558" t="str">
        <f t="shared" si="68"/>
        <v>Q2</v>
      </c>
      <c r="W558" t="str">
        <f t="shared" si="69"/>
        <v>May-2024</v>
      </c>
      <c r="X558">
        <f t="shared" si="70"/>
        <v>24243.072</v>
      </c>
      <c r="Y558" s="5">
        <f t="shared" si="71"/>
        <v>76769.728000000003</v>
      </c>
      <c r="Z558" s="21">
        <f>DATE(K558,MATCH(J558,{"January","February","March","April","May","June","July","August","September","October","November","December"},0),1)</f>
        <v>45413</v>
      </c>
    </row>
    <row r="559" spans="1:26" x14ac:dyDescent="0.3">
      <c r="A559" s="4" t="s">
        <v>627</v>
      </c>
      <c r="B559" s="4" t="s">
        <v>107</v>
      </c>
      <c r="C559" s="4" t="s">
        <v>36</v>
      </c>
      <c r="D559" s="5">
        <v>39008.370000000003</v>
      </c>
      <c r="E559" s="6">
        <v>3</v>
      </c>
      <c r="F559" s="5">
        <v>117025.11</v>
      </c>
      <c r="G559" s="1">
        <v>45556</v>
      </c>
      <c r="H559" t="s">
        <v>80</v>
      </c>
      <c r="I559">
        <v>2.2000000000000002</v>
      </c>
      <c r="J559" t="s">
        <v>19</v>
      </c>
      <c r="K559">
        <v>2024</v>
      </c>
      <c r="L559">
        <v>23405.022000000001</v>
      </c>
      <c r="M559">
        <v>28</v>
      </c>
      <c r="N559" t="s">
        <v>27</v>
      </c>
      <c r="O559" t="s">
        <v>21</v>
      </c>
      <c r="P559">
        <f>FlipkartSales[[#This Row],[Price (INR)]]*FlipkartSales[[#This Row],[Quantity Sold]]</f>
        <v>117025.11000000002</v>
      </c>
      <c r="Q559">
        <f>FlipkartSales[[#This Row],[Total Sales (INR)]]-FlipkartSales[[#This Row],[Calculated Sales]]</f>
        <v>0</v>
      </c>
      <c r="R559" s="9">
        <f t="shared" si="64"/>
        <v>0.2</v>
      </c>
      <c r="S559">
        <f t="shared" si="65"/>
        <v>39008.370000000003</v>
      </c>
      <c r="T559">
        <f t="shared" si="66"/>
        <v>7801.674</v>
      </c>
      <c r="U559">
        <f t="shared" si="67"/>
        <v>9</v>
      </c>
      <c r="V559" t="str">
        <f t="shared" si="68"/>
        <v>Q3</v>
      </c>
      <c r="W559" t="str">
        <f t="shared" si="69"/>
        <v>Sep-2024</v>
      </c>
      <c r="X559">
        <f t="shared" si="70"/>
        <v>32767.0308</v>
      </c>
      <c r="Y559" s="5">
        <f t="shared" si="71"/>
        <v>84258.079200000007</v>
      </c>
      <c r="Z559" s="21">
        <f>DATE(K559,MATCH(J559,{"January","February","March","April","May","June","July","August","September","October","November","December"},0),1)</f>
        <v>45536</v>
      </c>
    </row>
    <row r="560" spans="1:26" x14ac:dyDescent="0.3">
      <c r="A560" s="4" t="s">
        <v>628</v>
      </c>
      <c r="B560" s="4" t="s">
        <v>58</v>
      </c>
      <c r="C560" s="4" t="s">
        <v>31</v>
      </c>
      <c r="D560" s="5">
        <v>9946.27</v>
      </c>
      <c r="E560" s="6">
        <v>1</v>
      </c>
      <c r="F560" s="5">
        <v>9946.27</v>
      </c>
      <c r="G560" s="1">
        <v>45645</v>
      </c>
      <c r="H560" t="s">
        <v>71</v>
      </c>
      <c r="I560">
        <v>1.1000000000000001</v>
      </c>
      <c r="J560" t="s">
        <v>26</v>
      </c>
      <c r="K560">
        <v>2024</v>
      </c>
      <c r="L560">
        <v>1989.2540000000001</v>
      </c>
      <c r="M560">
        <v>16</v>
      </c>
      <c r="N560" t="s">
        <v>41</v>
      </c>
      <c r="O560" t="s">
        <v>33</v>
      </c>
      <c r="P560">
        <f>FlipkartSales[[#This Row],[Price (INR)]]*FlipkartSales[[#This Row],[Quantity Sold]]</f>
        <v>9946.27</v>
      </c>
      <c r="Q560">
        <f>FlipkartSales[[#This Row],[Total Sales (INR)]]-FlipkartSales[[#This Row],[Calculated Sales]]</f>
        <v>0</v>
      </c>
      <c r="R560" s="9">
        <f t="shared" si="64"/>
        <v>0.2</v>
      </c>
      <c r="S560">
        <f t="shared" si="65"/>
        <v>9946.27</v>
      </c>
      <c r="T560">
        <f t="shared" si="66"/>
        <v>1989.2540000000001</v>
      </c>
      <c r="U560">
        <f t="shared" si="67"/>
        <v>12</v>
      </c>
      <c r="V560" t="str">
        <f t="shared" si="68"/>
        <v>Q4</v>
      </c>
      <c r="W560" t="str">
        <f t="shared" si="69"/>
        <v>Dec-2024</v>
      </c>
      <c r="X560">
        <f t="shared" si="70"/>
        <v>1591.4032</v>
      </c>
      <c r="Y560" s="5">
        <f t="shared" si="71"/>
        <v>8354.8667999999998</v>
      </c>
      <c r="Z560" s="21">
        <f>DATE(K560,MATCH(J560,{"January","February","March","April","May","June","July","August","September","October","November","December"},0),1)</f>
        <v>45627</v>
      </c>
    </row>
    <row r="561" spans="1:26" x14ac:dyDescent="0.3">
      <c r="A561" s="4" t="s">
        <v>629</v>
      </c>
      <c r="B561" s="4" t="s">
        <v>78</v>
      </c>
      <c r="C561" s="4" t="s">
        <v>24</v>
      </c>
      <c r="D561" s="5">
        <v>7994.76</v>
      </c>
      <c r="E561" s="6">
        <v>5</v>
      </c>
      <c r="F561" s="5">
        <v>39973.800000000003</v>
      </c>
      <c r="G561" s="1">
        <v>45558</v>
      </c>
      <c r="H561" t="s">
        <v>18</v>
      </c>
      <c r="I561">
        <v>1.5</v>
      </c>
      <c r="J561" t="s">
        <v>19</v>
      </c>
      <c r="K561">
        <v>2024</v>
      </c>
      <c r="L561">
        <v>7994.7600000000011</v>
      </c>
      <c r="M561">
        <v>22</v>
      </c>
      <c r="N561" t="s">
        <v>20</v>
      </c>
      <c r="O561" t="s">
        <v>21</v>
      </c>
      <c r="P561">
        <f>FlipkartSales[[#This Row],[Price (INR)]]*FlipkartSales[[#This Row],[Quantity Sold]]</f>
        <v>39973.800000000003</v>
      </c>
      <c r="Q561">
        <f>FlipkartSales[[#This Row],[Total Sales (INR)]]-FlipkartSales[[#This Row],[Calculated Sales]]</f>
        <v>0</v>
      </c>
      <c r="R561" s="9">
        <f t="shared" si="64"/>
        <v>0.2</v>
      </c>
      <c r="S561">
        <f t="shared" si="65"/>
        <v>7994.76</v>
      </c>
      <c r="T561">
        <f t="shared" si="66"/>
        <v>1598.9520000000002</v>
      </c>
      <c r="U561">
        <f t="shared" si="67"/>
        <v>9</v>
      </c>
      <c r="V561" t="str">
        <f t="shared" si="68"/>
        <v>Q3</v>
      </c>
      <c r="W561" t="str">
        <f t="shared" si="69"/>
        <v>Sep-2024</v>
      </c>
      <c r="X561">
        <f t="shared" si="70"/>
        <v>8794.2360000000008</v>
      </c>
      <c r="Y561" s="5">
        <f t="shared" si="71"/>
        <v>31179.564000000002</v>
      </c>
      <c r="Z561" s="21">
        <f>DATE(K561,MATCH(J561,{"January","February","March","April","May","June","July","August","September","October","November","December"},0),1)</f>
        <v>45536</v>
      </c>
    </row>
    <row r="562" spans="1:26" x14ac:dyDescent="0.3">
      <c r="A562" s="4" t="s">
        <v>630</v>
      </c>
      <c r="B562" s="4" t="s">
        <v>39</v>
      </c>
      <c r="C562" s="4" t="s">
        <v>40</v>
      </c>
      <c r="D562" s="5">
        <v>6341.62</v>
      </c>
      <c r="E562" s="6">
        <v>3</v>
      </c>
      <c r="F562" s="5">
        <v>19024.86</v>
      </c>
      <c r="G562" s="1">
        <v>45632</v>
      </c>
      <c r="H562" t="s">
        <v>71</v>
      </c>
      <c r="I562">
        <v>4.4000000000000004</v>
      </c>
      <c r="J562" t="s">
        <v>26</v>
      </c>
      <c r="K562">
        <v>2024</v>
      </c>
      <c r="L562">
        <v>3804.9720000000002</v>
      </c>
      <c r="M562">
        <v>7</v>
      </c>
      <c r="N562" t="s">
        <v>27</v>
      </c>
      <c r="O562" t="s">
        <v>68</v>
      </c>
      <c r="P562">
        <f>FlipkartSales[[#This Row],[Price (INR)]]*FlipkartSales[[#This Row],[Quantity Sold]]</f>
        <v>19024.86</v>
      </c>
      <c r="Q562">
        <f>FlipkartSales[[#This Row],[Total Sales (INR)]]-FlipkartSales[[#This Row],[Calculated Sales]]</f>
        <v>0</v>
      </c>
      <c r="R562" s="9">
        <f t="shared" si="64"/>
        <v>0.2</v>
      </c>
      <c r="S562">
        <f t="shared" si="65"/>
        <v>6341.62</v>
      </c>
      <c r="T562">
        <f t="shared" si="66"/>
        <v>1268.3240000000001</v>
      </c>
      <c r="U562">
        <f t="shared" si="67"/>
        <v>12</v>
      </c>
      <c r="V562" t="str">
        <f t="shared" si="68"/>
        <v>Q4</v>
      </c>
      <c r="W562" t="str">
        <f t="shared" si="69"/>
        <v>Dec-2024</v>
      </c>
      <c r="X562">
        <f t="shared" si="70"/>
        <v>1331.7402000000002</v>
      </c>
      <c r="Y562" s="5">
        <f t="shared" si="71"/>
        <v>17693.1198</v>
      </c>
      <c r="Z562" s="21">
        <f>DATE(K562,MATCH(J562,{"January","February","March","April","May","June","July","August","September","October","November","December"},0),1)</f>
        <v>45627</v>
      </c>
    </row>
    <row r="563" spans="1:26" x14ac:dyDescent="0.3">
      <c r="A563" s="4" t="s">
        <v>631</v>
      </c>
      <c r="B563" s="4" t="s">
        <v>23</v>
      </c>
      <c r="C563" s="4" t="s">
        <v>24</v>
      </c>
      <c r="D563" s="5">
        <v>37503.57</v>
      </c>
      <c r="E563" s="6">
        <v>4</v>
      </c>
      <c r="F563" s="5">
        <v>150014.28</v>
      </c>
      <c r="G563" s="1">
        <v>45385</v>
      </c>
      <c r="H563" t="s">
        <v>64</v>
      </c>
      <c r="I563">
        <v>1.8</v>
      </c>
      <c r="J563" t="s">
        <v>62</v>
      </c>
      <c r="K563">
        <v>2024</v>
      </c>
      <c r="L563">
        <v>30002.856</v>
      </c>
      <c r="M563">
        <v>5</v>
      </c>
      <c r="N563" t="s">
        <v>27</v>
      </c>
      <c r="O563" t="s">
        <v>21</v>
      </c>
      <c r="P563">
        <f>FlipkartSales[[#This Row],[Price (INR)]]*FlipkartSales[[#This Row],[Quantity Sold]]</f>
        <v>150014.28</v>
      </c>
      <c r="Q563">
        <f>FlipkartSales[[#This Row],[Total Sales (INR)]]-FlipkartSales[[#This Row],[Calculated Sales]]</f>
        <v>0</v>
      </c>
      <c r="R563" s="9">
        <f t="shared" si="64"/>
        <v>0.2</v>
      </c>
      <c r="S563">
        <f t="shared" si="65"/>
        <v>37503.57</v>
      </c>
      <c r="T563">
        <f t="shared" si="66"/>
        <v>7500.7139999999999</v>
      </c>
      <c r="U563">
        <f t="shared" si="67"/>
        <v>4</v>
      </c>
      <c r="V563" t="str">
        <f t="shared" si="68"/>
        <v>Q2</v>
      </c>
      <c r="W563" t="str">
        <f t="shared" si="69"/>
        <v>Apr-2024</v>
      </c>
      <c r="X563">
        <f t="shared" si="70"/>
        <v>7500.7139999999999</v>
      </c>
      <c r="Y563" s="5">
        <f t="shared" si="71"/>
        <v>142513.56599999999</v>
      </c>
      <c r="Z563" s="21">
        <f>DATE(K563,MATCH(J563,{"January","February","March","April","May","June","July","August","September","October","November","December"},0),1)</f>
        <v>45383</v>
      </c>
    </row>
    <row r="564" spans="1:26" x14ac:dyDescent="0.3">
      <c r="A564" s="4" t="s">
        <v>632</v>
      </c>
      <c r="B564" s="4" t="s">
        <v>118</v>
      </c>
      <c r="C564" s="4" t="s">
        <v>17</v>
      </c>
      <c r="D564" s="5">
        <v>36760.35</v>
      </c>
      <c r="E564" s="6">
        <v>1</v>
      </c>
      <c r="F564" s="5">
        <v>36760.35</v>
      </c>
      <c r="G564" s="1">
        <v>45531</v>
      </c>
      <c r="H564" t="s">
        <v>71</v>
      </c>
      <c r="I564">
        <v>1.5</v>
      </c>
      <c r="J564" t="s">
        <v>88</v>
      </c>
      <c r="K564">
        <v>2024</v>
      </c>
      <c r="L564">
        <v>7352.07</v>
      </c>
      <c r="M564">
        <v>5</v>
      </c>
      <c r="N564" t="s">
        <v>27</v>
      </c>
      <c r="O564" t="s">
        <v>21</v>
      </c>
      <c r="P564">
        <f>FlipkartSales[[#This Row],[Price (INR)]]*FlipkartSales[[#This Row],[Quantity Sold]]</f>
        <v>36760.35</v>
      </c>
      <c r="Q564">
        <f>FlipkartSales[[#This Row],[Total Sales (INR)]]-FlipkartSales[[#This Row],[Calculated Sales]]</f>
        <v>0</v>
      </c>
      <c r="R564" s="9">
        <f t="shared" si="64"/>
        <v>0.2</v>
      </c>
      <c r="S564">
        <f t="shared" si="65"/>
        <v>36760.35</v>
      </c>
      <c r="T564">
        <f t="shared" si="66"/>
        <v>7352.07</v>
      </c>
      <c r="U564">
        <f t="shared" si="67"/>
        <v>8</v>
      </c>
      <c r="V564" t="str">
        <f t="shared" si="68"/>
        <v>Q3</v>
      </c>
      <c r="W564" t="str">
        <f t="shared" si="69"/>
        <v>Aug-2024</v>
      </c>
      <c r="X564">
        <f t="shared" si="70"/>
        <v>1838.0174999999999</v>
      </c>
      <c r="Y564" s="5">
        <f t="shared" si="71"/>
        <v>34922.332499999997</v>
      </c>
      <c r="Z564" s="21">
        <f>DATE(K564,MATCH(J564,{"January","February","March","April","May","June","July","August","September","October","November","December"},0),1)</f>
        <v>45505</v>
      </c>
    </row>
    <row r="565" spans="1:26" x14ac:dyDescent="0.3">
      <c r="A565" s="4" t="s">
        <v>633</v>
      </c>
      <c r="B565" s="4" t="s">
        <v>52</v>
      </c>
      <c r="C565" s="4" t="s">
        <v>24</v>
      </c>
      <c r="D565" s="5">
        <v>38023.86</v>
      </c>
      <c r="E565" s="6">
        <v>5</v>
      </c>
      <c r="F565" s="5">
        <v>190119.3</v>
      </c>
      <c r="G565" s="1">
        <v>45495</v>
      </c>
      <c r="H565" t="s">
        <v>71</v>
      </c>
      <c r="I565">
        <v>2.1</v>
      </c>
      <c r="J565" t="s">
        <v>48</v>
      </c>
      <c r="K565">
        <v>2024</v>
      </c>
      <c r="L565">
        <v>38023.86</v>
      </c>
      <c r="M565">
        <v>23</v>
      </c>
      <c r="N565" t="s">
        <v>20</v>
      </c>
      <c r="O565" t="s">
        <v>68</v>
      </c>
      <c r="P565">
        <f>FlipkartSales[[#This Row],[Price (INR)]]*FlipkartSales[[#This Row],[Quantity Sold]]</f>
        <v>190119.3</v>
      </c>
      <c r="Q565">
        <f>FlipkartSales[[#This Row],[Total Sales (INR)]]-FlipkartSales[[#This Row],[Calculated Sales]]</f>
        <v>0</v>
      </c>
      <c r="R565" s="9">
        <f t="shared" si="64"/>
        <v>0.2</v>
      </c>
      <c r="S565">
        <f t="shared" si="65"/>
        <v>38023.86</v>
      </c>
      <c r="T565">
        <f t="shared" si="66"/>
        <v>7604.7719999999999</v>
      </c>
      <c r="U565">
        <f t="shared" si="67"/>
        <v>7</v>
      </c>
      <c r="V565" t="str">
        <f t="shared" si="68"/>
        <v>Q3</v>
      </c>
      <c r="W565" t="str">
        <f t="shared" si="69"/>
        <v>Jul-2024</v>
      </c>
      <c r="X565">
        <f t="shared" si="70"/>
        <v>43727.438999999991</v>
      </c>
      <c r="Y565" s="5">
        <f t="shared" si="71"/>
        <v>146391.861</v>
      </c>
      <c r="Z565" s="21">
        <f>DATE(K565,MATCH(J565,{"January","February","March","April","May","June","July","August","September","October","November","December"},0),1)</f>
        <v>45474</v>
      </c>
    </row>
    <row r="566" spans="1:26" x14ac:dyDescent="0.3">
      <c r="A566" s="4" t="s">
        <v>634</v>
      </c>
      <c r="B566" s="4" t="s">
        <v>176</v>
      </c>
      <c r="C566" s="4" t="s">
        <v>24</v>
      </c>
      <c r="D566" s="5">
        <v>17983.34</v>
      </c>
      <c r="E566" s="6">
        <v>1</v>
      </c>
      <c r="F566" s="5">
        <v>17983.34</v>
      </c>
      <c r="G566" s="1">
        <v>45342</v>
      </c>
      <c r="H566" t="s">
        <v>64</v>
      </c>
      <c r="I566">
        <v>1.5</v>
      </c>
      <c r="J566" t="s">
        <v>59</v>
      </c>
      <c r="K566">
        <v>2024</v>
      </c>
      <c r="L566">
        <v>3596.6680000000001</v>
      </c>
      <c r="M566">
        <v>15</v>
      </c>
      <c r="N566" t="s">
        <v>41</v>
      </c>
      <c r="O566" t="s">
        <v>33</v>
      </c>
      <c r="P566">
        <f>FlipkartSales[[#This Row],[Price (INR)]]*FlipkartSales[[#This Row],[Quantity Sold]]</f>
        <v>17983.34</v>
      </c>
      <c r="Q566">
        <f>FlipkartSales[[#This Row],[Total Sales (INR)]]-FlipkartSales[[#This Row],[Calculated Sales]]</f>
        <v>0</v>
      </c>
      <c r="R566" s="9">
        <f t="shared" si="64"/>
        <v>0.2</v>
      </c>
      <c r="S566">
        <f t="shared" si="65"/>
        <v>17983.34</v>
      </c>
      <c r="T566">
        <f t="shared" si="66"/>
        <v>3596.6680000000001</v>
      </c>
      <c r="U566">
        <f t="shared" si="67"/>
        <v>2</v>
      </c>
      <c r="V566" t="str">
        <f t="shared" si="68"/>
        <v>Q1</v>
      </c>
      <c r="W566" t="str">
        <f t="shared" si="69"/>
        <v>Feb-2024</v>
      </c>
      <c r="X566">
        <f t="shared" si="70"/>
        <v>2697.5009999999997</v>
      </c>
      <c r="Y566" s="5">
        <f t="shared" si="71"/>
        <v>15285.839</v>
      </c>
      <c r="Z566" s="21">
        <f>DATE(K566,MATCH(J566,{"January","February","March","April","May","June","July","August","September","October","November","December"},0),1)</f>
        <v>45323</v>
      </c>
    </row>
    <row r="567" spans="1:26" x14ac:dyDescent="0.3">
      <c r="A567" s="4" t="s">
        <v>635</v>
      </c>
      <c r="B567" s="4" t="s">
        <v>84</v>
      </c>
      <c r="C567" s="4" t="s">
        <v>40</v>
      </c>
      <c r="D567" s="5">
        <v>25457.34</v>
      </c>
      <c r="E567" s="6">
        <v>5</v>
      </c>
      <c r="F567" s="5">
        <v>127286.7</v>
      </c>
      <c r="G567" s="1">
        <v>45423</v>
      </c>
      <c r="H567" t="s">
        <v>25</v>
      </c>
      <c r="I567">
        <v>4.3</v>
      </c>
      <c r="J567" t="s">
        <v>32</v>
      </c>
      <c r="K567">
        <v>2024</v>
      </c>
      <c r="L567">
        <v>25457.34</v>
      </c>
      <c r="M567">
        <v>9</v>
      </c>
      <c r="N567" t="s">
        <v>20</v>
      </c>
      <c r="O567" t="s">
        <v>28</v>
      </c>
      <c r="P567">
        <f>FlipkartSales[[#This Row],[Price (INR)]]*FlipkartSales[[#This Row],[Quantity Sold]]</f>
        <v>127286.7</v>
      </c>
      <c r="Q567">
        <f>FlipkartSales[[#This Row],[Total Sales (INR)]]-FlipkartSales[[#This Row],[Calculated Sales]]</f>
        <v>0</v>
      </c>
      <c r="R567" s="9">
        <f t="shared" si="64"/>
        <v>0.2</v>
      </c>
      <c r="S567">
        <f t="shared" si="65"/>
        <v>25457.34</v>
      </c>
      <c r="T567">
        <f t="shared" si="66"/>
        <v>5091.4679999999998</v>
      </c>
      <c r="U567">
        <f t="shared" si="67"/>
        <v>5</v>
      </c>
      <c r="V567" t="str">
        <f t="shared" si="68"/>
        <v>Q2</v>
      </c>
      <c r="W567" t="str">
        <f t="shared" si="69"/>
        <v>May-2024</v>
      </c>
      <c r="X567">
        <f t="shared" si="70"/>
        <v>11455.803</v>
      </c>
      <c r="Y567" s="5">
        <f t="shared" si="71"/>
        <v>115830.897</v>
      </c>
      <c r="Z567" s="21">
        <f>DATE(K567,MATCH(J567,{"January","February","March","April","May","June","July","August","September","October","November","December"},0),1)</f>
        <v>45413</v>
      </c>
    </row>
    <row r="568" spans="1:26" x14ac:dyDescent="0.3">
      <c r="A568" s="4" t="s">
        <v>636</v>
      </c>
      <c r="B568" s="4" t="s">
        <v>125</v>
      </c>
      <c r="C568" s="4" t="s">
        <v>17</v>
      </c>
      <c r="D568" s="5">
        <v>26220.67</v>
      </c>
      <c r="E568" s="6">
        <v>4</v>
      </c>
      <c r="F568" s="5">
        <v>104882.68</v>
      </c>
      <c r="G568" s="1">
        <v>45412</v>
      </c>
      <c r="H568" t="s">
        <v>80</v>
      </c>
      <c r="I568">
        <v>3.3</v>
      </c>
      <c r="J568" t="s">
        <v>62</v>
      </c>
      <c r="K568">
        <v>2024</v>
      </c>
      <c r="L568">
        <v>20976.536</v>
      </c>
      <c r="M568">
        <v>16</v>
      </c>
      <c r="N568" t="s">
        <v>20</v>
      </c>
      <c r="O568" t="s">
        <v>33</v>
      </c>
      <c r="P568">
        <f>FlipkartSales[[#This Row],[Price (INR)]]*FlipkartSales[[#This Row],[Quantity Sold]]</f>
        <v>104882.68</v>
      </c>
      <c r="Q568">
        <f>FlipkartSales[[#This Row],[Total Sales (INR)]]-FlipkartSales[[#This Row],[Calculated Sales]]</f>
        <v>0</v>
      </c>
      <c r="R568" s="9">
        <f t="shared" si="64"/>
        <v>0.2</v>
      </c>
      <c r="S568">
        <f t="shared" si="65"/>
        <v>26220.67</v>
      </c>
      <c r="T568">
        <f t="shared" si="66"/>
        <v>5244.134</v>
      </c>
      <c r="U568">
        <f t="shared" si="67"/>
        <v>4</v>
      </c>
      <c r="V568" t="str">
        <f t="shared" si="68"/>
        <v>Q2</v>
      </c>
      <c r="W568" t="str">
        <f t="shared" si="69"/>
        <v>Apr-2024</v>
      </c>
      <c r="X568">
        <f t="shared" si="70"/>
        <v>16781.228799999997</v>
      </c>
      <c r="Y568" s="5">
        <f t="shared" si="71"/>
        <v>88101.451199999996</v>
      </c>
      <c r="Z568" s="21">
        <f>DATE(K568,MATCH(J568,{"January","February","March","April","May","June","July","August","September","October","November","December"},0),1)</f>
        <v>45383</v>
      </c>
    </row>
    <row r="569" spans="1:26" x14ac:dyDescent="0.3">
      <c r="A569" s="4" t="s">
        <v>637</v>
      </c>
      <c r="B569" s="4" t="s">
        <v>16</v>
      </c>
      <c r="C569" s="4" t="s">
        <v>17</v>
      </c>
      <c r="D569" s="5">
        <v>48670.07</v>
      </c>
      <c r="E569" s="6">
        <v>1</v>
      </c>
      <c r="F569" s="5">
        <v>48670.07</v>
      </c>
      <c r="G569" s="1">
        <v>45689</v>
      </c>
      <c r="H569" t="s">
        <v>25</v>
      </c>
      <c r="I569">
        <v>4.2</v>
      </c>
      <c r="J569" t="s">
        <v>59</v>
      </c>
      <c r="K569">
        <v>2025</v>
      </c>
      <c r="L569">
        <v>9734.014000000001</v>
      </c>
      <c r="M569">
        <v>7</v>
      </c>
      <c r="N569" t="s">
        <v>41</v>
      </c>
      <c r="O569" t="s">
        <v>68</v>
      </c>
      <c r="P569">
        <f>FlipkartSales[[#This Row],[Price (INR)]]*FlipkartSales[[#This Row],[Quantity Sold]]</f>
        <v>48670.07</v>
      </c>
      <c r="Q569">
        <f>FlipkartSales[[#This Row],[Total Sales (INR)]]-FlipkartSales[[#This Row],[Calculated Sales]]</f>
        <v>0</v>
      </c>
      <c r="R569" s="9">
        <f t="shared" si="64"/>
        <v>0.2</v>
      </c>
      <c r="S569">
        <f t="shared" si="65"/>
        <v>48670.07</v>
      </c>
      <c r="T569">
        <f t="shared" si="66"/>
        <v>9734.014000000001</v>
      </c>
      <c r="U569">
        <f t="shared" si="67"/>
        <v>2</v>
      </c>
      <c r="V569" t="str">
        <f t="shared" si="68"/>
        <v>Q1</v>
      </c>
      <c r="W569" t="str">
        <f t="shared" si="69"/>
        <v>Feb-2025</v>
      </c>
      <c r="X569">
        <f t="shared" si="70"/>
        <v>3406.9049</v>
      </c>
      <c r="Y569" s="5">
        <f t="shared" si="71"/>
        <v>45263.165099999998</v>
      </c>
      <c r="Z569" s="21">
        <f>DATE(K569,MATCH(J569,{"January","February","March","April","May","June","July","August","September","October","November","December"},0),1)</f>
        <v>45689</v>
      </c>
    </row>
    <row r="570" spans="1:26" x14ac:dyDescent="0.3">
      <c r="A570" s="4" t="s">
        <v>638</v>
      </c>
      <c r="B570" s="4" t="s">
        <v>66</v>
      </c>
      <c r="C570" s="4" t="s">
        <v>36</v>
      </c>
      <c r="D570" s="5">
        <v>12197.36</v>
      </c>
      <c r="E570" s="6">
        <v>5</v>
      </c>
      <c r="F570" s="5">
        <v>60986.8</v>
      </c>
      <c r="G570" s="1">
        <v>45667</v>
      </c>
      <c r="H570" t="s">
        <v>18</v>
      </c>
      <c r="I570">
        <v>3.5</v>
      </c>
      <c r="J570" t="s">
        <v>53</v>
      </c>
      <c r="K570">
        <v>2025</v>
      </c>
      <c r="L570">
        <v>12197.36</v>
      </c>
      <c r="M570">
        <v>5</v>
      </c>
      <c r="N570" t="s">
        <v>41</v>
      </c>
      <c r="O570" t="s">
        <v>21</v>
      </c>
      <c r="P570">
        <f>FlipkartSales[[#This Row],[Price (INR)]]*FlipkartSales[[#This Row],[Quantity Sold]]</f>
        <v>60986.8</v>
      </c>
      <c r="Q570">
        <f>FlipkartSales[[#This Row],[Total Sales (INR)]]-FlipkartSales[[#This Row],[Calculated Sales]]</f>
        <v>0</v>
      </c>
      <c r="R570" s="9">
        <f t="shared" si="64"/>
        <v>0.2</v>
      </c>
      <c r="S570">
        <f t="shared" si="65"/>
        <v>12197.36</v>
      </c>
      <c r="T570">
        <f t="shared" si="66"/>
        <v>2439.4720000000002</v>
      </c>
      <c r="U570">
        <f t="shared" si="67"/>
        <v>1</v>
      </c>
      <c r="V570" t="str">
        <f t="shared" si="68"/>
        <v>Q1</v>
      </c>
      <c r="W570" t="str">
        <f t="shared" si="69"/>
        <v>Jan-2025</v>
      </c>
      <c r="X570">
        <f t="shared" si="70"/>
        <v>3049.34</v>
      </c>
      <c r="Y570" s="5">
        <f t="shared" si="71"/>
        <v>57937.460000000006</v>
      </c>
      <c r="Z570" s="21">
        <f>DATE(K570,MATCH(J570,{"January","February","March","April","May","June","July","August","September","October","November","December"},0),1)</f>
        <v>45658</v>
      </c>
    </row>
    <row r="571" spans="1:26" x14ac:dyDescent="0.3">
      <c r="A571" s="4" t="s">
        <v>639</v>
      </c>
      <c r="B571" s="4" t="s">
        <v>55</v>
      </c>
      <c r="C571" s="4" t="s">
        <v>36</v>
      </c>
      <c r="D571" s="5">
        <v>14488.22</v>
      </c>
      <c r="E571" s="6">
        <v>4</v>
      </c>
      <c r="F571" s="5">
        <v>57952.88</v>
      </c>
      <c r="G571" s="1">
        <v>45651</v>
      </c>
      <c r="H571" t="s">
        <v>80</v>
      </c>
      <c r="I571">
        <v>2.7</v>
      </c>
      <c r="J571" t="s">
        <v>26</v>
      </c>
      <c r="K571">
        <v>2024</v>
      </c>
      <c r="L571">
        <v>11590.576000000001</v>
      </c>
      <c r="M571">
        <v>5</v>
      </c>
      <c r="N571" t="s">
        <v>41</v>
      </c>
      <c r="O571" t="s">
        <v>33</v>
      </c>
      <c r="P571">
        <f>FlipkartSales[[#This Row],[Price (INR)]]*FlipkartSales[[#This Row],[Quantity Sold]]</f>
        <v>57952.88</v>
      </c>
      <c r="Q571">
        <f>FlipkartSales[[#This Row],[Total Sales (INR)]]-FlipkartSales[[#This Row],[Calculated Sales]]</f>
        <v>0</v>
      </c>
      <c r="R571" s="9">
        <f t="shared" si="64"/>
        <v>0.20000000000000004</v>
      </c>
      <c r="S571">
        <f t="shared" si="65"/>
        <v>14488.22</v>
      </c>
      <c r="T571">
        <f t="shared" si="66"/>
        <v>2897.6440000000002</v>
      </c>
      <c r="U571">
        <f t="shared" si="67"/>
        <v>12</v>
      </c>
      <c r="V571" t="str">
        <f t="shared" si="68"/>
        <v>Q4</v>
      </c>
      <c r="W571" t="str">
        <f t="shared" si="69"/>
        <v>Dec-2024</v>
      </c>
      <c r="X571">
        <f t="shared" si="70"/>
        <v>2897.6439999999998</v>
      </c>
      <c r="Y571" s="5">
        <f t="shared" si="71"/>
        <v>55055.235999999997</v>
      </c>
      <c r="Z571" s="21">
        <f>DATE(K571,MATCH(J571,{"January","February","March","April","May","June","July","August","September","October","November","December"},0),1)</f>
        <v>45627</v>
      </c>
    </row>
    <row r="572" spans="1:26" x14ac:dyDescent="0.3">
      <c r="A572" s="4" t="s">
        <v>640</v>
      </c>
      <c r="B572" s="4" t="s">
        <v>50</v>
      </c>
      <c r="C572" s="4" t="s">
        <v>40</v>
      </c>
      <c r="D572" s="5">
        <v>33547.94</v>
      </c>
      <c r="E572" s="6">
        <v>2</v>
      </c>
      <c r="F572" s="5">
        <v>67095.88</v>
      </c>
      <c r="G572" s="1">
        <v>45672</v>
      </c>
      <c r="H572" t="s">
        <v>80</v>
      </c>
      <c r="I572">
        <v>1.1000000000000001</v>
      </c>
      <c r="J572" t="s">
        <v>53</v>
      </c>
      <c r="K572">
        <v>2025</v>
      </c>
      <c r="L572">
        <v>13419.176000000001</v>
      </c>
      <c r="M572">
        <v>12</v>
      </c>
      <c r="N572" t="s">
        <v>27</v>
      </c>
      <c r="O572" t="s">
        <v>28</v>
      </c>
      <c r="P572">
        <f>FlipkartSales[[#This Row],[Price (INR)]]*FlipkartSales[[#This Row],[Quantity Sold]]</f>
        <v>67095.88</v>
      </c>
      <c r="Q572">
        <f>FlipkartSales[[#This Row],[Total Sales (INR)]]-FlipkartSales[[#This Row],[Calculated Sales]]</f>
        <v>0</v>
      </c>
      <c r="R572" s="9">
        <f t="shared" si="64"/>
        <v>0.2</v>
      </c>
      <c r="S572">
        <f t="shared" si="65"/>
        <v>33547.94</v>
      </c>
      <c r="T572">
        <f t="shared" si="66"/>
        <v>6709.5880000000006</v>
      </c>
      <c r="U572">
        <f t="shared" si="67"/>
        <v>1</v>
      </c>
      <c r="V572" t="str">
        <f t="shared" si="68"/>
        <v>Q1</v>
      </c>
      <c r="W572" t="str">
        <f t="shared" si="69"/>
        <v>Jan-2025</v>
      </c>
      <c r="X572">
        <f t="shared" si="70"/>
        <v>8051.5056000000004</v>
      </c>
      <c r="Y572" s="5">
        <f t="shared" si="71"/>
        <v>59044.374400000001</v>
      </c>
      <c r="Z572" s="21">
        <f>DATE(K572,MATCH(J572,{"January","February","March","April","May","June","July","August","September","October","November","December"},0),1)</f>
        <v>45658</v>
      </c>
    </row>
    <row r="573" spans="1:26" x14ac:dyDescent="0.3">
      <c r="A573" s="4" t="s">
        <v>641</v>
      </c>
      <c r="B573" s="4" t="s">
        <v>47</v>
      </c>
      <c r="C573" s="4" t="s">
        <v>24</v>
      </c>
      <c r="D573" s="5">
        <v>4800.26</v>
      </c>
      <c r="E573" s="6">
        <v>5</v>
      </c>
      <c r="F573" s="5">
        <v>24001.3</v>
      </c>
      <c r="G573" s="1">
        <v>45374</v>
      </c>
      <c r="H573" t="s">
        <v>25</v>
      </c>
      <c r="I573">
        <v>2.2000000000000002</v>
      </c>
      <c r="J573" t="s">
        <v>56</v>
      </c>
      <c r="K573">
        <v>2024</v>
      </c>
      <c r="L573">
        <v>4800.26</v>
      </c>
      <c r="M573">
        <v>14</v>
      </c>
      <c r="N573" t="s">
        <v>41</v>
      </c>
      <c r="O573" t="s">
        <v>68</v>
      </c>
      <c r="P573">
        <f>FlipkartSales[[#This Row],[Price (INR)]]*FlipkartSales[[#This Row],[Quantity Sold]]</f>
        <v>24001.300000000003</v>
      </c>
      <c r="Q573">
        <f>FlipkartSales[[#This Row],[Total Sales (INR)]]-FlipkartSales[[#This Row],[Calculated Sales]]</f>
        <v>0</v>
      </c>
      <c r="R573" s="9">
        <f t="shared" si="64"/>
        <v>0.2</v>
      </c>
      <c r="S573">
        <f t="shared" si="65"/>
        <v>4800.26</v>
      </c>
      <c r="T573">
        <f t="shared" si="66"/>
        <v>960.05200000000002</v>
      </c>
      <c r="U573">
        <f t="shared" si="67"/>
        <v>3</v>
      </c>
      <c r="V573" t="str">
        <f t="shared" si="68"/>
        <v>Q1</v>
      </c>
      <c r="W573" t="str">
        <f t="shared" si="69"/>
        <v>Mar-2024</v>
      </c>
      <c r="X573">
        <f t="shared" si="70"/>
        <v>3360.1820000000002</v>
      </c>
      <c r="Y573" s="5">
        <f t="shared" si="71"/>
        <v>20641.117999999999</v>
      </c>
      <c r="Z573" s="21">
        <f>DATE(K573,MATCH(J573,{"January","February","March","April","May","June","July","August","September","October","November","December"},0),1)</f>
        <v>45352</v>
      </c>
    </row>
    <row r="574" spans="1:26" x14ac:dyDescent="0.3">
      <c r="A574" s="4" t="s">
        <v>642</v>
      </c>
      <c r="B574" s="4" t="s">
        <v>39</v>
      </c>
      <c r="C574" s="4" t="s">
        <v>40</v>
      </c>
      <c r="D574" s="5">
        <v>36429.57</v>
      </c>
      <c r="E574" s="6">
        <v>4</v>
      </c>
      <c r="F574" s="5">
        <v>145718.28</v>
      </c>
      <c r="G574" s="1">
        <v>45390</v>
      </c>
      <c r="H574" t="s">
        <v>71</v>
      </c>
      <c r="I574">
        <v>4.5999999999999996</v>
      </c>
      <c r="J574" t="s">
        <v>62</v>
      </c>
      <c r="K574">
        <v>2024</v>
      </c>
      <c r="L574">
        <v>29143.656000000003</v>
      </c>
      <c r="M574">
        <v>15</v>
      </c>
      <c r="N574" t="s">
        <v>20</v>
      </c>
      <c r="O574" t="s">
        <v>33</v>
      </c>
      <c r="P574">
        <f>FlipkartSales[[#This Row],[Price (INR)]]*FlipkartSales[[#This Row],[Quantity Sold]]</f>
        <v>145718.28</v>
      </c>
      <c r="Q574">
        <f>FlipkartSales[[#This Row],[Total Sales (INR)]]-FlipkartSales[[#This Row],[Calculated Sales]]</f>
        <v>0</v>
      </c>
      <c r="R574" s="9">
        <f t="shared" si="64"/>
        <v>0.2</v>
      </c>
      <c r="S574">
        <f t="shared" si="65"/>
        <v>36429.57</v>
      </c>
      <c r="T574">
        <f t="shared" si="66"/>
        <v>7285.9140000000007</v>
      </c>
      <c r="U574">
        <f t="shared" si="67"/>
        <v>4</v>
      </c>
      <c r="V574" t="str">
        <f t="shared" si="68"/>
        <v>Q2</v>
      </c>
      <c r="W574" t="str">
        <f t="shared" si="69"/>
        <v>Apr-2024</v>
      </c>
      <c r="X574">
        <f t="shared" si="70"/>
        <v>21857.742000000002</v>
      </c>
      <c r="Y574" s="5">
        <f t="shared" si="71"/>
        <v>123860.538</v>
      </c>
      <c r="Z574" s="21">
        <f>DATE(K574,MATCH(J574,{"January","February","March","April","May","June","July","August","September","October","November","December"},0),1)</f>
        <v>45383</v>
      </c>
    </row>
    <row r="575" spans="1:26" x14ac:dyDescent="0.3">
      <c r="A575" s="4" t="s">
        <v>643</v>
      </c>
      <c r="B575" s="4" t="s">
        <v>55</v>
      </c>
      <c r="C575" s="4" t="s">
        <v>36</v>
      </c>
      <c r="D575" s="5">
        <v>29775.43</v>
      </c>
      <c r="E575" s="6">
        <v>4</v>
      </c>
      <c r="F575" s="5">
        <v>119101.72</v>
      </c>
      <c r="G575" s="1">
        <v>45339</v>
      </c>
      <c r="H575" t="s">
        <v>18</v>
      </c>
      <c r="I575">
        <v>4.5999999999999996</v>
      </c>
      <c r="J575" t="s">
        <v>59</v>
      </c>
      <c r="K575">
        <v>2024</v>
      </c>
      <c r="L575">
        <v>23820.344000000001</v>
      </c>
      <c r="M575">
        <v>16</v>
      </c>
      <c r="N575" t="s">
        <v>41</v>
      </c>
      <c r="O575" t="s">
        <v>28</v>
      </c>
      <c r="P575">
        <f>FlipkartSales[[#This Row],[Price (INR)]]*FlipkartSales[[#This Row],[Quantity Sold]]</f>
        <v>119101.72</v>
      </c>
      <c r="Q575">
        <f>FlipkartSales[[#This Row],[Total Sales (INR)]]-FlipkartSales[[#This Row],[Calculated Sales]]</f>
        <v>0</v>
      </c>
      <c r="R575" s="9">
        <f t="shared" si="64"/>
        <v>0.2</v>
      </c>
      <c r="S575">
        <f t="shared" si="65"/>
        <v>29775.43</v>
      </c>
      <c r="T575">
        <f t="shared" si="66"/>
        <v>5955.0860000000002</v>
      </c>
      <c r="U575">
        <f t="shared" si="67"/>
        <v>2</v>
      </c>
      <c r="V575" t="str">
        <f t="shared" si="68"/>
        <v>Q1</v>
      </c>
      <c r="W575" t="str">
        <f t="shared" si="69"/>
        <v>Feb-2024</v>
      </c>
      <c r="X575">
        <f t="shared" si="70"/>
        <v>19056.2752</v>
      </c>
      <c r="Y575" s="5">
        <f t="shared" si="71"/>
        <v>100045.4448</v>
      </c>
      <c r="Z575" s="21">
        <f>DATE(K575,MATCH(J575,{"January","February","March","April","May","June","July","August","September","October","November","December"},0),1)</f>
        <v>45323</v>
      </c>
    </row>
    <row r="576" spans="1:26" x14ac:dyDescent="0.3">
      <c r="A576" s="4" t="s">
        <v>644</v>
      </c>
      <c r="B576" s="4" t="s">
        <v>58</v>
      </c>
      <c r="C576" s="4" t="s">
        <v>31</v>
      </c>
      <c r="D576" s="5">
        <v>10736.32</v>
      </c>
      <c r="E576" s="6">
        <v>3</v>
      </c>
      <c r="F576" s="5">
        <v>32208.959999999999</v>
      </c>
      <c r="G576" s="1">
        <v>45488</v>
      </c>
      <c r="H576" t="s">
        <v>25</v>
      </c>
      <c r="I576">
        <v>3.7</v>
      </c>
      <c r="J576" t="s">
        <v>48</v>
      </c>
      <c r="K576">
        <v>2024</v>
      </c>
      <c r="L576">
        <v>6441.7920000000004</v>
      </c>
      <c r="M576">
        <v>17</v>
      </c>
      <c r="N576" t="s">
        <v>20</v>
      </c>
      <c r="O576" t="s">
        <v>68</v>
      </c>
      <c r="P576">
        <f>FlipkartSales[[#This Row],[Price (INR)]]*FlipkartSales[[#This Row],[Quantity Sold]]</f>
        <v>32208.959999999999</v>
      </c>
      <c r="Q576">
        <f>FlipkartSales[[#This Row],[Total Sales (INR)]]-FlipkartSales[[#This Row],[Calculated Sales]]</f>
        <v>0</v>
      </c>
      <c r="R576" s="9">
        <f t="shared" si="64"/>
        <v>0.2</v>
      </c>
      <c r="S576">
        <f t="shared" si="65"/>
        <v>10736.32</v>
      </c>
      <c r="T576">
        <f t="shared" si="66"/>
        <v>2147.2640000000001</v>
      </c>
      <c r="U576">
        <f t="shared" si="67"/>
        <v>7</v>
      </c>
      <c r="V576" t="str">
        <f t="shared" si="68"/>
        <v>Q3</v>
      </c>
      <c r="W576" t="str">
        <f t="shared" si="69"/>
        <v>Jul-2024</v>
      </c>
      <c r="X576">
        <f t="shared" si="70"/>
        <v>5475.5231999999996</v>
      </c>
      <c r="Y576" s="5">
        <f t="shared" si="71"/>
        <v>26733.436799999999</v>
      </c>
      <c r="Z576" s="21">
        <f>DATE(K576,MATCH(J576,{"January","February","March","April","May","June","July","August","September","October","November","December"},0),1)</f>
        <v>45474</v>
      </c>
    </row>
    <row r="577" spans="1:26" x14ac:dyDescent="0.3">
      <c r="A577" s="4" t="s">
        <v>645</v>
      </c>
      <c r="B577" s="4" t="s">
        <v>125</v>
      </c>
      <c r="C577" s="4" t="s">
        <v>17</v>
      </c>
      <c r="D577" s="5">
        <v>8005.02</v>
      </c>
      <c r="E577" s="6">
        <v>5</v>
      </c>
      <c r="F577" s="5">
        <v>40025.1</v>
      </c>
      <c r="G577" s="1">
        <v>45422</v>
      </c>
      <c r="H577" t="s">
        <v>25</v>
      </c>
      <c r="I577">
        <v>2.5</v>
      </c>
      <c r="J577" t="s">
        <v>32</v>
      </c>
      <c r="K577">
        <v>2024</v>
      </c>
      <c r="L577">
        <v>8005.02</v>
      </c>
      <c r="M577">
        <v>16</v>
      </c>
      <c r="N577" t="s">
        <v>27</v>
      </c>
      <c r="O577" t="s">
        <v>28</v>
      </c>
      <c r="P577">
        <f>FlipkartSales[[#This Row],[Price (INR)]]*FlipkartSales[[#This Row],[Quantity Sold]]</f>
        <v>40025.100000000006</v>
      </c>
      <c r="Q577">
        <f>FlipkartSales[[#This Row],[Total Sales (INR)]]-FlipkartSales[[#This Row],[Calculated Sales]]</f>
        <v>0</v>
      </c>
      <c r="R577" s="9">
        <f t="shared" si="64"/>
        <v>0.2</v>
      </c>
      <c r="S577">
        <f t="shared" si="65"/>
        <v>8005.0199999999995</v>
      </c>
      <c r="T577">
        <f t="shared" si="66"/>
        <v>1601.0040000000001</v>
      </c>
      <c r="U577">
        <f t="shared" si="67"/>
        <v>5</v>
      </c>
      <c r="V577" t="str">
        <f t="shared" si="68"/>
        <v>Q2</v>
      </c>
      <c r="W577" t="str">
        <f t="shared" si="69"/>
        <v>May-2024</v>
      </c>
      <c r="X577">
        <f t="shared" si="70"/>
        <v>6404.0159999999996</v>
      </c>
      <c r="Y577" s="5">
        <f t="shared" si="71"/>
        <v>33621.084000000003</v>
      </c>
      <c r="Z577" s="21">
        <f>DATE(K577,MATCH(J577,{"January","February","March","April","May","June","July","August","September","October","November","December"},0),1)</f>
        <v>45413</v>
      </c>
    </row>
    <row r="578" spans="1:26" x14ac:dyDescent="0.3">
      <c r="A578" s="4" t="s">
        <v>646</v>
      </c>
      <c r="B578" s="4" t="s">
        <v>58</v>
      </c>
      <c r="C578" s="4" t="s">
        <v>31</v>
      </c>
      <c r="D578" s="5">
        <v>32078.48</v>
      </c>
      <c r="E578" s="6">
        <v>3</v>
      </c>
      <c r="F578" s="5">
        <v>96235.44</v>
      </c>
      <c r="G578" s="1">
        <v>45378</v>
      </c>
      <c r="H578" t="s">
        <v>71</v>
      </c>
      <c r="I578">
        <v>4.5</v>
      </c>
      <c r="J578" t="s">
        <v>56</v>
      </c>
      <c r="K578">
        <v>2024</v>
      </c>
      <c r="L578">
        <v>19247.088</v>
      </c>
      <c r="M578">
        <v>18</v>
      </c>
      <c r="N578" t="s">
        <v>20</v>
      </c>
      <c r="O578" t="s">
        <v>68</v>
      </c>
      <c r="P578">
        <f>FlipkartSales[[#This Row],[Price (INR)]]*FlipkartSales[[#This Row],[Quantity Sold]]</f>
        <v>96235.44</v>
      </c>
      <c r="Q578">
        <f>FlipkartSales[[#This Row],[Total Sales (INR)]]-FlipkartSales[[#This Row],[Calculated Sales]]</f>
        <v>0</v>
      </c>
      <c r="R578" s="9">
        <f t="shared" ref="R578:R641" si="72">L578/F578</f>
        <v>0.19999999999999998</v>
      </c>
      <c r="S578">
        <f t="shared" ref="S578:S641" si="73">F578/E578</f>
        <v>32078.48</v>
      </c>
      <c r="T578">
        <f t="shared" ref="T578:T641" si="74">L578/E578</f>
        <v>6415.6959999999999</v>
      </c>
      <c r="U578">
        <f t="shared" ref="U578:U641" si="75">MONTH(G578)</f>
        <v>3</v>
      </c>
      <c r="V578" t="str">
        <f t="shared" ref="V578:V641" si="76">"Q"&amp;ROUNDUP(MONTH(G578)/3,0)</f>
        <v>Q1</v>
      </c>
      <c r="W578" t="str">
        <f t="shared" ref="W578:W641" si="77">TEXT(G578,"mmm-yyyy")</f>
        <v>Mar-2024</v>
      </c>
      <c r="X578">
        <f t="shared" ref="X578:X641" si="78">F578*M578/100</f>
        <v>17322.379199999999</v>
      </c>
      <c r="Y578" s="5">
        <f t="shared" ref="Y578:Y641" si="79">F578-X578</f>
        <v>78913.060800000007</v>
      </c>
      <c r="Z578" s="21">
        <f>DATE(K578,MATCH(J578,{"January","February","March","April","May","June","July","August","September","October","November","December"},0),1)</f>
        <v>45352</v>
      </c>
    </row>
    <row r="579" spans="1:26" x14ac:dyDescent="0.3">
      <c r="A579" s="4" t="s">
        <v>647</v>
      </c>
      <c r="B579" s="4" t="s">
        <v>35</v>
      </c>
      <c r="C579" s="4" t="s">
        <v>36</v>
      </c>
      <c r="D579" s="5">
        <v>31277.18</v>
      </c>
      <c r="E579" s="6">
        <v>1</v>
      </c>
      <c r="F579" s="5">
        <v>31277.18</v>
      </c>
      <c r="G579" s="1">
        <v>45545</v>
      </c>
      <c r="H579" t="s">
        <v>18</v>
      </c>
      <c r="I579">
        <v>3</v>
      </c>
      <c r="J579" t="s">
        <v>19</v>
      </c>
      <c r="K579">
        <v>2024</v>
      </c>
      <c r="L579">
        <v>6255.4360000000006</v>
      </c>
      <c r="M579">
        <v>6</v>
      </c>
      <c r="N579" t="s">
        <v>20</v>
      </c>
      <c r="O579" t="s">
        <v>21</v>
      </c>
      <c r="P579">
        <f>FlipkartSales[[#This Row],[Price (INR)]]*FlipkartSales[[#This Row],[Quantity Sold]]</f>
        <v>31277.18</v>
      </c>
      <c r="Q579">
        <f>FlipkartSales[[#This Row],[Total Sales (INR)]]-FlipkartSales[[#This Row],[Calculated Sales]]</f>
        <v>0</v>
      </c>
      <c r="R579" s="9">
        <f t="shared" si="72"/>
        <v>0.2</v>
      </c>
      <c r="S579">
        <f t="shared" si="73"/>
        <v>31277.18</v>
      </c>
      <c r="T579">
        <f t="shared" si="74"/>
        <v>6255.4360000000006</v>
      </c>
      <c r="U579">
        <f t="shared" si="75"/>
        <v>9</v>
      </c>
      <c r="V579" t="str">
        <f t="shared" si="76"/>
        <v>Q3</v>
      </c>
      <c r="W579" t="str">
        <f t="shared" si="77"/>
        <v>Sep-2024</v>
      </c>
      <c r="X579">
        <f t="shared" si="78"/>
        <v>1876.6308000000001</v>
      </c>
      <c r="Y579" s="5">
        <f t="shared" si="79"/>
        <v>29400.549200000001</v>
      </c>
      <c r="Z579" s="21">
        <f>DATE(K579,MATCH(J579,{"January","February","March","April","May","June","July","August","September","October","November","December"},0),1)</f>
        <v>45536</v>
      </c>
    </row>
    <row r="580" spans="1:26" x14ac:dyDescent="0.3">
      <c r="A580" s="4" t="s">
        <v>648</v>
      </c>
      <c r="B580" s="4" t="s">
        <v>107</v>
      </c>
      <c r="C580" s="4" t="s">
        <v>36</v>
      </c>
      <c r="D580" s="5">
        <v>31094.13</v>
      </c>
      <c r="E580" s="6">
        <v>1</v>
      </c>
      <c r="F580" s="5">
        <v>31094.13</v>
      </c>
      <c r="G580" s="1">
        <v>45599</v>
      </c>
      <c r="H580" t="s">
        <v>25</v>
      </c>
      <c r="I580">
        <v>2.7</v>
      </c>
      <c r="J580" t="s">
        <v>37</v>
      </c>
      <c r="K580">
        <v>2024</v>
      </c>
      <c r="L580">
        <v>6218.8260000000009</v>
      </c>
      <c r="M580">
        <v>23</v>
      </c>
      <c r="N580" t="s">
        <v>41</v>
      </c>
      <c r="O580" t="s">
        <v>33</v>
      </c>
      <c r="P580">
        <f>FlipkartSales[[#This Row],[Price (INR)]]*FlipkartSales[[#This Row],[Quantity Sold]]</f>
        <v>31094.13</v>
      </c>
      <c r="Q580">
        <f>FlipkartSales[[#This Row],[Total Sales (INR)]]-FlipkartSales[[#This Row],[Calculated Sales]]</f>
        <v>0</v>
      </c>
      <c r="R580" s="9">
        <f t="shared" si="72"/>
        <v>0.2</v>
      </c>
      <c r="S580">
        <f t="shared" si="73"/>
        <v>31094.13</v>
      </c>
      <c r="T580">
        <f t="shared" si="74"/>
        <v>6218.8260000000009</v>
      </c>
      <c r="U580">
        <f t="shared" si="75"/>
        <v>11</v>
      </c>
      <c r="V580" t="str">
        <f t="shared" si="76"/>
        <v>Q4</v>
      </c>
      <c r="W580" t="str">
        <f t="shared" si="77"/>
        <v>Nov-2024</v>
      </c>
      <c r="X580">
        <f t="shared" si="78"/>
        <v>7151.6499000000003</v>
      </c>
      <c r="Y580" s="5">
        <f t="shared" si="79"/>
        <v>23942.480100000001</v>
      </c>
      <c r="Z580" s="21">
        <f>DATE(K580,MATCH(J580,{"January","February","March","April","May","June","July","August","September","October","November","December"},0),1)</f>
        <v>45597</v>
      </c>
    </row>
    <row r="581" spans="1:26" x14ac:dyDescent="0.3">
      <c r="A581" s="4" t="s">
        <v>649</v>
      </c>
      <c r="B581" s="4" t="s">
        <v>70</v>
      </c>
      <c r="C581" s="4" t="s">
        <v>17</v>
      </c>
      <c r="D581" s="5">
        <v>15881.67</v>
      </c>
      <c r="E581" s="6">
        <v>4</v>
      </c>
      <c r="F581" s="5">
        <v>63526.68</v>
      </c>
      <c r="G581" s="1">
        <v>45676</v>
      </c>
      <c r="H581" t="s">
        <v>44</v>
      </c>
      <c r="I581">
        <v>4.3</v>
      </c>
      <c r="J581" t="s">
        <v>53</v>
      </c>
      <c r="K581">
        <v>2025</v>
      </c>
      <c r="L581">
        <v>12705.336000000001</v>
      </c>
      <c r="M581">
        <v>22</v>
      </c>
      <c r="N581" t="s">
        <v>41</v>
      </c>
      <c r="O581" t="s">
        <v>28</v>
      </c>
      <c r="P581">
        <f>FlipkartSales[[#This Row],[Price (INR)]]*FlipkartSales[[#This Row],[Quantity Sold]]</f>
        <v>63526.68</v>
      </c>
      <c r="Q581">
        <f>FlipkartSales[[#This Row],[Total Sales (INR)]]-FlipkartSales[[#This Row],[Calculated Sales]]</f>
        <v>0</v>
      </c>
      <c r="R581" s="9">
        <f t="shared" si="72"/>
        <v>0.2</v>
      </c>
      <c r="S581">
        <f t="shared" si="73"/>
        <v>15881.67</v>
      </c>
      <c r="T581">
        <f t="shared" si="74"/>
        <v>3176.3340000000003</v>
      </c>
      <c r="U581">
        <f t="shared" si="75"/>
        <v>1</v>
      </c>
      <c r="V581" t="str">
        <f t="shared" si="76"/>
        <v>Q1</v>
      </c>
      <c r="W581" t="str">
        <f t="shared" si="77"/>
        <v>Jan-2025</v>
      </c>
      <c r="X581">
        <f t="shared" si="78"/>
        <v>13975.8696</v>
      </c>
      <c r="Y581" s="5">
        <f t="shared" si="79"/>
        <v>49550.810400000002</v>
      </c>
      <c r="Z581" s="21">
        <f>DATE(K581,MATCH(J581,{"January","February","March","April","May","June","July","August","September","October","November","December"},0),1)</f>
        <v>45658</v>
      </c>
    </row>
    <row r="582" spans="1:26" x14ac:dyDescent="0.3">
      <c r="A582" s="4" t="s">
        <v>650</v>
      </c>
      <c r="B582" s="4" t="s">
        <v>52</v>
      </c>
      <c r="C582" s="4" t="s">
        <v>24</v>
      </c>
      <c r="D582" s="5">
        <v>16129.77</v>
      </c>
      <c r="E582" s="6">
        <v>4</v>
      </c>
      <c r="F582" s="5">
        <v>64519.08</v>
      </c>
      <c r="G582" s="1">
        <v>45462</v>
      </c>
      <c r="H582" t="s">
        <v>18</v>
      </c>
      <c r="I582">
        <v>1</v>
      </c>
      <c r="J582" t="s">
        <v>67</v>
      </c>
      <c r="K582">
        <v>2024</v>
      </c>
      <c r="L582">
        <v>12903.816000000001</v>
      </c>
      <c r="M582">
        <v>7</v>
      </c>
      <c r="N582" t="s">
        <v>20</v>
      </c>
      <c r="O582" t="s">
        <v>68</v>
      </c>
      <c r="P582">
        <f>FlipkartSales[[#This Row],[Price (INR)]]*FlipkartSales[[#This Row],[Quantity Sold]]</f>
        <v>64519.08</v>
      </c>
      <c r="Q582">
        <f>FlipkartSales[[#This Row],[Total Sales (INR)]]-FlipkartSales[[#This Row],[Calculated Sales]]</f>
        <v>0</v>
      </c>
      <c r="R582" s="9">
        <f t="shared" si="72"/>
        <v>0.2</v>
      </c>
      <c r="S582">
        <f t="shared" si="73"/>
        <v>16129.77</v>
      </c>
      <c r="T582">
        <f t="shared" si="74"/>
        <v>3225.9540000000002</v>
      </c>
      <c r="U582">
        <f t="shared" si="75"/>
        <v>6</v>
      </c>
      <c r="V582" t="str">
        <f t="shared" si="76"/>
        <v>Q2</v>
      </c>
      <c r="W582" t="str">
        <f t="shared" si="77"/>
        <v>Jun-2024</v>
      </c>
      <c r="X582">
        <f t="shared" si="78"/>
        <v>4516.3356000000003</v>
      </c>
      <c r="Y582" s="5">
        <f t="shared" si="79"/>
        <v>60002.744400000003</v>
      </c>
      <c r="Z582" s="21">
        <f>DATE(K582,MATCH(J582,{"January","February","March","April","May","June","July","August","September","October","November","December"},0),1)</f>
        <v>45444</v>
      </c>
    </row>
    <row r="583" spans="1:26" x14ac:dyDescent="0.3">
      <c r="A583" s="4" t="s">
        <v>651</v>
      </c>
      <c r="B583" s="4" t="s">
        <v>94</v>
      </c>
      <c r="C583" s="4" t="s">
        <v>31</v>
      </c>
      <c r="D583" s="5">
        <v>39478.69</v>
      </c>
      <c r="E583" s="6">
        <v>5</v>
      </c>
      <c r="F583" s="5">
        <v>197393.45</v>
      </c>
      <c r="G583" s="1">
        <v>45620</v>
      </c>
      <c r="H583" t="s">
        <v>71</v>
      </c>
      <c r="I583">
        <v>2.7</v>
      </c>
      <c r="J583" t="s">
        <v>37</v>
      </c>
      <c r="K583">
        <v>2024</v>
      </c>
      <c r="L583">
        <v>39478.69</v>
      </c>
      <c r="M583">
        <v>27</v>
      </c>
      <c r="N583" t="s">
        <v>41</v>
      </c>
      <c r="O583" t="s">
        <v>28</v>
      </c>
      <c r="P583">
        <f>FlipkartSales[[#This Row],[Price (INR)]]*FlipkartSales[[#This Row],[Quantity Sold]]</f>
        <v>197393.45</v>
      </c>
      <c r="Q583">
        <f>FlipkartSales[[#This Row],[Total Sales (INR)]]-FlipkartSales[[#This Row],[Calculated Sales]]</f>
        <v>0</v>
      </c>
      <c r="R583" s="9">
        <f t="shared" si="72"/>
        <v>0.2</v>
      </c>
      <c r="S583">
        <f t="shared" si="73"/>
        <v>39478.69</v>
      </c>
      <c r="T583">
        <f t="shared" si="74"/>
        <v>7895.7380000000003</v>
      </c>
      <c r="U583">
        <f t="shared" si="75"/>
        <v>11</v>
      </c>
      <c r="V583" t="str">
        <f t="shared" si="76"/>
        <v>Q4</v>
      </c>
      <c r="W583" t="str">
        <f t="shared" si="77"/>
        <v>Nov-2024</v>
      </c>
      <c r="X583">
        <f t="shared" si="78"/>
        <v>53296.231500000002</v>
      </c>
      <c r="Y583" s="5">
        <f t="shared" si="79"/>
        <v>144097.21850000002</v>
      </c>
      <c r="Z583" s="21">
        <f>DATE(K583,MATCH(J583,{"January","February","March","April","May","June","July","August","September","October","November","December"},0),1)</f>
        <v>45597</v>
      </c>
    </row>
    <row r="584" spans="1:26" x14ac:dyDescent="0.3">
      <c r="A584" s="4" t="s">
        <v>652</v>
      </c>
      <c r="B584" s="4" t="s">
        <v>70</v>
      </c>
      <c r="C584" s="4" t="s">
        <v>17</v>
      </c>
      <c r="D584" s="5">
        <v>29635.8</v>
      </c>
      <c r="E584" s="6">
        <v>3</v>
      </c>
      <c r="F584" s="5">
        <v>88907.4</v>
      </c>
      <c r="G584" s="1">
        <v>45673</v>
      </c>
      <c r="H584" t="s">
        <v>71</v>
      </c>
      <c r="I584">
        <v>1.2</v>
      </c>
      <c r="J584" t="s">
        <v>53</v>
      </c>
      <c r="K584">
        <v>2025</v>
      </c>
      <c r="L584">
        <v>17781.48</v>
      </c>
      <c r="M584">
        <v>21</v>
      </c>
      <c r="N584" t="s">
        <v>27</v>
      </c>
      <c r="O584" t="s">
        <v>28</v>
      </c>
      <c r="P584">
        <f>FlipkartSales[[#This Row],[Price (INR)]]*FlipkartSales[[#This Row],[Quantity Sold]]</f>
        <v>88907.4</v>
      </c>
      <c r="Q584">
        <f>FlipkartSales[[#This Row],[Total Sales (INR)]]-FlipkartSales[[#This Row],[Calculated Sales]]</f>
        <v>0</v>
      </c>
      <c r="R584" s="9">
        <f t="shared" si="72"/>
        <v>0.2</v>
      </c>
      <c r="S584">
        <f t="shared" si="73"/>
        <v>29635.8</v>
      </c>
      <c r="T584">
        <f t="shared" si="74"/>
        <v>5927.16</v>
      </c>
      <c r="U584">
        <f t="shared" si="75"/>
        <v>1</v>
      </c>
      <c r="V584" t="str">
        <f t="shared" si="76"/>
        <v>Q1</v>
      </c>
      <c r="W584" t="str">
        <f t="shared" si="77"/>
        <v>Jan-2025</v>
      </c>
      <c r="X584">
        <f t="shared" si="78"/>
        <v>18670.554</v>
      </c>
      <c r="Y584" s="5">
        <f t="shared" si="79"/>
        <v>70236.84599999999</v>
      </c>
      <c r="Z584" s="21">
        <f>DATE(K584,MATCH(J584,{"January","February","March","April","May","June","July","August","September","October","November","December"},0),1)</f>
        <v>45658</v>
      </c>
    </row>
    <row r="585" spans="1:26" x14ac:dyDescent="0.3">
      <c r="A585" s="4" t="s">
        <v>653</v>
      </c>
      <c r="B585" s="4" t="s">
        <v>35</v>
      </c>
      <c r="C585" s="4" t="s">
        <v>36</v>
      </c>
      <c r="D585" s="5">
        <v>7892.27</v>
      </c>
      <c r="E585" s="6">
        <v>2</v>
      </c>
      <c r="F585" s="5">
        <v>15784.54</v>
      </c>
      <c r="G585" s="1">
        <v>45414</v>
      </c>
      <c r="H585" t="s">
        <v>80</v>
      </c>
      <c r="I585">
        <v>1.1000000000000001</v>
      </c>
      <c r="J585" t="s">
        <v>32</v>
      </c>
      <c r="K585">
        <v>2024</v>
      </c>
      <c r="L585">
        <v>3156.9080000000004</v>
      </c>
      <c r="M585">
        <v>30</v>
      </c>
      <c r="N585" t="s">
        <v>27</v>
      </c>
      <c r="O585" t="s">
        <v>33</v>
      </c>
      <c r="P585">
        <f>FlipkartSales[[#This Row],[Price (INR)]]*FlipkartSales[[#This Row],[Quantity Sold]]</f>
        <v>15784.54</v>
      </c>
      <c r="Q585">
        <f>FlipkartSales[[#This Row],[Total Sales (INR)]]-FlipkartSales[[#This Row],[Calculated Sales]]</f>
        <v>0</v>
      </c>
      <c r="R585" s="9">
        <f t="shared" si="72"/>
        <v>0.2</v>
      </c>
      <c r="S585">
        <f t="shared" si="73"/>
        <v>7892.27</v>
      </c>
      <c r="T585">
        <f t="shared" si="74"/>
        <v>1578.4540000000002</v>
      </c>
      <c r="U585">
        <f t="shared" si="75"/>
        <v>5</v>
      </c>
      <c r="V585" t="str">
        <f t="shared" si="76"/>
        <v>Q2</v>
      </c>
      <c r="W585" t="str">
        <f t="shared" si="77"/>
        <v>May-2024</v>
      </c>
      <c r="X585">
        <f t="shared" si="78"/>
        <v>4735.3620000000001</v>
      </c>
      <c r="Y585" s="5">
        <f t="shared" si="79"/>
        <v>11049.178</v>
      </c>
      <c r="Z585" s="21">
        <f>DATE(K585,MATCH(J585,{"January","February","March","April","May","June","July","August","September","October","November","December"},0),1)</f>
        <v>45413</v>
      </c>
    </row>
    <row r="586" spans="1:26" x14ac:dyDescent="0.3">
      <c r="A586" s="4" t="s">
        <v>654</v>
      </c>
      <c r="B586" s="4" t="s">
        <v>55</v>
      </c>
      <c r="C586" s="4" t="s">
        <v>36</v>
      </c>
      <c r="D586" s="5">
        <v>45112.24</v>
      </c>
      <c r="E586" s="6">
        <v>3</v>
      </c>
      <c r="F586" s="5">
        <v>135336.72</v>
      </c>
      <c r="G586" s="1">
        <v>45609</v>
      </c>
      <c r="H586" t="s">
        <v>44</v>
      </c>
      <c r="I586">
        <v>4.7</v>
      </c>
      <c r="J586" t="s">
        <v>37</v>
      </c>
      <c r="K586">
        <v>2024</v>
      </c>
      <c r="L586">
        <v>27067.344000000001</v>
      </c>
      <c r="M586">
        <v>12</v>
      </c>
      <c r="N586" t="s">
        <v>41</v>
      </c>
      <c r="O586" t="s">
        <v>21</v>
      </c>
      <c r="P586">
        <f>FlipkartSales[[#This Row],[Price (INR)]]*FlipkartSales[[#This Row],[Quantity Sold]]</f>
        <v>135336.72</v>
      </c>
      <c r="Q586">
        <f>FlipkartSales[[#This Row],[Total Sales (INR)]]-FlipkartSales[[#This Row],[Calculated Sales]]</f>
        <v>0</v>
      </c>
      <c r="R586" s="9">
        <f t="shared" si="72"/>
        <v>0.2</v>
      </c>
      <c r="S586">
        <f t="shared" si="73"/>
        <v>45112.24</v>
      </c>
      <c r="T586">
        <f t="shared" si="74"/>
        <v>9022.4480000000003</v>
      </c>
      <c r="U586">
        <f t="shared" si="75"/>
        <v>11</v>
      </c>
      <c r="V586" t="str">
        <f t="shared" si="76"/>
        <v>Q4</v>
      </c>
      <c r="W586" t="str">
        <f t="shared" si="77"/>
        <v>Nov-2024</v>
      </c>
      <c r="X586">
        <f t="shared" si="78"/>
        <v>16240.406400000002</v>
      </c>
      <c r="Y586" s="5">
        <f t="shared" si="79"/>
        <v>119096.31359999999</v>
      </c>
      <c r="Z586" s="21">
        <f>DATE(K586,MATCH(J586,{"January","February","March","April","May","June","July","August","September","October","November","December"},0),1)</f>
        <v>45597</v>
      </c>
    </row>
    <row r="587" spans="1:26" x14ac:dyDescent="0.3">
      <c r="A587" s="4" t="s">
        <v>655</v>
      </c>
      <c r="B587" s="4" t="s">
        <v>23</v>
      </c>
      <c r="C587" s="4" t="s">
        <v>24</v>
      </c>
      <c r="D587" s="5">
        <v>26527.78</v>
      </c>
      <c r="E587" s="6">
        <v>4</v>
      </c>
      <c r="F587" s="5">
        <v>106111.12</v>
      </c>
      <c r="G587" s="1">
        <v>45337</v>
      </c>
      <c r="H587" t="s">
        <v>80</v>
      </c>
      <c r="I587">
        <v>3.7</v>
      </c>
      <c r="J587" t="s">
        <v>59</v>
      </c>
      <c r="K587">
        <v>2024</v>
      </c>
      <c r="L587">
        <v>21222.224000000002</v>
      </c>
      <c r="M587">
        <v>30</v>
      </c>
      <c r="N587" t="s">
        <v>27</v>
      </c>
      <c r="O587" t="s">
        <v>28</v>
      </c>
      <c r="P587">
        <f>FlipkartSales[[#This Row],[Price (INR)]]*FlipkartSales[[#This Row],[Quantity Sold]]</f>
        <v>106111.12</v>
      </c>
      <c r="Q587">
        <f>FlipkartSales[[#This Row],[Total Sales (INR)]]-FlipkartSales[[#This Row],[Calculated Sales]]</f>
        <v>0</v>
      </c>
      <c r="R587" s="9">
        <f t="shared" si="72"/>
        <v>0.20000000000000004</v>
      </c>
      <c r="S587">
        <f t="shared" si="73"/>
        <v>26527.78</v>
      </c>
      <c r="T587">
        <f t="shared" si="74"/>
        <v>5305.5560000000005</v>
      </c>
      <c r="U587">
        <f t="shared" si="75"/>
        <v>2</v>
      </c>
      <c r="V587" t="str">
        <f t="shared" si="76"/>
        <v>Q1</v>
      </c>
      <c r="W587" t="str">
        <f t="shared" si="77"/>
        <v>Feb-2024</v>
      </c>
      <c r="X587">
        <f t="shared" si="78"/>
        <v>31833.335999999996</v>
      </c>
      <c r="Y587" s="5">
        <f t="shared" si="79"/>
        <v>74277.784</v>
      </c>
      <c r="Z587" s="21">
        <f>DATE(K587,MATCH(J587,{"January","February","March","April","May","June","July","August","September","October","November","December"},0),1)</f>
        <v>45323</v>
      </c>
    </row>
    <row r="588" spans="1:26" x14ac:dyDescent="0.3">
      <c r="A588" s="4" t="s">
        <v>656</v>
      </c>
      <c r="B588" s="4" t="s">
        <v>39</v>
      </c>
      <c r="C588" s="4" t="s">
        <v>40</v>
      </c>
      <c r="D588" s="5">
        <v>37170.400000000001</v>
      </c>
      <c r="E588" s="6">
        <v>5</v>
      </c>
      <c r="F588" s="5">
        <v>185852</v>
      </c>
      <c r="G588" s="1">
        <v>45420</v>
      </c>
      <c r="H588" t="s">
        <v>18</v>
      </c>
      <c r="I588">
        <v>3.7</v>
      </c>
      <c r="J588" t="s">
        <v>32</v>
      </c>
      <c r="K588">
        <v>2024</v>
      </c>
      <c r="L588">
        <v>37170.400000000001</v>
      </c>
      <c r="M588">
        <v>14</v>
      </c>
      <c r="N588" t="s">
        <v>41</v>
      </c>
      <c r="O588" t="s">
        <v>68</v>
      </c>
      <c r="P588">
        <f>FlipkartSales[[#This Row],[Price (INR)]]*FlipkartSales[[#This Row],[Quantity Sold]]</f>
        <v>185852</v>
      </c>
      <c r="Q588">
        <f>FlipkartSales[[#This Row],[Total Sales (INR)]]-FlipkartSales[[#This Row],[Calculated Sales]]</f>
        <v>0</v>
      </c>
      <c r="R588" s="9">
        <f t="shared" si="72"/>
        <v>0.2</v>
      </c>
      <c r="S588">
        <f t="shared" si="73"/>
        <v>37170.400000000001</v>
      </c>
      <c r="T588">
        <f t="shared" si="74"/>
        <v>7434.08</v>
      </c>
      <c r="U588">
        <f t="shared" si="75"/>
        <v>5</v>
      </c>
      <c r="V588" t="str">
        <f t="shared" si="76"/>
        <v>Q2</v>
      </c>
      <c r="W588" t="str">
        <f t="shared" si="77"/>
        <v>May-2024</v>
      </c>
      <c r="X588">
        <f t="shared" si="78"/>
        <v>26019.279999999999</v>
      </c>
      <c r="Y588" s="5">
        <f t="shared" si="79"/>
        <v>159832.72</v>
      </c>
      <c r="Z588" s="21">
        <f>DATE(K588,MATCH(J588,{"January","February","March","April","May","June","July","August","September","October","November","December"},0),1)</f>
        <v>45413</v>
      </c>
    </row>
    <row r="589" spans="1:26" x14ac:dyDescent="0.3">
      <c r="A589" s="4" t="s">
        <v>657</v>
      </c>
      <c r="B589" s="4" t="s">
        <v>23</v>
      </c>
      <c r="C589" s="4" t="s">
        <v>24</v>
      </c>
      <c r="D589" s="5">
        <v>47535.79</v>
      </c>
      <c r="E589" s="6">
        <v>5</v>
      </c>
      <c r="F589" s="5">
        <v>237678.95</v>
      </c>
      <c r="G589" s="1">
        <v>45337</v>
      </c>
      <c r="H589" t="s">
        <v>18</v>
      </c>
      <c r="I589">
        <v>1.8</v>
      </c>
      <c r="J589" t="s">
        <v>59</v>
      </c>
      <c r="K589">
        <v>2024</v>
      </c>
      <c r="L589">
        <v>47535.790000000008</v>
      </c>
      <c r="M589">
        <v>30</v>
      </c>
      <c r="N589" t="s">
        <v>20</v>
      </c>
      <c r="O589" t="s">
        <v>68</v>
      </c>
      <c r="P589">
        <f>FlipkartSales[[#This Row],[Price (INR)]]*FlipkartSales[[#This Row],[Quantity Sold]]</f>
        <v>237678.95</v>
      </c>
      <c r="Q589">
        <f>FlipkartSales[[#This Row],[Total Sales (INR)]]-FlipkartSales[[#This Row],[Calculated Sales]]</f>
        <v>0</v>
      </c>
      <c r="R589" s="9">
        <f t="shared" si="72"/>
        <v>0.2</v>
      </c>
      <c r="S589">
        <f t="shared" si="73"/>
        <v>47535.79</v>
      </c>
      <c r="T589">
        <f t="shared" si="74"/>
        <v>9507.1580000000013</v>
      </c>
      <c r="U589">
        <f t="shared" si="75"/>
        <v>2</v>
      </c>
      <c r="V589" t="str">
        <f t="shared" si="76"/>
        <v>Q1</v>
      </c>
      <c r="W589" t="str">
        <f t="shared" si="77"/>
        <v>Feb-2024</v>
      </c>
      <c r="X589">
        <f t="shared" si="78"/>
        <v>71303.684999999998</v>
      </c>
      <c r="Y589" s="5">
        <f t="shared" si="79"/>
        <v>166375.26500000001</v>
      </c>
      <c r="Z589" s="21">
        <f>DATE(K589,MATCH(J589,{"January","February","March","April","May","June","July","August","September","October","November","December"},0),1)</f>
        <v>45323</v>
      </c>
    </row>
    <row r="590" spans="1:26" x14ac:dyDescent="0.3">
      <c r="A590" s="4" t="s">
        <v>658</v>
      </c>
      <c r="B590" s="4" t="s">
        <v>84</v>
      </c>
      <c r="C590" s="4" t="s">
        <v>40</v>
      </c>
      <c r="D590" s="5">
        <v>30252.89</v>
      </c>
      <c r="E590" s="6">
        <v>4</v>
      </c>
      <c r="F590" s="5">
        <v>121011.56</v>
      </c>
      <c r="G590" s="1">
        <v>45642</v>
      </c>
      <c r="H590" t="s">
        <v>44</v>
      </c>
      <c r="I590">
        <v>4.0999999999999996</v>
      </c>
      <c r="J590" t="s">
        <v>26</v>
      </c>
      <c r="K590">
        <v>2024</v>
      </c>
      <c r="L590">
        <v>24202.312000000002</v>
      </c>
      <c r="M590">
        <v>6</v>
      </c>
      <c r="N590" t="s">
        <v>20</v>
      </c>
      <c r="O590" t="s">
        <v>21</v>
      </c>
      <c r="P590">
        <f>FlipkartSales[[#This Row],[Price (INR)]]*FlipkartSales[[#This Row],[Quantity Sold]]</f>
        <v>121011.56</v>
      </c>
      <c r="Q590">
        <f>FlipkartSales[[#This Row],[Total Sales (INR)]]-FlipkartSales[[#This Row],[Calculated Sales]]</f>
        <v>0</v>
      </c>
      <c r="R590" s="9">
        <f t="shared" si="72"/>
        <v>0.2</v>
      </c>
      <c r="S590">
        <f t="shared" si="73"/>
        <v>30252.89</v>
      </c>
      <c r="T590">
        <f t="shared" si="74"/>
        <v>6050.5780000000004</v>
      </c>
      <c r="U590">
        <f t="shared" si="75"/>
        <v>12</v>
      </c>
      <c r="V590" t="str">
        <f t="shared" si="76"/>
        <v>Q4</v>
      </c>
      <c r="W590" t="str">
        <f t="shared" si="77"/>
        <v>Dec-2024</v>
      </c>
      <c r="X590">
        <f t="shared" si="78"/>
        <v>7260.6935999999996</v>
      </c>
      <c r="Y590" s="5">
        <f t="shared" si="79"/>
        <v>113750.8664</v>
      </c>
      <c r="Z590" s="21">
        <f>DATE(K590,MATCH(J590,{"January","February","March","April","May","June","July","August","September","October","November","December"},0),1)</f>
        <v>45627</v>
      </c>
    </row>
    <row r="591" spans="1:26" x14ac:dyDescent="0.3">
      <c r="A591" s="4" t="s">
        <v>659</v>
      </c>
      <c r="B591" s="4" t="s">
        <v>47</v>
      </c>
      <c r="C591" s="4" t="s">
        <v>24</v>
      </c>
      <c r="D591" s="5">
        <v>3126.9</v>
      </c>
      <c r="E591" s="6">
        <v>3</v>
      </c>
      <c r="F591" s="5">
        <v>9380.7000000000007</v>
      </c>
      <c r="G591" s="1">
        <v>45595</v>
      </c>
      <c r="H591" t="s">
        <v>64</v>
      </c>
      <c r="I591">
        <v>1.9</v>
      </c>
      <c r="J591" t="s">
        <v>45</v>
      </c>
      <c r="K591">
        <v>2024</v>
      </c>
      <c r="L591">
        <v>1876.1400000000003</v>
      </c>
      <c r="M591">
        <v>23</v>
      </c>
      <c r="N591" t="s">
        <v>27</v>
      </c>
      <c r="O591" t="s">
        <v>68</v>
      </c>
      <c r="P591">
        <f>FlipkartSales[[#This Row],[Price (INR)]]*FlipkartSales[[#This Row],[Quantity Sold]]</f>
        <v>9380.7000000000007</v>
      </c>
      <c r="Q591">
        <f>FlipkartSales[[#This Row],[Total Sales (INR)]]-FlipkartSales[[#This Row],[Calculated Sales]]</f>
        <v>0</v>
      </c>
      <c r="R591" s="9">
        <f t="shared" si="72"/>
        <v>0.2</v>
      </c>
      <c r="S591">
        <f t="shared" si="73"/>
        <v>3126.9</v>
      </c>
      <c r="T591">
        <f t="shared" si="74"/>
        <v>625.38000000000011</v>
      </c>
      <c r="U591">
        <f t="shared" si="75"/>
        <v>10</v>
      </c>
      <c r="V591" t="str">
        <f t="shared" si="76"/>
        <v>Q4</v>
      </c>
      <c r="W591" t="str">
        <f t="shared" si="77"/>
        <v>Oct-2024</v>
      </c>
      <c r="X591">
        <f t="shared" si="78"/>
        <v>2157.5610000000001</v>
      </c>
      <c r="Y591" s="5">
        <f t="shared" si="79"/>
        <v>7223.139000000001</v>
      </c>
      <c r="Z591" s="21">
        <f>DATE(K591,MATCH(J591,{"January","February","March","April","May","June","July","August","September","October","November","December"},0),1)</f>
        <v>45566</v>
      </c>
    </row>
    <row r="592" spans="1:26" x14ac:dyDescent="0.3">
      <c r="A592" s="4" t="s">
        <v>660</v>
      </c>
      <c r="B592" s="4" t="s">
        <v>125</v>
      </c>
      <c r="C592" s="4" t="s">
        <v>17</v>
      </c>
      <c r="D592" s="5">
        <v>40295.47</v>
      </c>
      <c r="E592" s="6">
        <v>3</v>
      </c>
      <c r="F592" s="5">
        <v>120886.41</v>
      </c>
      <c r="G592" s="1">
        <v>45411</v>
      </c>
      <c r="H592" t="s">
        <v>25</v>
      </c>
      <c r="I592">
        <v>2.8</v>
      </c>
      <c r="J592" t="s">
        <v>62</v>
      </c>
      <c r="K592">
        <v>2024</v>
      </c>
      <c r="L592">
        <v>24177.282000000003</v>
      </c>
      <c r="M592">
        <v>13</v>
      </c>
      <c r="N592" t="s">
        <v>41</v>
      </c>
      <c r="O592" t="s">
        <v>21</v>
      </c>
      <c r="P592">
        <f>FlipkartSales[[#This Row],[Price (INR)]]*FlipkartSales[[#This Row],[Quantity Sold]]</f>
        <v>120886.41</v>
      </c>
      <c r="Q592">
        <f>FlipkartSales[[#This Row],[Total Sales (INR)]]-FlipkartSales[[#This Row],[Calculated Sales]]</f>
        <v>0</v>
      </c>
      <c r="R592" s="9">
        <f t="shared" si="72"/>
        <v>0.2</v>
      </c>
      <c r="S592">
        <f t="shared" si="73"/>
        <v>40295.47</v>
      </c>
      <c r="T592">
        <f t="shared" si="74"/>
        <v>8059.094000000001</v>
      </c>
      <c r="U592">
        <f t="shared" si="75"/>
        <v>4</v>
      </c>
      <c r="V592" t="str">
        <f t="shared" si="76"/>
        <v>Q2</v>
      </c>
      <c r="W592" t="str">
        <f t="shared" si="77"/>
        <v>Apr-2024</v>
      </c>
      <c r="X592">
        <f t="shared" si="78"/>
        <v>15715.2333</v>
      </c>
      <c r="Y592" s="5">
        <f t="shared" si="79"/>
        <v>105171.17670000001</v>
      </c>
      <c r="Z592" s="21">
        <f>DATE(K592,MATCH(J592,{"January","February","March","April","May","June","July","August","September","October","November","December"},0),1)</f>
        <v>45383</v>
      </c>
    </row>
    <row r="593" spans="1:26" x14ac:dyDescent="0.3">
      <c r="A593" s="4" t="s">
        <v>661</v>
      </c>
      <c r="B593" s="4" t="s">
        <v>58</v>
      </c>
      <c r="C593" s="4" t="s">
        <v>31</v>
      </c>
      <c r="D593" s="5">
        <v>462</v>
      </c>
      <c r="E593" s="6">
        <v>4</v>
      </c>
      <c r="F593" s="5">
        <v>1848</v>
      </c>
      <c r="G593" s="1">
        <v>45461</v>
      </c>
      <c r="H593" t="s">
        <v>64</v>
      </c>
      <c r="I593">
        <v>3.4</v>
      </c>
      <c r="J593" t="s">
        <v>67</v>
      </c>
      <c r="K593">
        <v>2024</v>
      </c>
      <c r="L593">
        <v>369.6</v>
      </c>
      <c r="M593">
        <v>11</v>
      </c>
      <c r="N593" t="s">
        <v>41</v>
      </c>
      <c r="O593" t="s">
        <v>68</v>
      </c>
      <c r="P593">
        <f>FlipkartSales[[#This Row],[Price (INR)]]*FlipkartSales[[#This Row],[Quantity Sold]]</f>
        <v>1848</v>
      </c>
      <c r="Q593">
        <f>FlipkartSales[[#This Row],[Total Sales (INR)]]-FlipkartSales[[#This Row],[Calculated Sales]]</f>
        <v>0</v>
      </c>
      <c r="R593" s="9">
        <f t="shared" si="72"/>
        <v>0.2</v>
      </c>
      <c r="S593">
        <f t="shared" si="73"/>
        <v>462</v>
      </c>
      <c r="T593">
        <f t="shared" si="74"/>
        <v>92.4</v>
      </c>
      <c r="U593">
        <f t="shared" si="75"/>
        <v>6</v>
      </c>
      <c r="V593" t="str">
        <f t="shared" si="76"/>
        <v>Q2</v>
      </c>
      <c r="W593" t="str">
        <f t="shared" si="77"/>
        <v>Jun-2024</v>
      </c>
      <c r="X593">
        <f t="shared" si="78"/>
        <v>203.28</v>
      </c>
      <c r="Y593" s="5">
        <f t="shared" si="79"/>
        <v>1644.72</v>
      </c>
      <c r="Z593" s="21">
        <f>DATE(K593,MATCH(J593,{"January","February","March","April","May","June","July","August","September","October","November","December"},0),1)</f>
        <v>45444</v>
      </c>
    </row>
    <row r="594" spans="1:26" x14ac:dyDescent="0.3">
      <c r="A594" s="4" t="s">
        <v>662</v>
      </c>
      <c r="B594" s="4" t="s">
        <v>61</v>
      </c>
      <c r="C594" s="4" t="s">
        <v>31</v>
      </c>
      <c r="D594" s="5">
        <v>22475.54</v>
      </c>
      <c r="E594" s="6">
        <v>3</v>
      </c>
      <c r="F594" s="5">
        <v>67426.62</v>
      </c>
      <c r="G594" s="1">
        <v>45366</v>
      </c>
      <c r="H594" t="s">
        <v>25</v>
      </c>
      <c r="I594">
        <v>1.6</v>
      </c>
      <c r="J594" t="s">
        <v>56</v>
      </c>
      <c r="K594">
        <v>2024</v>
      </c>
      <c r="L594">
        <v>13485.324000000001</v>
      </c>
      <c r="M594">
        <v>8</v>
      </c>
      <c r="N594" t="s">
        <v>27</v>
      </c>
      <c r="O594" t="s">
        <v>33</v>
      </c>
      <c r="P594">
        <f>FlipkartSales[[#This Row],[Price (INR)]]*FlipkartSales[[#This Row],[Quantity Sold]]</f>
        <v>67426.62</v>
      </c>
      <c r="Q594">
        <f>FlipkartSales[[#This Row],[Total Sales (INR)]]-FlipkartSales[[#This Row],[Calculated Sales]]</f>
        <v>0</v>
      </c>
      <c r="R594" s="9">
        <f t="shared" si="72"/>
        <v>0.2</v>
      </c>
      <c r="S594">
        <f t="shared" si="73"/>
        <v>22475.539999999997</v>
      </c>
      <c r="T594">
        <f t="shared" si="74"/>
        <v>4495.1080000000002</v>
      </c>
      <c r="U594">
        <f t="shared" si="75"/>
        <v>3</v>
      </c>
      <c r="V594" t="str">
        <f t="shared" si="76"/>
        <v>Q1</v>
      </c>
      <c r="W594" t="str">
        <f t="shared" si="77"/>
        <v>Mar-2024</v>
      </c>
      <c r="X594">
        <f t="shared" si="78"/>
        <v>5394.1295999999993</v>
      </c>
      <c r="Y594" s="5">
        <f t="shared" si="79"/>
        <v>62032.490399999995</v>
      </c>
      <c r="Z594" s="21">
        <f>DATE(K594,MATCH(J594,{"January","February","March","April","May","June","July","August","September","October","November","December"},0),1)</f>
        <v>45352</v>
      </c>
    </row>
    <row r="595" spans="1:26" x14ac:dyDescent="0.3">
      <c r="A595" s="4" t="s">
        <v>663</v>
      </c>
      <c r="B595" s="4" t="s">
        <v>107</v>
      </c>
      <c r="C595" s="4" t="s">
        <v>36</v>
      </c>
      <c r="D595" s="5">
        <v>19218.55</v>
      </c>
      <c r="E595" s="6">
        <v>2</v>
      </c>
      <c r="F595" s="5">
        <v>38437.1</v>
      </c>
      <c r="G595" s="1">
        <v>45555</v>
      </c>
      <c r="H595" t="s">
        <v>44</v>
      </c>
      <c r="I595">
        <v>4.5</v>
      </c>
      <c r="J595" t="s">
        <v>19</v>
      </c>
      <c r="K595">
        <v>2024</v>
      </c>
      <c r="L595">
        <v>7687.42</v>
      </c>
      <c r="M595">
        <v>30</v>
      </c>
      <c r="N595" t="s">
        <v>20</v>
      </c>
      <c r="O595" t="s">
        <v>28</v>
      </c>
      <c r="P595">
        <f>FlipkartSales[[#This Row],[Price (INR)]]*FlipkartSales[[#This Row],[Quantity Sold]]</f>
        <v>38437.1</v>
      </c>
      <c r="Q595">
        <f>FlipkartSales[[#This Row],[Total Sales (INR)]]-FlipkartSales[[#This Row],[Calculated Sales]]</f>
        <v>0</v>
      </c>
      <c r="R595" s="9">
        <f t="shared" si="72"/>
        <v>0.2</v>
      </c>
      <c r="S595">
        <f t="shared" si="73"/>
        <v>19218.55</v>
      </c>
      <c r="T595">
        <f t="shared" si="74"/>
        <v>3843.71</v>
      </c>
      <c r="U595">
        <f t="shared" si="75"/>
        <v>9</v>
      </c>
      <c r="V595" t="str">
        <f t="shared" si="76"/>
        <v>Q3</v>
      </c>
      <c r="W595" t="str">
        <f t="shared" si="77"/>
        <v>Sep-2024</v>
      </c>
      <c r="X595">
        <f t="shared" si="78"/>
        <v>11531.13</v>
      </c>
      <c r="Y595" s="5">
        <f t="shared" si="79"/>
        <v>26905.97</v>
      </c>
      <c r="Z595" s="21">
        <f>DATE(K595,MATCH(J595,{"January","February","March","April","May","June","July","August","September","October","November","December"},0),1)</f>
        <v>45536</v>
      </c>
    </row>
    <row r="596" spans="1:26" x14ac:dyDescent="0.3">
      <c r="A596" s="4" t="s">
        <v>664</v>
      </c>
      <c r="B596" s="4" t="s">
        <v>35</v>
      </c>
      <c r="C596" s="4" t="s">
        <v>36</v>
      </c>
      <c r="D596" s="5">
        <v>31162.39</v>
      </c>
      <c r="E596" s="6">
        <v>5</v>
      </c>
      <c r="F596" s="5">
        <v>155811.95000000001</v>
      </c>
      <c r="G596" s="1">
        <v>45398</v>
      </c>
      <c r="H596" t="s">
        <v>71</v>
      </c>
      <c r="I596">
        <v>3.4</v>
      </c>
      <c r="J596" t="s">
        <v>62</v>
      </c>
      <c r="K596">
        <v>2024</v>
      </c>
      <c r="L596">
        <v>31162.390000000003</v>
      </c>
      <c r="M596">
        <v>25</v>
      </c>
      <c r="N596" t="s">
        <v>27</v>
      </c>
      <c r="O596" t="s">
        <v>33</v>
      </c>
      <c r="P596">
        <f>FlipkartSales[[#This Row],[Price (INR)]]*FlipkartSales[[#This Row],[Quantity Sold]]</f>
        <v>155811.95000000001</v>
      </c>
      <c r="Q596">
        <f>FlipkartSales[[#This Row],[Total Sales (INR)]]-FlipkartSales[[#This Row],[Calculated Sales]]</f>
        <v>0</v>
      </c>
      <c r="R596" s="9">
        <f t="shared" si="72"/>
        <v>0.2</v>
      </c>
      <c r="S596">
        <f t="shared" si="73"/>
        <v>31162.390000000003</v>
      </c>
      <c r="T596">
        <f t="shared" si="74"/>
        <v>6232.478000000001</v>
      </c>
      <c r="U596">
        <f t="shared" si="75"/>
        <v>4</v>
      </c>
      <c r="V596" t="str">
        <f t="shared" si="76"/>
        <v>Q2</v>
      </c>
      <c r="W596" t="str">
        <f t="shared" si="77"/>
        <v>Apr-2024</v>
      </c>
      <c r="X596">
        <f t="shared" si="78"/>
        <v>38952.987500000003</v>
      </c>
      <c r="Y596" s="5">
        <f t="shared" si="79"/>
        <v>116858.96250000001</v>
      </c>
      <c r="Z596" s="21">
        <f>DATE(K596,MATCH(J596,{"January","February","March","April","May","June","July","August","September","October","November","December"},0),1)</f>
        <v>45383</v>
      </c>
    </row>
    <row r="597" spans="1:26" x14ac:dyDescent="0.3">
      <c r="A597" s="4" t="s">
        <v>665</v>
      </c>
      <c r="B597" s="4" t="s">
        <v>94</v>
      </c>
      <c r="C597" s="4" t="s">
        <v>31</v>
      </c>
      <c r="D597" s="5">
        <v>16017.54</v>
      </c>
      <c r="E597" s="6">
        <v>1</v>
      </c>
      <c r="F597" s="5">
        <v>16017.54</v>
      </c>
      <c r="G597" s="1">
        <v>45458</v>
      </c>
      <c r="H597" t="s">
        <v>25</v>
      </c>
      <c r="I597">
        <v>3.5</v>
      </c>
      <c r="J597" t="s">
        <v>67</v>
      </c>
      <c r="K597">
        <v>2024</v>
      </c>
      <c r="L597">
        <v>3203.5080000000003</v>
      </c>
      <c r="M597">
        <v>22</v>
      </c>
      <c r="N597" t="s">
        <v>20</v>
      </c>
      <c r="O597" t="s">
        <v>28</v>
      </c>
      <c r="P597">
        <f>FlipkartSales[[#This Row],[Price (INR)]]*FlipkartSales[[#This Row],[Quantity Sold]]</f>
        <v>16017.54</v>
      </c>
      <c r="Q597">
        <f>FlipkartSales[[#This Row],[Total Sales (INR)]]-FlipkartSales[[#This Row],[Calculated Sales]]</f>
        <v>0</v>
      </c>
      <c r="R597" s="9">
        <f t="shared" si="72"/>
        <v>0.2</v>
      </c>
      <c r="S597">
        <f t="shared" si="73"/>
        <v>16017.54</v>
      </c>
      <c r="T597">
        <f t="shared" si="74"/>
        <v>3203.5080000000003</v>
      </c>
      <c r="U597">
        <f t="shared" si="75"/>
        <v>6</v>
      </c>
      <c r="V597" t="str">
        <f t="shared" si="76"/>
        <v>Q2</v>
      </c>
      <c r="W597" t="str">
        <f t="shared" si="77"/>
        <v>Jun-2024</v>
      </c>
      <c r="X597">
        <f t="shared" si="78"/>
        <v>3523.8588</v>
      </c>
      <c r="Y597" s="5">
        <f t="shared" si="79"/>
        <v>12493.681200000001</v>
      </c>
      <c r="Z597" s="21">
        <f>DATE(K597,MATCH(J597,{"January","February","March","April","May","June","July","August","September","October","November","December"},0),1)</f>
        <v>45444</v>
      </c>
    </row>
    <row r="598" spans="1:26" x14ac:dyDescent="0.3">
      <c r="A598" s="4" t="s">
        <v>666</v>
      </c>
      <c r="B598" s="4" t="s">
        <v>39</v>
      </c>
      <c r="C598" s="4" t="s">
        <v>40</v>
      </c>
      <c r="D598" s="5">
        <v>19008.810000000001</v>
      </c>
      <c r="E598" s="6">
        <v>4</v>
      </c>
      <c r="F598" s="5">
        <v>76035.240000000005</v>
      </c>
      <c r="G598" s="1">
        <v>45478</v>
      </c>
      <c r="H598" t="s">
        <v>64</v>
      </c>
      <c r="I598">
        <v>4.2</v>
      </c>
      <c r="J598" t="s">
        <v>48</v>
      </c>
      <c r="K598">
        <v>2024</v>
      </c>
      <c r="L598">
        <v>15207.048000000003</v>
      </c>
      <c r="M598">
        <v>17</v>
      </c>
      <c r="N598" t="s">
        <v>41</v>
      </c>
      <c r="O598" t="s">
        <v>28</v>
      </c>
      <c r="P598">
        <f>FlipkartSales[[#This Row],[Price (INR)]]*FlipkartSales[[#This Row],[Quantity Sold]]</f>
        <v>76035.240000000005</v>
      </c>
      <c r="Q598">
        <f>FlipkartSales[[#This Row],[Total Sales (INR)]]-FlipkartSales[[#This Row],[Calculated Sales]]</f>
        <v>0</v>
      </c>
      <c r="R598" s="9">
        <f t="shared" si="72"/>
        <v>0.2</v>
      </c>
      <c r="S598">
        <f t="shared" si="73"/>
        <v>19008.810000000001</v>
      </c>
      <c r="T598">
        <f t="shared" si="74"/>
        <v>3801.7620000000006</v>
      </c>
      <c r="U598">
        <f t="shared" si="75"/>
        <v>7</v>
      </c>
      <c r="V598" t="str">
        <f t="shared" si="76"/>
        <v>Q3</v>
      </c>
      <c r="W598" t="str">
        <f t="shared" si="77"/>
        <v>Jul-2024</v>
      </c>
      <c r="X598">
        <f t="shared" si="78"/>
        <v>12925.990800000001</v>
      </c>
      <c r="Y598" s="5">
        <f t="shared" si="79"/>
        <v>63109.249200000006</v>
      </c>
      <c r="Z598" s="21">
        <f>DATE(K598,MATCH(J598,{"January","February","March","April","May","June","July","August","September","October","November","December"},0),1)</f>
        <v>45474</v>
      </c>
    </row>
    <row r="599" spans="1:26" x14ac:dyDescent="0.3">
      <c r="A599" s="4" t="s">
        <v>667</v>
      </c>
      <c r="B599" s="4" t="s">
        <v>107</v>
      </c>
      <c r="C599" s="4" t="s">
        <v>36</v>
      </c>
      <c r="D599" s="5">
        <v>22353.43</v>
      </c>
      <c r="E599" s="6">
        <v>3</v>
      </c>
      <c r="F599" s="5">
        <v>67060.289999999994</v>
      </c>
      <c r="G599" s="1">
        <v>45628</v>
      </c>
      <c r="H599" t="s">
        <v>18</v>
      </c>
      <c r="I599">
        <v>1.3</v>
      </c>
      <c r="J599" t="s">
        <v>26</v>
      </c>
      <c r="K599">
        <v>2024</v>
      </c>
      <c r="L599">
        <v>13412.057999999999</v>
      </c>
      <c r="M599">
        <v>15</v>
      </c>
      <c r="N599" t="s">
        <v>20</v>
      </c>
      <c r="O599" t="s">
        <v>28</v>
      </c>
      <c r="P599">
        <f>FlipkartSales[[#This Row],[Price (INR)]]*FlipkartSales[[#This Row],[Quantity Sold]]</f>
        <v>67060.290000000008</v>
      </c>
      <c r="Q599">
        <f>FlipkartSales[[#This Row],[Total Sales (INR)]]-FlipkartSales[[#This Row],[Calculated Sales]]</f>
        <v>0</v>
      </c>
      <c r="R599" s="9">
        <f t="shared" si="72"/>
        <v>0.2</v>
      </c>
      <c r="S599">
        <f t="shared" si="73"/>
        <v>22353.429999999997</v>
      </c>
      <c r="T599">
        <f t="shared" si="74"/>
        <v>4470.6859999999997</v>
      </c>
      <c r="U599">
        <f t="shared" si="75"/>
        <v>12</v>
      </c>
      <c r="V599" t="str">
        <f t="shared" si="76"/>
        <v>Q4</v>
      </c>
      <c r="W599" t="str">
        <f t="shared" si="77"/>
        <v>Dec-2024</v>
      </c>
      <c r="X599">
        <f t="shared" si="78"/>
        <v>10059.043499999998</v>
      </c>
      <c r="Y599" s="5">
        <f t="shared" si="79"/>
        <v>57001.246499999994</v>
      </c>
      <c r="Z599" s="21">
        <f>DATE(K599,MATCH(J599,{"January","February","March","April","May","June","July","August","September","October","November","December"},0),1)</f>
        <v>45627</v>
      </c>
    </row>
    <row r="600" spans="1:26" x14ac:dyDescent="0.3">
      <c r="A600" s="4" t="s">
        <v>668</v>
      </c>
      <c r="B600" s="4" t="s">
        <v>43</v>
      </c>
      <c r="C600" s="4" t="s">
        <v>40</v>
      </c>
      <c r="D600" s="5">
        <v>30122.28</v>
      </c>
      <c r="E600" s="6">
        <v>5</v>
      </c>
      <c r="F600" s="5">
        <v>150611.4</v>
      </c>
      <c r="G600" s="1">
        <v>45687</v>
      </c>
      <c r="H600" t="s">
        <v>25</v>
      </c>
      <c r="I600">
        <v>4.8</v>
      </c>
      <c r="J600" t="s">
        <v>53</v>
      </c>
      <c r="K600">
        <v>2025</v>
      </c>
      <c r="L600">
        <v>30122.28</v>
      </c>
      <c r="M600">
        <v>28</v>
      </c>
      <c r="N600" t="s">
        <v>27</v>
      </c>
      <c r="O600" t="s">
        <v>33</v>
      </c>
      <c r="P600">
        <f>FlipkartSales[[#This Row],[Price (INR)]]*FlipkartSales[[#This Row],[Quantity Sold]]</f>
        <v>150611.4</v>
      </c>
      <c r="Q600">
        <f>FlipkartSales[[#This Row],[Total Sales (INR)]]-FlipkartSales[[#This Row],[Calculated Sales]]</f>
        <v>0</v>
      </c>
      <c r="R600" s="9">
        <f t="shared" si="72"/>
        <v>0.2</v>
      </c>
      <c r="S600">
        <f t="shared" si="73"/>
        <v>30122.28</v>
      </c>
      <c r="T600">
        <f t="shared" si="74"/>
        <v>6024.4560000000001</v>
      </c>
      <c r="U600">
        <f t="shared" si="75"/>
        <v>1</v>
      </c>
      <c r="V600" t="str">
        <f t="shared" si="76"/>
        <v>Q1</v>
      </c>
      <c r="W600" t="str">
        <f t="shared" si="77"/>
        <v>Jan-2025</v>
      </c>
      <c r="X600">
        <f t="shared" si="78"/>
        <v>42171.192000000003</v>
      </c>
      <c r="Y600" s="5">
        <f t="shared" si="79"/>
        <v>108440.20799999998</v>
      </c>
      <c r="Z600" s="21">
        <f>DATE(K600,MATCH(J600,{"January","February","March","April","May","June","July","August","September","October","November","December"},0),1)</f>
        <v>45658</v>
      </c>
    </row>
    <row r="601" spans="1:26" x14ac:dyDescent="0.3">
      <c r="A601" s="4" t="s">
        <v>669</v>
      </c>
      <c r="B601" s="4" t="s">
        <v>55</v>
      </c>
      <c r="C601" s="4" t="s">
        <v>36</v>
      </c>
      <c r="D601" s="5">
        <v>7289.72</v>
      </c>
      <c r="E601" s="6">
        <v>5</v>
      </c>
      <c r="F601" s="5">
        <v>36448.6</v>
      </c>
      <c r="G601" s="1">
        <v>45441</v>
      </c>
      <c r="H601" t="s">
        <v>44</v>
      </c>
      <c r="I601">
        <v>1.9</v>
      </c>
      <c r="J601" t="s">
        <v>32</v>
      </c>
      <c r="K601">
        <v>2024</v>
      </c>
      <c r="L601">
        <v>7289.72</v>
      </c>
      <c r="M601">
        <v>8</v>
      </c>
      <c r="N601" t="s">
        <v>41</v>
      </c>
      <c r="O601" t="s">
        <v>28</v>
      </c>
      <c r="P601">
        <f>FlipkartSales[[#This Row],[Price (INR)]]*FlipkartSales[[#This Row],[Quantity Sold]]</f>
        <v>36448.6</v>
      </c>
      <c r="Q601">
        <f>FlipkartSales[[#This Row],[Total Sales (INR)]]-FlipkartSales[[#This Row],[Calculated Sales]]</f>
        <v>0</v>
      </c>
      <c r="R601" s="9">
        <f t="shared" si="72"/>
        <v>0.2</v>
      </c>
      <c r="S601">
        <f t="shared" si="73"/>
        <v>7289.7199999999993</v>
      </c>
      <c r="T601">
        <f t="shared" si="74"/>
        <v>1457.944</v>
      </c>
      <c r="U601">
        <f t="shared" si="75"/>
        <v>5</v>
      </c>
      <c r="V601" t="str">
        <f t="shared" si="76"/>
        <v>Q2</v>
      </c>
      <c r="W601" t="str">
        <f t="shared" si="77"/>
        <v>May-2024</v>
      </c>
      <c r="X601">
        <f t="shared" si="78"/>
        <v>2915.8879999999999</v>
      </c>
      <c r="Y601" s="5">
        <f t="shared" si="79"/>
        <v>33532.712</v>
      </c>
      <c r="Z601" s="21">
        <f>DATE(K601,MATCH(J601,{"January","February","March","April","May","June","July","August","September","October","November","December"},0),1)</f>
        <v>45413</v>
      </c>
    </row>
    <row r="602" spans="1:26" x14ac:dyDescent="0.3">
      <c r="A602" s="4" t="s">
        <v>670</v>
      </c>
      <c r="B602" s="4" t="s">
        <v>35</v>
      </c>
      <c r="C602" s="4" t="s">
        <v>36</v>
      </c>
      <c r="D602" s="5">
        <v>32122.43</v>
      </c>
      <c r="E602" s="6">
        <v>4</v>
      </c>
      <c r="F602" s="5">
        <v>128489.72</v>
      </c>
      <c r="G602" s="1">
        <v>45344</v>
      </c>
      <c r="H602" t="s">
        <v>64</v>
      </c>
      <c r="I602">
        <v>2.8</v>
      </c>
      <c r="J602" t="s">
        <v>59</v>
      </c>
      <c r="K602">
        <v>2024</v>
      </c>
      <c r="L602">
        <v>25697.944000000003</v>
      </c>
      <c r="M602">
        <v>29</v>
      </c>
      <c r="N602" t="s">
        <v>27</v>
      </c>
      <c r="O602" t="s">
        <v>33</v>
      </c>
      <c r="P602">
        <f>FlipkartSales[[#This Row],[Price (INR)]]*FlipkartSales[[#This Row],[Quantity Sold]]</f>
        <v>128489.72</v>
      </c>
      <c r="Q602">
        <f>FlipkartSales[[#This Row],[Total Sales (INR)]]-FlipkartSales[[#This Row],[Calculated Sales]]</f>
        <v>0</v>
      </c>
      <c r="R602" s="9">
        <f t="shared" si="72"/>
        <v>0.2</v>
      </c>
      <c r="S602">
        <f t="shared" si="73"/>
        <v>32122.43</v>
      </c>
      <c r="T602">
        <f t="shared" si="74"/>
        <v>6424.4860000000008</v>
      </c>
      <c r="U602">
        <f t="shared" si="75"/>
        <v>2</v>
      </c>
      <c r="V602" t="str">
        <f t="shared" si="76"/>
        <v>Q1</v>
      </c>
      <c r="W602" t="str">
        <f t="shared" si="77"/>
        <v>Feb-2024</v>
      </c>
      <c r="X602">
        <f t="shared" si="78"/>
        <v>37262.018799999998</v>
      </c>
      <c r="Y602" s="5">
        <f t="shared" si="79"/>
        <v>91227.70120000001</v>
      </c>
      <c r="Z602" s="21">
        <f>DATE(K602,MATCH(J602,{"January","February","March","April","May","June","July","August","September","October","November","December"},0),1)</f>
        <v>45323</v>
      </c>
    </row>
    <row r="603" spans="1:26" x14ac:dyDescent="0.3">
      <c r="A603" s="4" t="s">
        <v>671</v>
      </c>
      <c r="B603" s="4" t="s">
        <v>47</v>
      </c>
      <c r="C603" s="4" t="s">
        <v>24</v>
      </c>
      <c r="D603" s="5">
        <v>43852.34</v>
      </c>
      <c r="E603" s="6">
        <v>3</v>
      </c>
      <c r="F603" s="5">
        <v>131557.01999999999</v>
      </c>
      <c r="G603" s="1">
        <v>45406</v>
      </c>
      <c r="H603" t="s">
        <v>80</v>
      </c>
      <c r="I603">
        <v>4.2</v>
      </c>
      <c r="J603" t="s">
        <v>62</v>
      </c>
      <c r="K603">
        <v>2024</v>
      </c>
      <c r="L603">
        <v>26311.403999999999</v>
      </c>
      <c r="M603">
        <v>25</v>
      </c>
      <c r="N603" t="s">
        <v>27</v>
      </c>
      <c r="O603" t="s">
        <v>21</v>
      </c>
      <c r="P603">
        <f>FlipkartSales[[#This Row],[Price (INR)]]*FlipkartSales[[#This Row],[Quantity Sold]]</f>
        <v>131557.01999999999</v>
      </c>
      <c r="Q603">
        <f>FlipkartSales[[#This Row],[Total Sales (INR)]]-FlipkartSales[[#This Row],[Calculated Sales]]</f>
        <v>0</v>
      </c>
      <c r="R603" s="9">
        <f t="shared" si="72"/>
        <v>0.2</v>
      </c>
      <c r="S603">
        <f t="shared" si="73"/>
        <v>43852.34</v>
      </c>
      <c r="T603">
        <f t="shared" si="74"/>
        <v>8770.4679999999989</v>
      </c>
      <c r="U603">
        <f t="shared" si="75"/>
        <v>4</v>
      </c>
      <c r="V603" t="str">
        <f t="shared" si="76"/>
        <v>Q2</v>
      </c>
      <c r="W603" t="str">
        <f t="shared" si="77"/>
        <v>Apr-2024</v>
      </c>
      <c r="X603">
        <f t="shared" si="78"/>
        <v>32889.254999999997</v>
      </c>
      <c r="Y603" s="5">
        <f t="shared" si="79"/>
        <v>98667.764999999985</v>
      </c>
      <c r="Z603" s="21">
        <f>DATE(K603,MATCH(J603,{"January","February","March","April","May","June","July","August","September","October","November","December"},0),1)</f>
        <v>45383</v>
      </c>
    </row>
    <row r="604" spans="1:26" x14ac:dyDescent="0.3">
      <c r="A604" s="4" t="s">
        <v>672</v>
      </c>
      <c r="B604" s="4" t="s">
        <v>84</v>
      </c>
      <c r="C604" s="4" t="s">
        <v>40</v>
      </c>
      <c r="D604" s="5">
        <v>23005.86</v>
      </c>
      <c r="E604" s="6">
        <v>1</v>
      </c>
      <c r="F604" s="5">
        <v>23005.86</v>
      </c>
      <c r="G604" s="1">
        <v>45491</v>
      </c>
      <c r="H604" t="s">
        <v>71</v>
      </c>
      <c r="I604">
        <v>4.8</v>
      </c>
      <c r="J604" t="s">
        <v>48</v>
      </c>
      <c r="K604">
        <v>2024</v>
      </c>
      <c r="L604">
        <v>4601.1720000000005</v>
      </c>
      <c r="M604">
        <v>29</v>
      </c>
      <c r="N604" t="s">
        <v>20</v>
      </c>
      <c r="O604" t="s">
        <v>68</v>
      </c>
      <c r="P604">
        <f>FlipkartSales[[#This Row],[Price (INR)]]*FlipkartSales[[#This Row],[Quantity Sold]]</f>
        <v>23005.86</v>
      </c>
      <c r="Q604">
        <f>FlipkartSales[[#This Row],[Total Sales (INR)]]-FlipkartSales[[#This Row],[Calculated Sales]]</f>
        <v>0</v>
      </c>
      <c r="R604" s="9">
        <f t="shared" si="72"/>
        <v>0.2</v>
      </c>
      <c r="S604">
        <f t="shared" si="73"/>
        <v>23005.86</v>
      </c>
      <c r="T604">
        <f t="shared" si="74"/>
        <v>4601.1720000000005</v>
      </c>
      <c r="U604">
        <f t="shared" si="75"/>
        <v>7</v>
      </c>
      <c r="V604" t="str">
        <f t="shared" si="76"/>
        <v>Q3</v>
      </c>
      <c r="W604" t="str">
        <f t="shared" si="77"/>
        <v>Jul-2024</v>
      </c>
      <c r="X604">
        <f t="shared" si="78"/>
        <v>6671.6994000000004</v>
      </c>
      <c r="Y604" s="5">
        <f t="shared" si="79"/>
        <v>16334.160599999999</v>
      </c>
      <c r="Z604" s="21">
        <f>DATE(K604,MATCH(J604,{"January","February","March","April","May","June","July","August","September","October","November","December"},0),1)</f>
        <v>45474</v>
      </c>
    </row>
    <row r="605" spans="1:26" x14ac:dyDescent="0.3">
      <c r="A605" s="4" t="s">
        <v>673</v>
      </c>
      <c r="B605" s="4" t="s">
        <v>47</v>
      </c>
      <c r="C605" s="4" t="s">
        <v>24</v>
      </c>
      <c r="D605" s="5">
        <v>48580.6</v>
      </c>
      <c r="E605" s="6">
        <v>1</v>
      </c>
      <c r="F605" s="5">
        <v>48580.6</v>
      </c>
      <c r="G605" s="1">
        <v>45574</v>
      </c>
      <c r="H605" t="s">
        <v>25</v>
      </c>
      <c r="I605">
        <v>3</v>
      </c>
      <c r="J605" t="s">
        <v>45</v>
      </c>
      <c r="K605">
        <v>2024</v>
      </c>
      <c r="L605">
        <v>9716.1200000000008</v>
      </c>
      <c r="M605">
        <v>8</v>
      </c>
      <c r="N605" t="s">
        <v>27</v>
      </c>
      <c r="O605" t="s">
        <v>68</v>
      </c>
      <c r="P605">
        <f>FlipkartSales[[#This Row],[Price (INR)]]*FlipkartSales[[#This Row],[Quantity Sold]]</f>
        <v>48580.6</v>
      </c>
      <c r="Q605">
        <f>FlipkartSales[[#This Row],[Total Sales (INR)]]-FlipkartSales[[#This Row],[Calculated Sales]]</f>
        <v>0</v>
      </c>
      <c r="R605" s="9">
        <f t="shared" si="72"/>
        <v>0.2</v>
      </c>
      <c r="S605">
        <f t="shared" si="73"/>
        <v>48580.6</v>
      </c>
      <c r="T605">
        <f t="shared" si="74"/>
        <v>9716.1200000000008</v>
      </c>
      <c r="U605">
        <f t="shared" si="75"/>
        <v>10</v>
      </c>
      <c r="V605" t="str">
        <f t="shared" si="76"/>
        <v>Q4</v>
      </c>
      <c r="W605" t="str">
        <f t="shared" si="77"/>
        <v>Oct-2024</v>
      </c>
      <c r="X605">
        <f t="shared" si="78"/>
        <v>3886.4479999999999</v>
      </c>
      <c r="Y605" s="5">
        <f t="shared" si="79"/>
        <v>44694.152000000002</v>
      </c>
      <c r="Z605" s="21">
        <f>DATE(K605,MATCH(J605,{"January","February","March","April","May","June","July","August","September","October","November","December"},0),1)</f>
        <v>45566</v>
      </c>
    </row>
    <row r="606" spans="1:26" x14ac:dyDescent="0.3">
      <c r="A606" s="4" t="s">
        <v>674</v>
      </c>
      <c r="B606" s="4" t="s">
        <v>30</v>
      </c>
      <c r="C606" s="4" t="s">
        <v>31</v>
      </c>
      <c r="D606" s="5">
        <v>10320.870000000001</v>
      </c>
      <c r="E606" s="6">
        <v>5</v>
      </c>
      <c r="F606" s="5">
        <v>51604.35</v>
      </c>
      <c r="G606" s="1">
        <v>45693</v>
      </c>
      <c r="H606" t="s">
        <v>44</v>
      </c>
      <c r="I606">
        <v>2.8</v>
      </c>
      <c r="J606" t="s">
        <v>59</v>
      </c>
      <c r="K606">
        <v>2025</v>
      </c>
      <c r="L606">
        <v>10320.870000000001</v>
      </c>
      <c r="M606">
        <v>14</v>
      </c>
      <c r="N606" t="s">
        <v>20</v>
      </c>
      <c r="O606" t="s">
        <v>28</v>
      </c>
      <c r="P606">
        <f>FlipkartSales[[#This Row],[Price (INR)]]*FlipkartSales[[#This Row],[Quantity Sold]]</f>
        <v>51604.350000000006</v>
      </c>
      <c r="Q606">
        <f>FlipkartSales[[#This Row],[Total Sales (INR)]]-FlipkartSales[[#This Row],[Calculated Sales]]</f>
        <v>0</v>
      </c>
      <c r="R606" s="9">
        <f t="shared" si="72"/>
        <v>0.2</v>
      </c>
      <c r="S606">
        <f t="shared" si="73"/>
        <v>10320.869999999999</v>
      </c>
      <c r="T606">
        <f t="shared" si="74"/>
        <v>2064.174</v>
      </c>
      <c r="U606">
        <f t="shared" si="75"/>
        <v>2</v>
      </c>
      <c r="V606" t="str">
        <f t="shared" si="76"/>
        <v>Q1</v>
      </c>
      <c r="W606" t="str">
        <f t="shared" si="77"/>
        <v>Feb-2025</v>
      </c>
      <c r="X606">
        <f t="shared" si="78"/>
        <v>7224.6090000000004</v>
      </c>
      <c r="Y606" s="5">
        <f t="shared" si="79"/>
        <v>44379.740999999995</v>
      </c>
      <c r="Z606" s="21">
        <f>DATE(K606,MATCH(J606,{"January","February","March","April","May","June","July","August","September","October","November","December"},0),1)</f>
        <v>45689</v>
      </c>
    </row>
    <row r="607" spans="1:26" x14ac:dyDescent="0.3">
      <c r="A607" s="4" t="s">
        <v>675</v>
      </c>
      <c r="B607" s="4" t="s">
        <v>39</v>
      </c>
      <c r="C607" s="4" t="s">
        <v>40</v>
      </c>
      <c r="D607" s="5">
        <v>43149.24</v>
      </c>
      <c r="E607" s="6">
        <v>1</v>
      </c>
      <c r="F607" s="5">
        <v>43149.24</v>
      </c>
      <c r="G607" s="1">
        <v>45479</v>
      </c>
      <c r="H607" t="s">
        <v>25</v>
      </c>
      <c r="I607">
        <v>1.9</v>
      </c>
      <c r="J607" t="s">
        <v>48</v>
      </c>
      <c r="K607">
        <v>2024</v>
      </c>
      <c r="L607">
        <v>8629.848</v>
      </c>
      <c r="M607">
        <v>9</v>
      </c>
      <c r="N607" t="s">
        <v>41</v>
      </c>
      <c r="O607" t="s">
        <v>33</v>
      </c>
      <c r="P607">
        <f>FlipkartSales[[#This Row],[Price (INR)]]*FlipkartSales[[#This Row],[Quantity Sold]]</f>
        <v>43149.24</v>
      </c>
      <c r="Q607">
        <f>FlipkartSales[[#This Row],[Total Sales (INR)]]-FlipkartSales[[#This Row],[Calculated Sales]]</f>
        <v>0</v>
      </c>
      <c r="R607" s="9">
        <f t="shared" si="72"/>
        <v>0.2</v>
      </c>
      <c r="S607">
        <f t="shared" si="73"/>
        <v>43149.24</v>
      </c>
      <c r="T607">
        <f t="shared" si="74"/>
        <v>8629.848</v>
      </c>
      <c r="U607">
        <f t="shared" si="75"/>
        <v>7</v>
      </c>
      <c r="V607" t="str">
        <f t="shared" si="76"/>
        <v>Q3</v>
      </c>
      <c r="W607" t="str">
        <f t="shared" si="77"/>
        <v>Jul-2024</v>
      </c>
      <c r="X607">
        <f t="shared" si="78"/>
        <v>3883.4315999999999</v>
      </c>
      <c r="Y607" s="5">
        <f t="shared" si="79"/>
        <v>39265.808399999994</v>
      </c>
      <c r="Z607" s="21">
        <f>DATE(K607,MATCH(J607,{"January","February","March","April","May","June","July","August","September","October","November","December"},0),1)</f>
        <v>45474</v>
      </c>
    </row>
    <row r="608" spans="1:26" x14ac:dyDescent="0.3">
      <c r="A608" s="4" t="s">
        <v>676</v>
      </c>
      <c r="B608" s="4" t="s">
        <v>125</v>
      </c>
      <c r="C608" s="4" t="s">
        <v>17</v>
      </c>
      <c r="D608" s="5">
        <v>567.80999999999995</v>
      </c>
      <c r="E608" s="6">
        <v>4</v>
      </c>
      <c r="F608" s="5">
        <v>2271.2399999999998</v>
      </c>
      <c r="G608" s="1">
        <v>45674</v>
      </c>
      <c r="H608" t="s">
        <v>44</v>
      </c>
      <c r="I608">
        <v>4.5</v>
      </c>
      <c r="J608" t="s">
        <v>53</v>
      </c>
      <c r="K608">
        <v>2025</v>
      </c>
      <c r="L608">
        <v>454.24799999999999</v>
      </c>
      <c r="M608">
        <v>13</v>
      </c>
      <c r="N608" t="s">
        <v>20</v>
      </c>
      <c r="O608" t="s">
        <v>68</v>
      </c>
      <c r="P608">
        <f>FlipkartSales[[#This Row],[Price (INR)]]*FlipkartSales[[#This Row],[Quantity Sold]]</f>
        <v>2271.2399999999998</v>
      </c>
      <c r="Q608">
        <f>FlipkartSales[[#This Row],[Total Sales (INR)]]-FlipkartSales[[#This Row],[Calculated Sales]]</f>
        <v>0</v>
      </c>
      <c r="R608" s="9">
        <f t="shared" si="72"/>
        <v>0.2</v>
      </c>
      <c r="S608">
        <f t="shared" si="73"/>
        <v>567.80999999999995</v>
      </c>
      <c r="T608">
        <f t="shared" si="74"/>
        <v>113.562</v>
      </c>
      <c r="U608">
        <f t="shared" si="75"/>
        <v>1</v>
      </c>
      <c r="V608" t="str">
        <f t="shared" si="76"/>
        <v>Q1</v>
      </c>
      <c r="W608" t="str">
        <f t="shared" si="77"/>
        <v>Jan-2025</v>
      </c>
      <c r="X608">
        <f t="shared" si="78"/>
        <v>295.26119999999997</v>
      </c>
      <c r="Y608" s="5">
        <f t="shared" si="79"/>
        <v>1975.9787999999999</v>
      </c>
      <c r="Z608" s="21">
        <f>DATE(K608,MATCH(J608,{"January","February","March","April","May","June","July","August","September","October","November","December"},0),1)</f>
        <v>45658</v>
      </c>
    </row>
    <row r="609" spans="1:26" x14ac:dyDescent="0.3">
      <c r="A609" s="4" t="s">
        <v>677</v>
      </c>
      <c r="B609" s="4" t="s">
        <v>70</v>
      </c>
      <c r="C609" s="4" t="s">
        <v>17</v>
      </c>
      <c r="D609" s="5">
        <v>6705.43</v>
      </c>
      <c r="E609" s="6">
        <v>5</v>
      </c>
      <c r="F609" s="5">
        <v>33527.15</v>
      </c>
      <c r="G609" s="1">
        <v>45536</v>
      </c>
      <c r="H609" t="s">
        <v>44</v>
      </c>
      <c r="I609">
        <v>4.5</v>
      </c>
      <c r="J609" t="s">
        <v>19</v>
      </c>
      <c r="K609">
        <v>2024</v>
      </c>
      <c r="L609">
        <v>6705.43</v>
      </c>
      <c r="M609">
        <v>28</v>
      </c>
      <c r="N609" t="s">
        <v>41</v>
      </c>
      <c r="O609" t="s">
        <v>33</v>
      </c>
      <c r="P609">
        <f>FlipkartSales[[#This Row],[Price (INR)]]*FlipkartSales[[#This Row],[Quantity Sold]]</f>
        <v>33527.15</v>
      </c>
      <c r="Q609">
        <f>FlipkartSales[[#This Row],[Total Sales (INR)]]-FlipkartSales[[#This Row],[Calculated Sales]]</f>
        <v>0</v>
      </c>
      <c r="R609" s="9">
        <f t="shared" si="72"/>
        <v>0.2</v>
      </c>
      <c r="S609">
        <f t="shared" si="73"/>
        <v>6705.43</v>
      </c>
      <c r="T609">
        <f t="shared" si="74"/>
        <v>1341.086</v>
      </c>
      <c r="U609">
        <f t="shared" si="75"/>
        <v>9</v>
      </c>
      <c r="V609" t="str">
        <f t="shared" si="76"/>
        <v>Q3</v>
      </c>
      <c r="W609" t="str">
        <f t="shared" si="77"/>
        <v>Sep-2024</v>
      </c>
      <c r="X609">
        <f t="shared" si="78"/>
        <v>9387.6020000000008</v>
      </c>
      <c r="Y609" s="5">
        <f t="shared" si="79"/>
        <v>24139.548000000003</v>
      </c>
      <c r="Z609" s="21">
        <f>DATE(K609,MATCH(J609,{"January","February","March","April","May","June","July","August","September","October","November","December"},0),1)</f>
        <v>45536</v>
      </c>
    </row>
    <row r="610" spans="1:26" x14ac:dyDescent="0.3">
      <c r="A610" s="4" t="s">
        <v>678</v>
      </c>
      <c r="B610" s="4" t="s">
        <v>78</v>
      </c>
      <c r="C610" s="4" t="s">
        <v>24</v>
      </c>
      <c r="D610" s="5">
        <v>29974.35</v>
      </c>
      <c r="E610" s="6">
        <v>5</v>
      </c>
      <c r="F610" s="5">
        <v>149871.75</v>
      </c>
      <c r="G610" s="1">
        <v>45658</v>
      </c>
      <c r="H610" t="s">
        <v>44</v>
      </c>
      <c r="I610">
        <v>3.1</v>
      </c>
      <c r="J610" t="s">
        <v>53</v>
      </c>
      <c r="K610">
        <v>2025</v>
      </c>
      <c r="L610">
        <v>29974.350000000002</v>
      </c>
      <c r="M610">
        <v>7</v>
      </c>
      <c r="N610" t="s">
        <v>20</v>
      </c>
      <c r="O610" t="s">
        <v>33</v>
      </c>
      <c r="P610">
        <f>FlipkartSales[[#This Row],[Price (INR)]]*FlipkartSales[[#This Row],[Quantity Sold]]</f>
        <v>149871.75</v>
      </c>
      <c r="Q610">
        <f>FlipkartSales[[#This Row],[Total Sales (INR)]]-FlipkartSales[[#This Row],[Calculated Sales]]</f>
        <v>0</v>
      </c>
      <c r="R610" s="9">
        <f t="shared" si="72"/>
        <v>0.2</v>
      </c>
      <c r="S610">
        <f t="shared" si="73"/>
        <v>29974.35</v>
      </c>
      <c r="T610">
        <f t="shared" si="74"/>
        <v>5994.8700000000008</v>
      </c>
      <c r="U610">
        <f t="shared" si="75"/>
        <v>1</v>
      </c>
      <c r="V610" t="str">
        <f t="shared" si="76"/>
        <v>Q1</v>
      </c>
      <c r="W610" t="str">
        <f t="shared" si="77"/>
        <v>Jan-2025</v>
      </c>
      <c r="X610">
        <f t="shared" si="78"/>
        <v>10491.022499999999</v>
      </c>
      <c r="Y610" s="5">
        <f t="shared" si="79"/>
        <v>139380.72750000001</v>
      </c>
      <c r="Z610" s="21">
        <f>DATE(K610,MATCH(J610,{"January","February","March","April","May","June","July","August","September","October","November","December"},0),1)</f>
        <v>45658</v>
      </c>
    </row>
    <row r="611" spans="1:26" x14ac:dyDescent="0.3">
      <c r="A611" s="4" t="s">
        <v>679</v>
      </c>
      <c r="B611" s="4" t="s">
        <v>55</v>
      </c>
      <c r="C611" s="4" t="s">
        <v>36</v>
      </c>
      <c r="D611" s="5">
        <v>5739.3</v>
      </c>
      <c r="E611" s="6">
        <v>4</v>
      </c>
      <c r="F611" s="5">
        <v>22957.200000000001</v>
      </c>
      <c r="G611" s="1">
        <v>45488</v>
      </c>
      <c r="H611" t="s">
        <v>71</v>
      </c>
      <c r="I611">
        <v>4.5999999999999996</v>
      </c>
      <c r="J611" t="s">
        <v>48</v>
      </c>
      <c r="K611">
        <v>2024</v>
      </c>
      <c r="L611">
        <v>4591.4400000000005</v>
      </c>
      <c r="M611">
        <v>21</v>
      </c>
      <c r="N611" t="s">
        <v>27</v>
      </c>
      <c r="O611" t="s">
        <v>28</v>
      </c>
      <c r="P611">
        <f>FlipkartSales[[#This Row],[Price (INR)]]*FlipkartSales[[#This Row],[Quantity Sold]]</f>
        <v>22957.200000000001</v>
      </c>
      <c r="Q611">
        <f>FlipkartSales[[#This Row],[Total Sales (INR)]]-FlipkartSales[[#This Row],[Calculated Sales]]</f>
        <v>0</v>
      </c>
      <c r="R611" s="9">
        <f t="shared" si="72"/>
        <v>0.2</v>
      </c>
      <c r="S611">
        <f t="shared" si="73"/>
        <v>5739.3</v>
      </c>
      <c r="T611">
        <f t="shared" si="74"/>
        <v>1147.8600000000001</v>
      </c>
      <c r="U611">
        <f t="shared" si="75"/>
        <v>7</v>
      </c>
      <c r="V611" t="str">
        <f t="shared" si="76"/>
        <v>Q3</v>
      </c>
      <c r="W611" t="str">
        <f t="shared" si="77"/>
        <v>Jul-2024</v>
      </c>
      <c r="X611">
        <f t="shared" si="78"/>
        <v>4821.0119999999997</v>
      </c>
      <c r="Y611" s="5">
        <f t="shared" si="79"/>
        <v>18136.188000000002</v>
      </c>
      <c r="Z611" s="21">
        <f>DATE(K611,MATCH(J611,{"January","February","March","April","May","June","July","August","September","October","November","December"},0),1)</f>
        <v>45474</v>
      </c>
    </row>
    <row r="612" spans="1:26" x14ac:dyDescent="0.3">
      <c r="A612" s="4" t="s">
        <v>680</v>
      </c>
      <c r="B612" s="4" t="s">
        <v>23</v>
      </c>
      <c r="C612" s="4" t="s">
        <v>24</v>
      </c>
      <c r="D612" s="5">
        <v>21417.72</v>
      </c>
      <c r="E612" s="6">
        <v>4</v>
      </c>
      <c r="F612" s="5">
        <v>85670.88</v>
      </c>
      <c r="G612" s="1">
        <v>45493</v>
      </c>
      <c r="H612" t="s">
        <v>18</v>
      </c>
      <c r="I612">
        <v>4.5</v>
      </c>
      <c r="J612" t="s">
        <v>48</v>
      </c>
      <c r="K612">
        <v>2024</v>
      </c>
      <c r="L612">
        <v>17134.176000000003</v>
      </c>
      <c r="M612">
        <v>7</v>
      </c>
      <c r="N612" t="s">
        <v>20</v>
      </c>
      <c r="O612" t="s">
        <v>68</v>
      </c>
      <c r="P612">
        <f>FlipkartSales[[#This Row],[Price (INR)]]*FlipkartSales[[#This Row],[Quantity Sold]]</f>
        <v>85670.88</v>
      </c>
      <c r="Q612">
        <f>FlipkartSales[[#This Row],[Total Sales (INR)]]-FlipkartSales[[#This Row],[Calculated Sales]]</f>
        <v>0</v>
      </c>
      <c r="R612" s="9">
        <f t="shared" si="72"/>
        <v>0.20000000000000004</v>
      </c>
      <c r="S612">
        <f t="shared" si="73"/>
        <v>21417.72</v>
      </c>
      <c r="T612">
        <f t="shared" si="74"/>
        <v>4283.5440000000008</v>
      </c>
      <c r="U612">
        <f t="shared" si="75"/>
        <v>7</v>
      </c>
      <c r="V612" t="str">
        <f t="shared" si="76"/>
        <v>Q3</v>
      </c>
      <c r="W612" t="str">
        <f t="shared" si="77"/>
        <v>Jul-2024</v>
      </c>
      <c r="X612">
        <f t="shared" si="78"/>
        <v>5996.9616000000005</v>
      </c>
      <c r="Y612" s="5">
        <f t="shared" si="79"/>
        <v>79673.91840000001</v>
      </c>
      <c r="Z612" s="21">
        <f>DATE(K612,MATCH(J612,{"January","February","March","April","May","June","July","August","September","October","November","December"},0),1)</f>
        <v>45474</v>
      </c>
    </row>
    <row r="613" spans="1:26" x14ac:dyDescent="0.3">
      <c r="A613" s="4" t="s">
        <v>681</v>
      </c>
      <c r="B613" s="4" t="s">
        <v>50</v>
      </c>
      <c r="C613" s="4" t="s">
        <v>40</v>
      </c>
      <c r="D613" s="5">
        <v>25404.68</v>
      </c>
      <c r="E613" s="6">
        <v>4</v>
      </c>
      <c r="F613" s="5">
        <v>101618.72</v>
      </c>
      <c r="G613" s="1">
        <v>45668</v>
      </c>
      <c r="H613" t="s">
        <v>71</v>
      </c>
      <c r="I613">
        <v>4.5999999999999996</v>
      </c>
      <c r="J613" t="s">
        <v>53</v>
      </c>
      <c r="K613">
        <v>2025</v>
      </c>
      <c r="L613">
        <v>20323.744000000002</v>
      </c>
      <c r="M613">
        <v>20</v>
      </c>
      <c r="N613" t="s">
        <v>20</v>
      </c>
      <c r="O613" t="s">
        <v>28</v>
      </c>
      <c r="P613">
        <f>FlipkartSales[[#This Row],[Price (INR)]]*FlipkartSales[[#This Row],[Quantity Sold]]</f>
        <v>101618.72</v>
      </c>
      <c r="Q613">
        <f>FlipkartSales[[#This Row],[Total Sales (INR)]]-FlipkartSales[[#This Row],[Calculated Sales]]</f>
        <v>0</v>
      </c>
      <c r="R613" s="9">
        <f t="shared" si="72"/>
        <v>0.2</v>
      </c>
      <c r="S613">
        <f t="shared" si="73"/>
        <v>25404.68</v>
      </c>
      <c r="T613">
        <f t="shared" si="74"/>
        <v>5080.9360000000006</v>
      </c>
      <c r="U613">
        <f t="shared" si="75"/>
        <v>1</v>
      </c>
      <c r="V613" t="str">
        <f t="shared" si="76"/>
        <v>Q1</v>
      </c>
      <c r="W613" t="str">
        <f t="shared" si="77"/>
        <v>Jan-2025</v>
      </c>
      <c r="X613">
        <f t="shared" si="78"/>
        <v>20323.743999999999</v>
      </c>
      <c r="Y613" s="5">
        <f t="shared" si="79"/>
        <v>81294.975999999995</v>
      </c>
      <c r="Z613" s="21">
        <f>DATE(K613,MATCH(J613,{"January","February","March","April","May","June","July","August","September","October","November","December"},0),1)</f>
        <v>45658</v>
      </c>
    </row>
    <row r="614" spans="1:26" x14ac:dyDescent="0.3">
      <c r="A614" s="4" t="s">
        <v>682</v>
      </c>
      <c r="B614" s="4" t="s">
        <v>43</v>
      </c>
      <c r="C614" s="4" t="s">
        <v>40</v>
      </c>
      <c r="D614" s="5">
        <v>27582.01</v>
      </c>
      <c r="E614" s="6">
        <v>2</v>
      </c>
      <c r="F614" s="5">
        <v>55164.02</v>
      </c>
      <c r="G614" s="1">
        <v>45335</v>
      </c>
      <c r="H614" t="s">
        <v>18</v>
      </c>
      <c r="I614">
        <v>1.5</v>
      </c>
      <c r="J614" t="s">
        <v>59</v>
      </c>
      <c r="K614">
        <v>2024</v>
      </c>
      <c r="L614">
        <v>11032.804</v>
      </c>
      <c r="M614">
        <v>8</v>
      </c>
      <c r="N614" t="s">
        <v>41</v>
      </c>
      <c r="O614" t="s">
        <v>28</v>
      </c>
      <c r="P614">
        <f>FlipkartSales[[#This Row],[Price (INR)]]*FlipkartSales[[#This Row],[Quantity Sold]]</f>
        <v>55164.02</v>
      </c>
      <c r="Q614">
        <f>FlipkartSales[[#This Row],[Total Sales (INR)]]-FlipkartSales[[#This Row],[Calculated Sales]]</f>
        <v>0</v>
      </c>
      <c r="R614" s="9">
        <f t="shared" si="72"/>
        <v>0.2</v>
      </c>
      <c r="S614">
        <f t="shared" si="73"/>
        <v>27582.01</v>
      </c>
      <c r="T614">
        <f t="shared" si="74"/>
        <v>5516.402</v>
      </c>
      <c r="U614">
        <f t="shared" si="75"/>
        <v>2</v>
      </c>
      <c r="V614" t="str">
        <f t="shared" si="76"/>
        <v>Q1</v>
      </c>
      <c r="W614" t="str">
        <f t="shared" si="77"/>
        <v>Feb-2024</v>
      </c>
      <c r="X614">
        <f t="shared" si="78"/>
        <v>4413.1215999999995</v>
      </c>
      <c r="Y614" s="5">
        <f t="shared" si="79"/>
        <v>50750.898399999998</v>
      </c>
      <c r="Z614" s="21">
        <f>DATE(K614,MATCH(J614,{"January","February","March","April","May","June","July","August","September","October","November","December"},0),1)</f>
        <v>45323</v>
      </c>
    </row>
    <row r="615" spans="1:26" x14ac:dyDescent="0.3">
      <c r="A615" s="4" t="s">
        <v>683</v>
      </c>
      <c r="B615" s="4" t="s">
        <v>84</v>
      </c>
      <c r="C615" s="4" t="s">
        <v>40</v>
      </c>
      <c r="D615" s="5">
        <v>23584.89</v>
      </c>
      <c r="E615" s="6">
        <v>3</v>
      </c>
      <c r="F615" s="5">
        <v>70754.67</v>
      </c>
      <c r="G615" s="1">
        <v>45480</v>
      </c>
      <c r="H615" t="s">
        <v>44</v>
      </c>
      <c r="I615">
        <v>4.0999999999999996</v>
      </c>
      <c r="J615" t="s">
        <v>48</v>
      </c>
      <c r="K615">
        <v>2024</v>
      </c>
      <c r="L615">
        <v>14150.934000000001</v>
      </c>
      <c r="M615">
        <v>22</v>
      </c>
      <c r="N615" t="s">
        <v>27</v>
      </c>
      <c r="O615" t="s">
        <v>68</v>
      </c>
      <c r="P615">
        <f>FlipkartSales[[#This Row],[Price (INR)]]*FlipkartSales[[#This Row],[Quantity Sold]]</f>
        <v>70754.67</v>
      </c>
      <c r="Q615">
        <f>FlipkartSales[[#This Row],[Total Sales (INR)]]-FlipkartSales[[#This Row],[Calculated Sales]]</f>
        <v>0</v>
      </c>
      <c r="R615" s="9">
        <f t="shared" si="72"/>
        <v>0.2</v>
      </c>
      <c r="S615">
        <f t="shared" si="73"/>
        <v>23584.89</v>
      </c>
      <c r="T615">
        <f t="shared" si="74"/>
        <v>4716.9780000000001</v>
      </c>
      <c r="U615">
        <f t="shared" si="75"/>
        <v>7</v>
      </c>
      <c r="V615" t="str">
        <f t="shared" si="76"/>
        <v>Q3</v>
      </c>
      <c r="W615" t="str">
        <f t="shared" si="77"/>
        <v>Jul-2024</v>
      </c>
      <c r="X615">
        <f t="shared" si="78"/>
        <v>15566.027399999999</v>
      </c>
      <c r="Y615" s="5">
        <f t="shared" si="79"/>
        <v>55188.642599999999</v>
      </c>
      <c r="Z615" s="21">
        <f>DATE(K615,MATCH(J615,{"January","February","March","April","May","June","July","August","September","October","November","December"},0),1)</f>
        <v>45474</v>
      </c>
    </row>
    <row r="616" spans="1:26" x14ac:dyDescent="0.3">
      <c r="A616" s="4" t="s">
        <v>684</v>
      </c>
      <c r="B616" s="4" t="s">
        <v>16</v>
      </c>
      <c r="C616" s="4" t="s">
        <v>17</v>
      </c>
      <c r="D616" s="5">
        <v>24444.89</v>
      </c>
      <c r="E616" s="6">
        <v>3</v>
      </c>
      <c r="F616" s="5">
        <v>73334.67</v>
      </c>
      <c r="G616" s="1">
        <v>45533</v>
      </c>
      <c r="H616" t="s">
        <v>44</v>
      </c>
      <c r="I616">
        <v>1.2</v>
      </c>
      <c r="J616" t="s">
        <v>88</v>
      </c>
      <c r="K616">
        <v>2024</v>
      </c>
      <c r="L616">
        <v>14666.934000000001</v>
      </c>
      <c r="M616">
        <v>21</v>
      </c>
      <c r="N616" t="s">
        <v>20</v>
      </c>
      <c r="O616" t="s">
        <v>68</v>
      </c>
      <c r="P616">
        <f>FlipkartSales[[#This Row],[Price (INR)]]*FlipkartSales[[#This Row],[Quantity Sold]]</f>
        <v>73334.67</v>
      </c>
      <c r="Q616">
        <f>FlipkartSales[[#This Row],[Total Sales (INR)]]-FlipkartSales[[#This Row],[Calculated Sales]]</f>
        <v>0</v>
      </c>
      <c r="R616" s="9">
        <f t="shared" si="72"/>
        <v>0.2</v>
      </c>
      <c r="S616">
        <f t="shared" si="73"/>
        <v>24444.89</v>
      </c>
      <c r="T616">
        <f t="shared" si="74"/>
        <v>4888.9780000000001</v>
      </c>
      <c r="U616">
        <f t="shared" si="75"/>
        <v>8</v>
      </c>
      <c r="V616" t="str">
        <f t="shared" si="76"/>
        <v>Q3</v>
      </c>
      <c r="W616" t="str">
        <f t="shared" si="77"/>
        <v>Aug-2024</v>
      </c>
      <c r="X616">
        <f t="shared" si="78"/>
        <v>15400.280700000001</v>
      </c>
      <c r="Y616" s="5">
        <f t="shared" si="79"/>
        <v>57934.389299999995</v>
      </c>
      <c r="Z616" s="21">
        <f>DATE(K616,MATCH(J616,{"January","February","March","April","May","June","July","August","September","October","November","December"},0),1)</f>
        <v>45505</v>
      </c>
    </row>
    <row r="617" spans="1:26" x14ac:dyDescent="0.3">
      <c r="A617" s="4" t="s">
        <v>685</v>
      </c>
      <c r="B617" s="4" t="s">
        <v>176</v>
      </c>
      <c r="C617" s="4" t="s">
        <v>24</v>
      </c>
      <c r="D617" s="5">
        <v>8080.22</v>
      </c>
      <c r="E617" s="6">
        <v>2</v>
      </c>
      <c r="F617" s="5">
        <v>16160.44</v>
      </c>
      <c r="G617" s="1">
        <v>45358</v>
      </c>
      <c r="H617" t="s">
        <v>18</v>
      </c>
      <c r="I617">
        <v>3.6</v>
      </c>
      <c r="J617" t="s">
        <v>56</v>
      </c>
      <c r="K617">
        <v>2024</v>
      </c>
      <c r="L617">
        <v>3232.0880000000002</v>
      </c>
      <c r="M617">
        <v>11</v>
      </c>
      <c r="N617" t="s">
        <v>27</v>
      </c>
      <c r="O617" t="s">
        <v>21</v>
      </c>
      <c r="P617">
        <f>FlipkartSales[[#This Row],[Price (INR)]]*FlipkartSales[[#This Row],[Quantity Sold]]</f>
        <v>16160.44</v>
      </c>
      <c r="Q617">
        <f>FlipkartSales[[#This Row],[Total Sales (INR)]]-FlipkartSales[[#This Row],[Calculated Sales]]</f>
        <v>0</v>
      </c>
      <c r="R617" s="9">
        <f t="shared" si="72"/>
        <v>0.2</v>
      </c>
      <c r="S617">
        <f t="shared" si="73"/>
        <v>8080.22</v>
      </c>
      <c r="T617">
        <f t="shared" si="74"/>
        <v>1616.0440000000001</v>
      </c>
      <c r="U617">
        <f t="shared" si="75"/>
        <v>3</v>
      </c>
      <c r="V617" t="str">
        <f t="shared" si="76"/>
        <v>Q1</v>
      </c>
      <c r="W617" t="str">
        <f t="shared" si="77"/>
        <v>Mar-2024</v>
      </c>
      <c r="X617">
        <f t="shared" si="78"/>
        <v>1777.6484</v>
      </c>
      <c r="Y617" s="5">
        <f t="shared" si="79"/>
        <v>14382.7916</v>
      </c>
      <c r="Z617" s="21">
        <f>DATE(K617,MATCH(J617,{"January","February","March","April","May","June","July","August","September","October","November","December"},0),1)</f>
        <v>45352</v>
      </c>
    </row>
    <row r="618" spans="1:26" x14ac:dyDescent="0.3">
      <c r="A618" s="4" t="s">
        <v>686</v>
      </c>
      <c r="B618" s="4" t="s">
        <v>61</v>
      </c>
      <c r="C618" s="4" t="s">
        <v>31</v>
      </c>
      <c r="D618" s="5">
        <v>27860.799999999999</v>
      </c>
      <c r="E618" s="6">
        <v>2</v>
      </c>
      <c r="F618" s="5">
        <v>55721.599999999999</v>
      </c>
      <c r="G618" s="1">
        <v>45487</v>
      </c>
      <c r="H618" t="s">
        <v>71</v>
      </c>
      <c r="I618">
        <v>2.6</v>
      </c>
      <c r="J618" t="s">
        <v>48</v>
      </c>
      <c r="K618">
        <v>2024</v>
      </c>
      <c r="L618">
        <v>11144.32</v>
      </c>
      <c r="M618">
        <v>28</v>
      </c>
      <c r="N618" t="s">
        <v>20</v>
      </c>
      <c r="O618" t="s">
        <v>21</v>
      </c>
      <c r="P618">
        <f>FlipkartSales[[#This Row],[Price (INR)]]*FlipkartSales[[#This Row],[Quantity Sold]]</f>
        <v>55721.599999999999</v>
      </c>
      <c r="Q618">
        <f>FlipkartSales[[#This Row],[Total Sales (INR)]]-FlipkartSales[[#This Row],[Calculated Sales]]</f>
        <v>0</v>
      </c>
      <c r="R618" s="9">
        <f t="shared" si="72"/>
        <v>0.2</v>
      </c>
      <c r="S618">
        <f t="shared" si="73"/>
        <v>27860.799999999999</v>
      </c>
      <c r="T618">
        <f t="shared" si="74"/>
        <v>5572.16</v>
      </c>
      <c r="U618">
        <f t="shared" si="75"/>
        <v>7</v>
      </c>
      <c r="V618" t="str">
        <f t="shared" si="76"/>
        <v>Q3</v>
      </c>
      <c r="W618" t="str">
        <f t="shared" si="77"/>
        <v>Jul-2024</v>
      </c>
      <c r="X618">
        <f t="shared" si="78"/>
        <v>15602.048000000001</v>
      </c>
      <c r="Y618" s="5">
        <f t="shared" si="79"/>
        <v>40119.551999999996</v>
      </c>
      <c r="Z618" s="21">
        <f>DATE(K618,MATCH(J618,{"January","February","March","April","May","June","July","August","September","October","November","December"},0),1)</f>
        <v>45474</v>
      </c>
    </row>
    <row r="619" spans="1:26" x14ac:dyDescent="0.3">
      <c r="A619" s="4" t="s">
        <v>687</v>
      </c>
      <c r="B619" s="4" t="s">
        <v>118</v>
      </c>
      <c r="C619" s="4" t="s">
        <v>17</v>
      </c>
      <c r="D619" s="5">
        <v>30468.47</v>
      </c>
      <c r="E619" s="6">
        <v>3</v>
      </c>
      <c r="F619" s="5">
        <v>91405.41</v>
      </c>
      <c r="G619" s="1">
        <v>45470</v>
      </c>
      <c r="H619" t="s">
        <v>71</v>
      </c>
      <c r="I619">
        <v>1.7</v>
      </c>
      <c r="J619" t="s">
        <v>67</v>
      </c>
      <c r="K619">
        <v>2024</v>
      </c>
      <c r="L619">
        <v>18281.082000000002</v>
      </c>
      <c r="M619">
        <v>27</v>
      </c>
      <c r="N619" t="s">
        <v>20</v>
      </c>
      <c r="O619" t="s">
        <v>33</v>
      </c>
      <c r="P619">
        <f>FlipkartSales[[#This Row],[Price (INR)]]*FlipkartSales[[#This Row],[Quantity Sold]]</f>
        <v>91405.41</v>
      </c>
      <c r="Q619">
        <f>FlipkartSales[[#This Row],[Total Sales (INR)]]-FlipkartSales[[#This Row],[Calculated Sales]]</f>
        <v>0</v>
      </c>
      <c r="R619" s="9">
        <f t="shared" si="72"/>
        <v>0.2</v>
      </c>
      <c r="S619">
        <f t="shared" si="73"/>
        <v>30468.47</v>
      </c>
      <c r="T619">
        <f t="shared" si="74"/>
        <v>6093.6940000000004</v>
      </c>
      <c r="U619">
        <f t="shared" si="75"/>
        <v>6</v>
      </c>
      <c r="V619" t="str">
        <f t="shared" si="76"/>
        <v>Q2</v>
      </c>
      <c r="W619" t="str">
        <f t="shared" si="77"/>
        <v>Jun-2024</v>
      </c>
      <c r="X619">
        <f t="shared" si="78"/>
        <v>24679.460700000003</v>
      </c>
      <c r="Y619" s="5">
        <f t="shared" si="79"/>
        <v>66725.949300000007</v>
      </c>
      <c r="Z619" s="21">
        <f>DATE(K619,MATCH(J619,{"January","February","March","April","May","June","July","August","September","October","November","December"},0),1)</f>
        <v>45444</v>
      </c>
    </row>
    <row r="620" spans="1:26" x14ac:dyDescent="0.3">
      <c r="A620" s="4" t="s">
        <v>688</v>
      </c>
      <c r="B620" s="4" t="s">
        <v>61</v>
      </c>
      <c r="C620" s="4" t="s">
        <v>31</v>
      </c>
      <c r="D620" s="5">
        <v>7718.78</v>
      </c>
      <c r="E620" s="6">
        <v>1</v>
      </c>
      <c r="F620" s="5">
        <v>7718.78</v>
      </c>
      <c r="G620" s="1">
        <v>45654</v>
      </c>
      <c r="H620" t="s">
        <v>18</v>
      </c>
      <c r="I620">
        <v>1.1000000000000001</v>
      </c>
      <c r="J620" t="s">
        <v>26</v>
      </c>
      <c r="K620">
        <v>2024</v>
      </c>
      <c r="L620">
        <v>1543.7560000000001</v>
      </c>
      <c r="M620">
        <v>9</v>
      </c>
      <c r="N620" t="s">
        <v>27</v>
      </c>
      <c r="O620" t="s">
        <v>68</v>
      </c>
      <c r="P620">
        <f>FlipkartSales[[#This Row],[Price (INR)]]*FlipkartSales[[#This Row],[Quantity Sold]]</f>
        <v>7718.78</v>
      </c>
      <c r="Q620">
        <f>FlipkartSales[[#This Row],[Total Sales (INR)]]-FlipkartSales[[#This Row],[Calculated Sales]]</f>
        <v>0</v>
      </c>
      <c r="R620" s="9">
        <f t="shared" si="72"/>
        <v>0.2</v>
      </c>
      <c r="S620">
        <f t="shared" si="73"/>
        <v>7718.78</v>
      </c>
      <c r="T620">
        <f t="shared" si="74"/>
        <v>1543.7560000000001</v>
      </c>
      <c r="U620">
        <f t="shared" si="75"/>
        <v>12</v>
      </c>
      <c r="V620" t="str">
        <f t="shared" si="76"/>
        <v>Q4</v>
      </c>
      <c r="W620" t="str">
        <f t="shared" si="77"/>
        <v>Dec-2024</v>
      </c>
      <c r="X620">
        <f t="shared" si="78"/>
        <v>694.6902</v>
      </c>
      <c r="Y620" s="5">
        <f t="shared" si="79"/>
        <v>7024.0897999999997</v>
      </c>
      <c r="Z620" s="21">
        <f>DATE(K620,MATCH(J620,{"January","February","March","April","May","June","July","August","September","October","November","December"},0),1)</f>
        <v>45627</v>
      </c>
    </row>
    <row r="621" spans="1:26" x14ac:dyDescent="0.3">
      <c r="A621" s="4" t="s">
        <v>689</v>
      </c>
      <c r="B621" s="4" t="s">
        <v>30</v>
      </c>
      <c r="C621" s="4" t="s">
        <v>31</v>
      </c>
      <c r="D621" s="5">
        <v>34866.42</v>
      </c>
      <c r="E621" s="6">
        <v>1</v>
      </c>
      <c r="F621" s="5">
        <v>34866.42</v>
      </c>
      <c r="G621" s="1">
        <v>45644</v>
      </c>
      <c r="H621" t="s">
        <v>64</v>
      </c>
      <c r="I621">
        <v>3.6</v>
      </c>
      <c r="J621" t="s">
        <v>26</v>
      </c>
      <c r="K621">
        <v>2024</v>
      </c>
      <c r="L621">
        <v>6973.2839999999997</v>
      </c>
      <c r="M621">
        <v>16</v>
      </c>
      <c r="N621" t="s">
        <v>20</v>
      </c>
      <c r="O621" t="s">
        <v>21</v>
      </c>
      <c r="P621">
        <f>FlipkartSales[[#This Row],[Price (INR)]]*FlipkartSales[[#This Row],[Quantity Sold]]</f>
        <v>34866.42</v>
      </c>
      <c r="Q621">
        <f>FlipkartSales[[#This Row],[Total Sales (INR)]]-FlipkartSales[[#This Row],[Calculated Sales]]</f>
        <v>0</v>
      </c>
      <c r="R621" s="9">
        <f t="shared" si="72"/>
        <v>0.2</v>
      </c>
      <c r="S621">
        <f t="shared" si="73"/>
        <v>34866.42</v>
      </c>
      <c r="T621">
        <f t="shared" si="74"/>
        <v>6973.2839999999997</v>
      </c>
      <c r="U621">
        <f t="shared" si="75"/>
        <v>12</v>
      </c>
      <c r="V621" t="str">
        <f t="shared" si="76"/>
        <v>Q4</v>
      </c>
      <c r="W621" t="str">
        <f t="shared" si="77"/>
        <v>Dec-2024</v>
      </c>
      <c r="X621">
        <f t="shared" si="78"/>
        <v>5578.6271999999999</v>
      </c>
      <c r="Y621" s="5">
        <f t="shared" si="79"/>
        <v>29287.792799999999</v>
      </c>
      <c r="Z621" s="21">
        <f>DATE(K621,MATCH(J621,{"January","February","March","April","May","June","July","August","September","October","November","December"},0),1)</f>
        <v>45627</v>
      </c>
    </row>
    <row r="622" spans="1:26" x14ac:dyDescent="0.3">
      <c r="A622" s="4" t="s">
        <v>690</v>
      </c>
      <c r="B622" s="4" t="s">
        <v>47</v>
      </c>
      <c r="C622" s="4" t="s">
        <v>24</v>
      </c>
      <c r="D622" s="5">
        <v>5369.5</v>
      </c>
      <c r="E622" s="6">
        <v>1</v>
      </c>
      <c r="F622" s="5">
        <v>5369.5</v>
      </c>
      <c r="G622" s="1">
        <v>45574</v>
      </c>
      <c r="H622" t="s">
        <v>64</v>
      </c>
      <c r="I622">
        <v>3.2</v>
      </c>
      <c r="J622" t="s">
        <v>45</v>
      </c>
      <c r="K622">
        <v>2024</v>
      </c>
      <c r="L622">
        <v>1073.9000000000001</v>
      </c>
      <c r="M622">
        <v>21</v>
      </c>
      <c r="N622" t="s">
        <v>27</v>
      </c>
      <c r="O622" t="s">
        <v>33</v>
      </c>
      <c r="P622">
        <f>FlipkartSales[[#This Row],[Price (INR)]]*FlipkartSales[[#This Row],[Quantity Sold]]</f>
        <v>5369.5</v>
      </c>
      <c r="Q622">
        <f>FlipkartSales[[#This Row],[Total Sales (INR)]]-FlipkartSales[[#This Row],[Calculated Sales]]</f>
        <v>0</v>
      </c>
      <c r="R622" s="9">
        <f t="shared" si="72"/>
        <v>0.2</v>
      </c>
      <c r="S622">
        <f t="shared" si="73"/>
        <v>5369.5</v>
      </c>
      <c r="T622">
        <f t="shared" si="74"/>
        <v>1073.9000000000001</v>
      </c>
      <c r="U622">
        <f t="shared" si="75"/>
        <v>10</v>
      </c>
      <c r="V622" t="str">
        <f t="shared" si="76"/>
        <v>Q4</v>
      </c>
      <c r="W622" t="str">
        <f t="shared" si="77"/>
        <v>Oct-2024</v>
      </c>
      <c r="X622">
        <f t="shared" si="78"/>
        <v>1127.595</v>
      </c>
      <c r="Y622" s="5">
        <f t="shared" si="79"/>
        <v>4241.9049999999997</v>
      </c>
      <c r="Z622" s="21">
        <f>DATE(K622,MATCH(J622,{"January","February","March","April","May","June","July","August","September","October","November","December"},0),1)</f>
        <v>45566</v>
      </c>
    </row>
    <row r="623" spans="1:26" x14ac:dyDescent="0.3">
      <c r="A623" s="4" t="s">
        <v>691</v>
      </c>
      <c r="B623" s="4" t="s">
        <v>58</v>
      </c>
      <c r="C623" s="4" t="s">
        <v>31</v>
      </c>
      <c r="D623" s="5">
        <v>18338.759999999998</v>
      </c>
      <c r="E623" s="6">
        <v>5</v>
      </c>
      <c r="F623" s="5">
        <v>91693.8</v>
      </c>
      <c r="G623" s="1">
        <v>45337</v>
      </c>
      <c r="H623" t="s">
        <v>44</v>
      </c>
      <c r="I623">
        <v>4</v>
      </c>
      <c r="J623" t="s">
        <v>59</v>
      </c>
      <c r="K623">
        <v>2024</v>
      </c>
      <c r="L623">
        <v>18338.760000000002</v>
      </c>
      <c r="M623">
        <v>27</v>
      </c>
      <c r="N623" t="s">
        <v>20</v>
      </c>
      <c r="O623" t="s">
        <v>33</v>
      </c>
      <c r="P623">
        <f>FlipkartSales[[#This Row],[Price (INR)]]*FlipkartSales[[#This Row],[Quantity Sold]]</f>
        <v>91693.799999999988</v>
      </c>
      <c r="Q623">
        <f>FlipkartSales[[#This Row],[Total Sales (INR)]]-FlipkartSales[[#This Row],[Calculated Sales]]</f>
        <v>0</v>
      </c>
      <c r="R623" s="9">
        <f t="shared" si="72"/>
        <v>0.2</v>
      </c>
      <c r="S623">
        <f t="shared" si="73"/>
        <v>18338.760000000002</v>
      </c>
      <c r="T623">
        <f t="shared" si="74"/>
        <v>3667.7520000000004</v>
      </c>
      <c r="U623">
        <f t="shared" si="75"/>
        <v>2</v>
      </c>
      <c r="V623" t="str">
        <f t="shared" si="76"/>
        <v>Q1</v>
      </c>
      <c r="W623" t="str">
        <f t="shared" si="77"/>
        <v>Feb-2024</v>
      </c>
      <c r="X623">
        <f t="shared" si="78"/>
        <v>24757.326000000001</v>
      </c>
      <c r="Y623" s="5">
        <f t="shared" si="79"/>
        <v>66936.474000000002</v>
      </c>
      <c r="Z623" s="21">
        <f>DATE(K623,MATCH(J623,{"January","February","March","April","May","June","July","August","September","October","November","December"},0),1)</f>
        <v>45323</v>
      </c>
    </row>
    <row r="624" spans="1:26" x14ac:dyDescent="0.3">
      <c r="A624" s="4" t="s">
        <v>692</v>
      </c>
      <c r="B624" s="4" t="s">
        <v>107</v>
      </c>
      <c r="C624" s="4" t="s">
        <v>36</v>
      </c>
      <c r="D624" s="5">
        <v>48287.49</v>
      </c>
      <c r="E624" s="6">
        <v>4</v>
      </c>
      <c r="F624" s="5">
        <v>193149.96</v>
      </c>
      <c r="G624" s="1">
        <v>45624</v>
      </c>
      <c r="H624" t="s">
        <v>25</v>
      </c>
      <c r="I624">
        <v>1.1000000000000001</v>
      </c>
      <c r="J624" t="s">
        <v>37</v>
      </c>
      <c r="K624">
        <v>2024</v>
      </c>
      <c r="L624">
        <v>38629.991999999998</v>
      </c>
      <c r="M624">
        <v>17</v>
      </c>
      <c r="N624" t="s">
        <v>41</v>
      </c>
      <c r="O624" t="s">
        <v>33</v>
      </c>
      <c r="P624">
        <f>FlipkartSales[[#This Row],[Price (INR)]]*FlipkartSales[[#This Row],[Quantity Sold]]</f>
        <v>193149.96</v>
      </c>
      <c r="Q624">
        <f>FlipkartSales[[#This Row],[Total Sales (INR)]]-FlipkartSales[[#This Row],[Calculated Sales]]</f>
        <v>0</v>
      </c>
      <c r="R624" s="9">
        <f t="shared" si="72"/>
        <v>0.2</v>
      </c>
      <c r="S624">
        <f t="shared" si="73"/>
        <v>48287.49</v>
      </c>
      <c r="T624">
        <f t="shared" si="74"/>
        <v>9657.4979999999996</v>
      </c>
      <c r="U624">
        <f t="shared" si="75"/>
        <v>11</v>
      </c>
      <c r="V624" t="str">
        <f t="shared" si="76"/>
        <v>Q4</v>
      </c>
      <c r="W624" t="str">
        <f t="shared" si="77"/>
        <v>Nov-2024</v>
      </c>
      <c r="X624">
        <f t="shared" si="78"/>
        <v>32835.493199999997</v>
      </c>
      <c r="Y624" s="5">
        <f t="shared" si="79"/>
        <v>160314.46679999999</v>
      </c>
      <c r="Z624" s="21">
        <f>DATE(K624,MATCH(J624,{"January","February","March","April","May","June","July","August","September","October","November","December"},0),1)</f>
        <v>45597</v>
      </c>
    </row>
    <row r="625" spans="1:26" x14ac:dyDescent="0.3">
      <c r="A625" s="4" t="s">
        <v>693</v>
      </c>
      <c r="B625" s="4" t="s">
        <v>78</v>
      </c>
      <c r="C625" s="4" t="s">
        <v>24</v>
      </c>
      <c r="D625" s="5">
        <v>18161.009999999998</v>
      </c>
      <c r="E625" s="6">
        <v>4</v>
      </c>
      <c r="F625" s="5">
        <v>72644.039999999994</v>
      </c>
      <c r="G625" s="1">
        <v>45486</v>
      </c>
      <c r="H625" t="s">
        <v>71</v>
      </c>
      <c r="I625">
        <v>2.2999999999999998</v>
      </c>
      <c r="J625" t="s">
        <v>48</v>
      </c>
      <c r="K625">
        <v>2024</v>
      </c>
      <c r="L625">
        <v>14528.807999999999</v>
      </c>
      <c r="M625">
        <v>27</v>
      </c>
      <c r="N625" t="s">
        <v>27</v>
      </c>
      <c r="O625" t="s">
        <v>21</v>
      </c>
      <c r="P625">
        <f>FlipkartSales[[#This Row],[Price (INR)]]*FlipkartSales[[#This Row],[Quantity Sold]]</f>
        <v>72644.039999999994</v>
      </c>
      <c r="Q625">
        <f>FlipkartSales[[#This Row],[Total Sales (INR)]]-FlipkartSales[[#This Row],[Calculated Sales]]</f>
        <v>0</v>
      </c>
      <c r="R625" s="9">
        <f t="shared" si="72"/>
        <v>0.2</v>
      </c>
      <c r="S625">
        <f t="shared" si="73"/>
        <v>18161.009999999998</v>
      </c>
      <c r="T625">
        <f t="shared" si="74"/>
        <v>3632.2019999999998</v>
      </c>
      <c r="U625">
        <f t="shared" si="75"/>
        <v>7</v>
      </c>
      <c r="V625" t="str">
        <f t="shared" si="76"/>
        <v>Q3</v>
      </c>
      <c r="W625" t="str">
        <f t="shared" si="77"/>
        <v>Jul-2024</v>
      </c>
      <c r="X625">
        <f t="shared" si="78"/>
        <v>19613.890799999997</v>
      </c>
      <c r="Y625" s="5">
        <f t="shared" si="79"/>
        <v>53030.1492</v>
      </c>
      <c r="Z625" s="21">
        <f>DATE(K625,MATCH(J625,{"January","February","March","April","May","June","July","August","September","October","November","December"},0),1)</f>
        <v>45474</v>
      </c>
    </row>
    <row r="626" spans="1:26" x14ac:dyDescent="0.3">
      <c r="A626" s="4" t="s">
        <v>694</v>
      </c>
      <c r="B626" s="4" t="s">
        <v>23</v>
      </c>
      <c r="C626" s="4" t="s">
        <v>24</v>
      </c>
      <c r="D626" s="5">
        <v>21064.01</v>
      </c>
      <c r="E626" s="6">
        <v>3</v>
      </c>
      <c r="F626" s="5">
        <v>63192.03</v>
      </c>
      <c r="G626" s="1">
        <v>45487</v>
      </c>
      <c r="H626" t="s">
        <v>80</v>
      </c>
      <c r="I626">
        <v>1.9</v>
      </c>
      <c r="J626" t="s">
        <v>48</v>
      </c>
      <c r="K626">
        <v>2024</v>
      </c>
      <c r="L626">
        <v>12638.406000000001</v>
      </c>
      <c r="M626">
        <v>29</v>
      </c>
      <c r="N626" t="s">
        <v>20</v>
      </c>
      <c r="O626" t="s">
        <v>68</v>
      </c>
      <c r="P626">
        <f>FlipkartSales[[#This Row],[Price (INR)]]*FlipkartSales[[#This Row],[Quantity Sold]]</f>
        <v>63192.03</v>
      </c>
      <c r="Q626">
        <f>FlipkartSales[[#This Row],[Total Sales (INR)]]-FlipkartSales[[#This Row],[Calculated Sales]]</f>
        <v>0</v>
      </c>
      <c r="R626" s="9">
        <f t="shared" si="72"/>
        <v>0.2</v>
      </c>
      <c r="S626">
        <f t="shared" si="73"/>
        <v>21064.01</v>
      </c>
      <c r="T626">
        <f t="shared" si="74"/>
        <v>4212.8020000000006</v>
      </c>
      <c r="U626">
        <f t="shared" si="75"/>
        <v>7</v>
      </c>
      <c r="V626" t="str">
        <f t="shared" si="76"/>
        <v>Q3</v>
      </c>
      <c r="W626" t="str">
        <f t="shared" si="77"/>
        <v>Jul-2024</v>
      </c>
      <c r="X626">
        <f t="shared" si="78"/>
        <v>18325.688699999999</v>
      </c>
      <c r="Y626" s="5">
        <f t="shared" si="79"/>
        <v>44866.3413</v>
      </c>
      <c r="Z626" s="21">
        <f>DATE(K626,MATCH(J626,{"January","February","March","April","May","June","July","August","September","October","November","December"},0),1)</f>
        <v>45474</v>
      </c>
    </row>
    <row r="627" spans="1:26" x14ac:dyDescent="0.3">
      <c r="A627" s="4" t="s">
        <v>695</v>
      </c>
      <c r="B627" s="4" t="s">
        <v>118</v>
      </c>
      <c r="C627" s="4" t="s">
        <v>17</v>
      </c>
      <c r="D627" s="5">
        <v>8598.2199999999993</v>
      </c>
      <c r="E627" s="6">
        <v>5</v>
      </c>
      <c r="F627" s="5">
        <v>42991.1</v>
      </c>
      <c r="G627" s="1">
        <v>45695</v>
      </c>
      <c r="H627" t="s">
        <v>25</v>
      </c>
      <c r="I627">
        <v>1.4</v>
      </c>
      <c r="J627" t="s">
        <v>59</v>
      </c>
      <c r="K627">
        <v>2025</v>
      </c>
      <c r="L627">
        <v>8598.2199999999993</v>
      </c>
      <c r="M627">
        <v>7</v>
      </c>
      <c r="N627" t="s">
        <v>20</v>
      </c>
      <c r="O627" t="s">
        <v>28</v>
      </c>
      <c r="P627">
        <f>FlipkartSales[[#This Row],[Price (INR)]]*FlipkartSales[[#This Row],[Quantity Sold]]</f>
        <v>42991.1</v>
      </c>
      <c r="Q627">
        <f>FlipkartSales[[#This Row],[Total Sales (INR)]]-FlipkartSales[[#This Row],[Calculated Sales]]</f>
        <v>0</v>
      </c>
      <c r="R627" s="9">
        <f t="shared" si="72"/>
        <v>0.19999999999999998</v>
      </c>
      <c r="S627">
        <f t="shared" si="73"/>
        <v>8598.2199999999993</v>
      </c>
      <c r="T627">
        <f t="shared" si="74"/>
        <v>1719.6439999999998</v>
      </c>
      <c r="U627">
        <f t="shared" si="75"/>
        <v>2</v>
      </c>
      <c r="V627" t="str">
        <f t="shared" si="76"/>
        <v>Q1</v>
      </c>
      <c r="W627" t="str">
        <f t="shared" si="77"/>
        <v>Feb-2025</v>
      </c>
      <c r="X627">
        <f t="shared" si="78"/>
        <v>3009.377</v>
      </c>
      <c r="Y627" s="5">
        <f t="shared" si="79"/>
        <v>39981.722999999998</v>
      </c>
      <c r="Z627" s="21">
        <f>DATE(K627,MATCH(J627,{"January","February","March","April","May","June","July","August","September","October","November","December"},0),1)</f>
        <v>45689</v>
      </c>
    </row>
    <row r="628" spans="1:26" x14ac:dyDescent="0.3">
      <c r="A628" s="4" t="s">
        <v>696</v>
      </c>
      <c r="B628" s="4" t="s">
        <v>35</v>
      </c>
      <c r="C628" s="4" t="s">
        <v>36</v>
      </c>
      <c r="D628" s="5">
        <v>27897.4</v>
      </c>
      <c r="E628" s="6">
        <v>2</v>
      </c>
      <c r="F628" s="5">
        <v>55794.8</v>
      </c>
      <c r="G628" s="1">
        <v>45601</v>
      </c>
      <c r="H628" t="s">
        <v>64</v>
      </c>
      <c r="I628">
        <v>1.8</v>
      </c>
      <c r="J628" t="s">
        <v>37</v>
      </c>
      <c r="K628">
        <v>2024</v>
      </c>
      <c r="L628">
        <v>11158.960000000001</v>
      </c>
      <c r="M628">
        <v>13</v>
      </c>
      <c r="N628" t="s">
        <v>41</v>
      </c>
      <c r="O628" t="s">
        <v>33</v>
      </c>
      <c r="P628">
        <f>FlipkartSales[[#This Row],[Price (INR)]]*FlipkartSales[[#This Row],[Quantity Sold]]</f>
        <v>55794.8</v>
      </c>
      <c r="Q628">
        <f>FlipkartSales[[#This Row],[Total Sales (INR)]]-FlipkartSales[[#This Row],[Calculated Sales]]</f>
        <v>0</v>
      </c>
      <c r="R628" s="9">
        <f t="shared" si="72"/>
        <v>0.2</v>
      </c>
      <c r="S628">
        <f t="shared" si="73"/>
        <v>27897.4</v>
      </c>
      <c r="T628">
        <f t="shared" si="74"/>
        <v>5579.4800000000005</v>
      </c>
      <c r="U628">
        <f t="shared" si="75"/>
        <v>11</v>
      </c>
      <c r="V628" t="str">
        <f t="shared" si="76"/>
        <v>Q4</v>
      </c>
      <c r="W628" t="str">
        <f t="shared" si="77"/>
        <v>Nov-2024</v>
      </c>
      <c r="X628">
        <f t="shared" si="78"/>
        <v>7253.3240000000005</v>
      </c>
      <c r="Y628" s="5">
        <f t="shared" si="79"/>
        <v>48541.476000000002</v>
      </c>
      <c r="Z628" s="21">
        <f>DATE(K628,MATCH(J628,{"January","February","March","April","May","June","July","August","September","October","November","December"},0),1)</f>
        <v>45597</v>
      </c>
    </row>
    <row r="629" spans="1:26" x14ac:dyDescent="0.3">
      <c r="A629" s="4" t="s">
        <v>697</v>
      </c>
      <c r="B629" s="4" t="s">
        <v>61</v>
      </c>
      <c r="C629" s="4" t="s">
        <v>31</v>
      </c>
      <c r="D629" s="5">
        <v>3153.16</v>
      </c>
      <c r="E629" s="6">
        <v>2</v>
      </c>
      <c r="F629" s="5">
        <v>6306.32</v>
      </c>
      <c r="G629" s="1">
        <v>45531</v>
      </c>
      <c r="H629" t="s">
        <v>80</v>
      </c>
      <c r="I629">
        <v>4.4000000000000004</v>
      </c>
      <c r="J629" t="s">
        <v>88</v>
      </c>
      <c r="K629">
        <v>2024</v>
      </c>
      <c r="L629">
        <v>1261.2640000000001</v>
      </c>
      <c r="M629">
        <v>21</v>
      </c>
      <c r="N629" t="s">
        <v>27</v>
      </c>
      <c r="O629" t="s">
        <v>21</v>
      </c>
      <c r="P629">
        <f>FlipkartSales[[#This Row],[Price (INR)]]*FlipkartSales[[#This Row],[Quantity Sold]]</f>
        <v>6306.32</v>
      </c>
      <c r="Q629">
        <f>FlipkartSales[[#This Row],[Total Sales (INR)]]-FlipkartSales[[#This Row],[Calculated Sales]]</f>
        <v>0</v>
      </c>
      <c r="R629" s="9">
        <f t="shared" si="72"/>
        <v>0.20000000000000004</v>
      </c>
      <c r="S629">
        <f t="shared" si="73"/>
        <v>3153.16</v>
      </c>
      <c r="T629">
        <f t="shared" si="74"/>
        <v>630.63200000000006</v>
      </c>
      <c r="U629">
        <f t="shared" si="75"/>
        <v>8</v>
      </c>
      <c r="V629" t="str">
        <f t="shared" si="76"/>
        <v>Q3</v>
      </c>
      <c r="W629" t="str">
        <f t="shared" si="77"/>
        <v>Aug-2024</v>
      </c>
      <c r="X629">
        <f t="shared" si="78"/>
        <v>1324.3271999999999</v>
      </c>
      <c r="Y629" s="5">
        <f t="shared" si="79"/>
        <v>4981.9928</v>
      </c>
      <c r="Z629" s="21">
        <f>DATE(K629,MATCH(J629,{"January","February","March","April","May","June","July","August","September","October","November","December"},0),1)</f>
        <v>45505</v>
      </c>
    </row>
    <row r="630" spans="1:26" x14ac:dyDescent="0.3">
      <c r="A630" s="4" t="s">
        <v>698</v>
      </c>
      <c r="B630" s="4" t="s">
        <v>107</v>
      </c>
      <c r="C630" s="4" t="s">
        <v>36</v>
      </c>
      <c r="D630" s="5">
        <v>25634.9</v>
      </c>
      <c r="E630" s="6">
        <v>1</v>
      </c>
      <c r="F630" s="5">
        <v>25634.9</v>
      </c>
      <c r="G630" s="1">
        <v>45566</v>
      </c>
      <c r="H630" t="s">
        <v>80</v>
      </c>
      <c r="I630">
        <v>4.3</v>
      </c>
      <c r="J630" t="s">
        <v>45</v>
      </c>
      <c r="K630">
        <v>2024</v>
      </c>
      <c r="L630">
        <v>5126.9800000000005</v>
      </c>
      <c r="M630">
        <v>21</v>
      </c>
      <c r="N630" t="s">
        <v>20</v>
      </c>
      <c r="O630" t="s">
        <v>21</v>
      </c>
      <c r="P630">
        <f>FlipkartSales[[#This Row],[Price (INR)]]*FlipkartSales[[#This Row],[Quantity Sold]]</f>
        <v>25634.9</v>
      </c>
      <c r="Q630">
        <f>FlipkartSales[[#This Row],[Total Sales (INR)]]-FlipkartSales[[#This Row],[Calculated Sales]]</f>
        <v>0</v>
      </c>
      <c r="R630" s="9">
        <f t="shared" si="72"/>
        <v>0.2</v>
      </c>
      <c r="S630">
        <f t="shared" si="73"/>
        <v>25634.9</v>
      </c>
      <c r="T630">
        <f t="shared" si="74"/>
        <v>5126.9800000000005</v>
      </c>
      <c r="U630">
        <f t="shared" si="75"/>
        <v>10</v>
      </c>
      <c r="V630" t="str">
        <f t="shared" si="76"/>
        <v>Q4</v>
      </c>
      <c r="W630" t="str">
        <f t="shared" si="77"/>
        <v>Oct-2024</v>
      </c>
      <c r="X630">
        <f t="shared" si="78"/>
        <v>5383.3290000000006</v>
      </c>
      <c r="Y630" s="5">
        <f t="shared" si="79"/>
        <v>20251.571</v>
      </c>
      <c r="Z630" s="21">
        <f>DATE(K630,MATCH(J630,{"January","February","March","April","May","June","July","August","September","October","November","December"},0),1)</f>
        <v>45566</v>
      </c>
    </row>
    <row r="631" spans="1:26" x14ac:dyDescent="0.3">
      <c r="A631" s="4" t="s">
        <v>699</v>
      </c>
      <c r="B631" s="4" t="s">
        <v>66</v>
      </c>
      <c r="C631" s="4" t="s">
        <v>36</v>
      </c>
      <c r="D631" s="5">
        <v>9427.83</v>
      </c>
      <c r="E631" s="6">
        <v>3</v>
      </c>
      <c r="F631" s="5">
        <v>28283.49</v>
      </c>
      <c r="G631" s="1">
        <v>45457</v>
      </c>
      <c r="H631" t="s">
        <v>80</v>
      </c>
      <c r="I631">
        <v>4.2</v>
      </c>
      <c r="J631" t="s">
        <v>67</v>
      </c>
      <c r="K631">
        <v>2024</v>
      </c>
      <c r="L631">
        <v>5656.6980000000003</v>
      </c>
      <c r="M631">
        <v>24</v>
      </c>
      <c r="N631" t="s">
        <v>41</v>
      </c>
      <c r="O631" t="s">
        <v>28</v>
      </c>
      <c r="P631">
        <f>FlipkartSales[[#This Row],[Price (INR)]]*FlipkartSales[[#This Row],[Quantity Sold]]</f>
        <v>28283.489999999998</v>
      </c>
      <c r="Q631">
        <f>FlipkartSales[[#This Row],[Total Sales (INR)]]-FlipkartSales[[#This Row],[Calculated Sales]]</f>
        <v>0</v>
      </c>
      <c r="R631" s="9">
        <f t="shared" si="72"/>
        <v>0.2</v>
      </c>
      <c r="S631">
        <f t="shared" si="73"/>
        <v>9427.83</v>
      </c>
      <c r="T631">
        <f t="shared" si="74"/>
        <v>1885.566</v>
      </c>
      <c r="U631">
        <f t="shared" si="75"/>
        <v>6</v>
      </c>
      <c r="V631" t="str">
        <f t="shared" si="76"/>
        <v>Q2</v>
      </c>
      <c r="W631" t="str">
        <f t="shared" si="77"/>
        <v>Jun-2024</v>
      </c>
      <c r="X631">
        <f t="shared" si="78"/>
        <v>6788.0375999999997</v>
      </c>
      <c r="Y631" s="5">
        <f t="shared" si="79"/>
        <v>21495.452400000002</v>
      </c>
      <c r="Z631" s="21">
        <f>DATE(K631,MATCH(J631,{"January","February","March","April","May","June","July","August","September","October","November","December"},0),1)</f>
        <v>45444</v>
      </c>
    </row>
    <row r="632" spans="1:26" x14ac:dyDescent="0.3">
      <c r="A632" s="4" t="s">
        <v>700</v>
      </c>
      <c r="B632" s="4" t="s">
        <v>100</v>
      </c>
      <c r="C632" s="4" t="s">
        <v>31</v>
      </c>
      <c r="D632" s="5">
        <v>22564.13</v>
      </c>
      <c r="E632" s="6">
        <v>1</v>
      </c>
      <c r="F632" s="5">
        <v>22564.13</v>
      </c>
      <c r="G632" s="1">
        <v>45575</v>
      </c>
      <c r="H632" t="s">
        <v>44</v>
      </c>
      <c r="I632">
        <v>3.2</v>
      </c>
      <c r="J632" t="s">
        <v>45</v>
      </c>
      <c r="K632">
        <v>2024</v>
      </c>
      <c r="L632">
        <v>4512.826</v>
      </c>
      <c r="M632">
        <v>20</v>
      </c>
      <c r="N632" t="s">
        <v>20</v>
      </c>
      <c r="O632" t="s">
        <v>28</v>
      </c>
      <c r="P632">
        <f>FlipkartSales[[#This Row],[Price (INR)]]*FlipkartSales[[#This Row],[Quantity Sold]]</f>
        <v>22564.13</v>
      </c>
      <c r="Q632">
        <f>FlipkartSales[[#This Row],[Total Sales (INR)]]-FlipkartSales[[#This Row],[Calculated Sales]]</f>
        <v>0</v>
      </c>
      <c r="R632" s="9">
        <f t="shared" si="72"/>
        <v>0.19999999999999998</v>
      </c>
      <c r="S632">
        <f t="shared" si="73"/>
        <v>22564.13</v>
      </c>
      <c r="T632">
        <f t="shared" si="74"/>
        <v>4512.826</v>
      </c>
      <c r="U632">
        <f t="shared" si="75"/>
        <v>10</v>
      </c>
      <c r="V632" t="str">
        <f t="shared" si="76"/>
        <v>Q4</v>
      </c>
      <c r="W632" t="str">
        <f t="shared" si="77"/>
        <v>Oct-2024</v>
      </c>
      <c r="X632">
        <f t="shared" si="78"/>
        <v>4512.826</v>
      </c>
      <c r="Y632" s="5">
        <f t="shared" si="79"/>
        <v>18051.304</v>
      </c>
      <c r="Z632" s="21">
        <f>DATE(K632,MATCH(J632,{"January","February","March","April","May","June","July","August","September","October","November","December"},0),1)</f>
        <v>45566</v>
      </c>
    </row>
    <row r="633" spans="1:26" x14ac:dyDescent="0.3">
      <c r="A633" s="4" t="s">
        <v>701</v>
      </c>
      <c r="B633" s="4" t="s">
        <v>47</v>
      </c>
      <c r="C633" s="4" t="s">
        <v>24</v>
      </c>
      <c r="D633" s="5">
        <v>47288.95</v>
      </c>
      <c r="E633" s="6">
        <v>1</v>
      </c>
      <c r="F633" s="5">
        <v>47288.95</v>
      </c>
      <c r="G633" s="1">
        <v>45667</v>
      </c>
      <c r="H633" t="s">
        <v>44</v>
      </c>
      <c r="I633">
        <v>3.1</v>
      </c>
      <c r="J633" t="s">
        <v>53</v>
      </c>
      <c r="K633">
        <v>2025</v>
      </c>
      <c r="L633">
        <v>9457.7899999999991</v>
      </c>
      <c r="M633">
        <v>29</v>
      </c>
      <c r="N633" t="s">
        <v>27</v>
      </c>
      <c r="O633" t="s">
        <v>21</v>
      </c>
      <c r="P633">
        <f>FlipkartSales[[#This Row],[Price (INR)]]*FlipkartSales[[#This Row],[Quantity Sold]]</f>
        <v>47288.95</v>
      </c>
      <c r="Q633">
        <f>FlipkartSales[[#This Row],[Total Sales (INR)]]-FlipkartSales[[#This Row],[Calculated Sales]]</f>
        <v>0</v>
      </c>
      <c r="R633" s="9">
        <f t="shared" si="72"/>
        <v>0.19999999999999998</v>
      </c>
      <c r="S633">
        <f t="shared" si="73"/>
        <v>47288.95</v>
      </c>
      <c r="T633">
        <f t="shared" si="74"/>
        <v>9457.7899999999991</v>
      </c>
      <c r="U633">
        <f t="shared" si="75"/>
        <v>1</v>
      </c>
      <c r="V633" t="str">
        <f t="shared" si="76"/>
        <v>Q1</v>
      </c>
      <c r="W633" t="str">
        <f t="shared" si="77"/>
        <v>Jan-2025</v>
      </c>
      <c r="X633">
        <f t="shared" si="78"/>
        <v>13713.795499999998</v>
      </c>
      <c r="Y633" s="5">
        <f t="shared" si="79"/>
        <v>33575.154499999997</v>
      </c>
      <c r="Z633" s="21">
        <f>DATE(K633,MATCH(J633,{"January","February","March","April","May","June","July","August","September","October","November","December"},0),1)</f>
        <v>45658</v>
      </c>
    </row>
    <row r="634" spans="1:26" x14ac:dyDescent="0.3">
      <c r="A634" s="4" t="s">
        <v>702</v>
      </c>
      <c r="B634" s="4" t="s">
        <v>16</v>
      </c>
      <c r="C634" s="4" t="s">
        <v>17</v>
      </c>
      <c r="D634" s="5">
        <v>24537.79</v>
      </c>
      <c r="E634" s="6">
        <v>3</v>
      </c>
      <c r="F634" s="5">
        <v>73613.37</v>
      </c>
      <c r="G634" s="1">
        <v>45574</v>
      </c>
      <c r="H634" t="s">
        <v>71</v>
      </c>
      <c r="I634">
        <v>1.6</v>
      </c>
      <c r="J634" t="s">
        <v>45</v>
      </c>
      <c r="K634">
        <v>2024</v>
      </c>
      <c r="L634">
        <v>14722.673999999999</v>
      </c>
      <c r="M634">
        <v>26</v>
      </c>
      <c r="N634" t="s">
        <v>20</v>
      </c>
      <c r="O634" t="s">
        <v>68</v>
      </c>
      <c r="P634">
        <f>FlipkartSales[[#This Row],[Price (INR)]]*FlipkartSales[[#This Row],[Quantity Sold]]</f>
        <v>73613.37</v>
      </c>
      <c r="Q634">
        <f>FlipkartSales[[#This Row],[Total Sales (INR)]]-FlipkartSales[[#This Row],[Calculated Sales]]</f>
        <v>0</v>
      </c>
      <c r="R634" s="9">
        <f t="shared" si="72"/>
        <v>0.2</v>
      </c>
      <c r="S634">
        <f t="shared" si="73"/>
        <v>24537.789999999997</v>
      </c>
      <c r="T634">
        <f t="shared" si="74"/>
        <v>4907.558</v>
      </c>
      <c r="U634">
        <f t="shared" si="75"/>
        <v>10</v>
      </c>
      <c r="V634" t="str">
        <f t="shared" si="76"/>
        <v>Q4</v>
      </c>
      <c r="W634" t="str">
        <f t="shared" si="77"/>
        <v>Oct-2024</v>
      </c>
      <c r="X634">
        <f t="shared" si="78"/>
        <v>19139.476199999997</v>
      </c>
      <c r="Y634" s="5">
        <f t="shared" si="79"/>
        <v>54473.893799999998</v>
      </c>
      <c r="Z634" s="21">
        <f>DATE(K634,MATCH(J634,{"January","February","March","April","May","June","July","August","September","October","November","December"},0),1)</f>
        <v>45566</v>
      </c>
    </row>
    <row r="635" spans="1:26" x14ac:dyDescent="0.3">
      <c r="A635" s="4" t="s">
        <v>703</v>
      </c>
      <c r="B635" s="4" t="s">
        <v>35</v>
      </c>
      <c r="C635" s="4" t="s">
        <v>36</v>
      </c>
      <c r="D635" s="5">
        <v>22226.76</v>
      </c>
      <c r="E635" s="6">
        <v>5</v>
      </c>
      <c r="F635" s="5">
        <v>111133.8</v>
      </c>
      <c r="G635" s="1">
        <v>45458</v>
      </c>
      <c r="H635" t="s">
        <v>18</v>
      </c>
      <c r="I635">
        <v>4.7</v>
      </c>
      <c r="J635" t="s">
        <v>67</v>
      </c>
      <c r="K635">
        <v>2024</v>
      </c>
      <c r="L635">
        <v>22226.760000000002</v>
      </c>
      <c r="M635">
        <v>17</v>
      </c>
      <c r="N635" t="s">
        <v>20</v>
      </c>
      <c r="O635" t="s">
        <v>28</v>
      </c>
      <c r="P635">
        <f>FlipkartSales[[#This Row],[Price (INR)]]*FlipkartSales[[#This Row],[Quantity Sold]]</f>
        <v>111133.79999999999</v>
      </c>
      <c r="Q635">
        <f>FlipkartSales[[#This Row],[Total Sales (INR)]]-FlipkartSales[[#This Row],[Calculated Sales]]</f>
        <v>0</v>
      </c>
      <c r="R635" s="9">
        <f t="shared" si="72"/>
        <v>0.2</v>
      </c>
      <c r="S635">
        <f t="shared" si="73"/>
        <v>22226.760000000002</v>
      </c>
      <c r="T635">
        <f t="shared" si="74"/>
        <v>4445.3520000000008</v>
      </c>
      <c r="U635">
        <f t="shared" si="75"/>
        <v>6</v>
      </c>
      <c r="V635" t="str">
        <f t="shared" si="76"/>
        <v>Q2</v>
      </c>
      <c r="W635" t="str">
        <f t="shared" si="77"/>
        <v>Jun-2024</v>
      </c>
      <c r="X635">
        <f t="shared" si="78"/>
        <v>18892.745999999999</v>
      </c>
      <c r="Y635" s="5">
        <f t="shared" si="79"/>
        <v>92241.054000000004</v>
      </c>
      <c r="Z635" s="21">
        <f>DATE(K635,MATCH(J635,{"January","February","March","April","May","June","July","August","September","October","November","December"},0),1)</f>
        <v>45444</v>
      </c>
    </row>
    <row r="636" spans="1:26" x14ac:dyDescent="0.3">
      <c r="A636" s="4" t="s">
        <v>704</v>
      </c>
      <c r="B636" s="4" t="s">
        <v>94</v>
      </c>
      <c r="C636" s="4" t="s">
        <v>31</v>
      </c>
      <c r="D636" s="5">
        <v>14103.34</v>
      </c>
      <c r="E636" s="6">
        <v>2</v>
      </c>
      <c r="F636" s="5">
        <v>28206.68</v>
      </c>
      <c r="G636" s="1">
        <v>45466</v>
      </c>
      <c r="H636" t="s">
        <v>64</v>
      </c>
      <c r="I636">
        <v>1.6</v>
      </c>
      <c r="J636" t="s">
        <v>67</v>
      </c>
      <c r="K636">
        <v>2024</v>
      </c>
      <c r="L636">
        <v>5641.3360000000002</v>
      </c>
      <c r="M636">
        <v>23</v>
      </c>
      <c r="N636" t="s">
        <v>20</v>
      </c>
      <c r="O636" t="s">
        <v>21</v>
      </c>
      <c r="P636">
        <f>FlipkartSales[[#This Row],[Price (INR)]]*FlipkartSales[[#This Row],[Quantity Sold]]</f>
        <v>28206.68</v>
      </c>
      <c r="Q636">
        <f>FlipkartSales[[#This Row],[Total Sales (INR)]]-FlipkartSales[[#This Row],[Calculated Sales]]</f>
        <v>0</v>
      </c>
      <c r="R636" s="9">
        <f t="shared" si="72"/>
        <v>0.2</v>
      </c>
      <c r="S636">
        <f t="shared" si="73"/>
        <v>14103.34</v>
      </c>
      <c r="T636">
        <f t="shared" si="74"/>
        <v>2820.6680000000001</v>
      </c>
      <c r="U636">
        <f t="shared" si="75"/>
        <v>6</v>
      </c>
      <c r="V636" t="str">
        <f t="shared" si="76"/>
        <v>Q2</v>
      </c>
      <c r="W636" t="str">
        <f t="shared" si="77"/>
        <v>Jun-2024</v>
      </c>
      <c r="X636">
        <f t="shared" si="78"/>
        <v>6487.5364</v>
      </c>
      <c r="Y636" s="5">
        <f t="shared" si="79"/>
        <v>21719.143599999999</v>
      </c>
      <c r="Z636" s="21">
        <f>DATE(K636,MATCH(J636,{"January","February","March","April","May","June","July","August","September","October","November","December"},0),1)</f>
        <v>45444</v>
      </c>
    </row>
    <row r="637" spans="1:26" x14ac:dyDescent="0.3">
      <c r="A637" s="4" t="s">
        <v>705</v>
      </c>
      <c r="B637" s="4" t="s">
        <v>145</v>
      </c>
      <c r="C637" s="4" t="s">
        <v>40</v>
      </c>
      <c r="D637" s="5">
        <v>19376.32</v>
      </c>
      <c r="E637" s="6">
        <v>1</v>
      </c>
      <c r="F637" s="5">
        <v>19376.32</v>
      </c>
      <c r="G637" s="1">
        <v>45557</v>
      </c>
      <c r="H637" t="s">
        <v>25</v>
      </c>
      <c r="I637">
        <v>4.5</v>
      </c>
      <c r="J637" t="s">
        <v>19</v>
      </c>
      <c r="K637">
        <v>2024</v>
      </c>
      <c r="L637">
        <v>3875.2640000000001</v>
      </c>
      <c r="M637">
        <v>21</v>
      </c>
      <c r="N637" t="s">
        <v>20</v>
      </c>
      <c r="O637" t="s">
        <v>28</v>
      </c>
      <c r="P637">
        <f>FlipkartSales[[#This Row],[Price (INR)]]*FlipkartSales[[#This Row],[Quantity Sold]]</f>
        <v>19376.32</v>
      </c>
      <c r="Q637">
        <f>FlipkartSales[[#This Row],[Total Sales (INR)]]-FlipkartSales[[#This Row],[Calculated Sales]]</f>
        <v>0</v>
      </c>
      <c r="R637" s="9">
        <f t="shared" si="72"/>
        <v>0.2</v>
      </c>
      <c r="S637">
        <f t="shared" si="73"/>
        <v>19376.32</v>
      </c>
      <c r="T637">
        <f t="shared" si="74"/>
        <v>3875.2640000000001</v>
      </c>
      <c r="U637">
        <f t="shared" si="75"/>
        <v>9</v>
      </c>
      <c r="V637" t="str">
        <f t="shared" si="76"/>
        <v>Q3</v>
      </c>
      <c r="W637" t="str">
        <f t="shared" si="77"/>
        <v>Sep-2024</v>
      </c>
      <c r="X637">
        <f t="shared" si="78"/>
        <v>4069.0271999999995</v>
      </c>
      <c r="Y637" s="5">
        <f t="shared" si="79"/>
        <v>15307.292799999999</v>
      </c>
      <c r="Z637" s="21">
        <f>DATE(K637,MATCH(J637,{"January","February","March","April","May","June","July","August","September","October","November","December"},0),1)</f>
        <v>45536</v>
      </c>
    </row>
    <row r="638" spans="1:26" x14ac:dyDescent="0.3">
      <c r="A638" s="4" t="s">
        <v>706</v>
      </c>
      <c r="B638" s="4" t="s">
        <v>16</v>
      </c>
      <c r="C638" s="4" t="s">
        <v>17</v>
      </c>
      <c r="D638" s="5">
        <v>41619.15</v>
      </c>
      <c r="E638" s="6">
        <v>1</v>
      </c>
      <c r="F638" s="5">
        <v>41619.15</v>
      </c>
      <c r="G638" s="1">
        <v>45423</v>
      </c>
      <c r="H638" t="s">
        <v>18</v>
      </c>
      <c r="I638">
        <v>4.9000000000000004</v>
      </c>
      <c r="J638" t="s">
        <v>32</v>
      </c>
      <c r="K638">
        <v>2024</v>
      </c>
      <c r="L638">
        <v>8323.83</v>
      </c>
      <c r="M638">
        <v>8</v>
      </c>
      <c r="N638" t="s">
        <v>41</v>
      </c>
      <c r="O638" t="s">
        <v>68</v>
      </c>
      <c r="P638">
        <f>FlipkartSales[[#This Row],[Price (INR)]]*FlipkartSales[[#This Row],[Quantity Sold]]</f>
        <v>41619.15</v>
      </c>
      <c r="Q638">
        <f>FlipkartSales[[#This Row],[Total Sales (INR)]]-FlipkartSales[[#This Row],[Calculated Sales]]</f>
        <v>0</v>
      </c>
      <c r="R638" s="9">
        <f t="shared" si="72"/>
        <v>0.19999999999999998</v>
      </c>
      <c r="S638">
        <f t="shared" si="73"/>
        <v>41619.15</v>
      </c>
      <c r="T638">
        <f t="shared" si="74"/>
        <v>8323.83</v>
      </c>
      <c r="U638">
        <f t="shared" si="75"/>
        <v>5</v>
      </c>
      <c r="V638" t="str">
        <f t="shared" si="76"/>
        <v>Q2</v>
      </c>
      <c r="W638" t="str">
        <f t="shared" si="77"/>
        <v>May-2024</v>
      </c>
      <c r="X638">
        <f t="shared" si="78"/>
        <v>3329.5320000000002</v>
      </c>
      <c r="Y638" s="5">
        <f t="shared" si="79"/>
        <v>38289.618000000002</v>
      </c>
      <c r="Z638" s="21">
        <f>DATE(K638,MATCH(J638,{"January","February","March","April","May","June","July","August","September","October","November","December"},0),1)</f>
        <v>45413</v>
      </c>
    </row>
    <row r="639" spans="1:26" x14ac:dyDescent="0.3">
      <c r="A639" s="4" t="s">
        <v>707</v>
      </c>
      <c r="B639" s="4" t="s">
        <v>39</v>
      </c>
      <c r="C639" s="4" t="s">
        <v>40</v>
      </c>
      <c r="D639" s="5">
        <v>14084.61</v>
      </c>
      <c r="E639" s="6">
        <v>3</v>
      </c>
      <c r="F639" s="5">
        <v>42253.83</v>
      </c>
      <c r="G639" s="1">
        <v>45550</v>
      </c>
      <c r="H639" t="s">
        <v>44</v>
      </c>
      <c r="I639">
        <v>4.9000000000000004</v>
      </c>
      <c r="J639" t="s">
        <v>19</v>
      </c>
      <c r="K639">
        <v>2024</v>
      </c>
      <c r="L639">
        <v>8450.7660000000014</v>
      </c>
      <c r="M639">
        <v>16</v>
      </c>
      <c r="N639" t="s">
        <v>41</v>
      </c>
      <c r="O639" t="s">
        <v>33</v>
      </c>
      <c r="P639">
        <f>FlipkartSales[[#This Row],[Price (INR)]]*FlipkartSales[[#This Row],[Quantity Sold]]</f>
        <v>42253.83</v>
      </c>
      <c r="Q639">
        <f>FlipkartSales[[#This Row],[Total Sales (INR)]]-FlipkartSales[[#This Row],[Calculated Sales]]</f>
        <v>0</v>
      </c>
      <c r="R639" s="9">
        <f t="shared" si="72"/>
        <v>0.20000000000000004</v>
      </c>
      <c r="S639">
        <f t="shared" si="73"/>
        <v>14084.61</v>
      </c>
      <c r="T639">
        <f t="shared" si="74"/>
        <v>2816.9220000000005</v>
      </c>
      <c r="U639">
        <f t="shared" si="75"/>
        <v>9</v>
      </c>
      <c r="V639" t="str">
        <f t="shared" si="76"/>
        <v>Q3</v>
      </c>
      <c r="W639" t="str">
        <f t="shared" si="77"/>
        <v>Sep-2024</v>
      </c>
      <c r="X639">
        <f t="shared" si="78"/>
        <v>6760.6127999999999</v>
      </c>
      <c r="Y639" s="5">
        <f t="shared" si="79"/>
        <v>35493.217199999999</v>
      </c>
      <c r="Z639" s="21">
        <f>DATE(K639,MATCH(J639,{"January","February","March","April","May","June","July","August","September","October","November","December"},0),1)</f>
        <v>45536</v>
      </c>
    </row>
    <row r="640" spans="1:26" x14ac:dyDescent="0.3">
      <c r="A640" s="4" t="s">
        <v>708</v>
      </c>
      <c r="B640" s="4" t="s">
        <v>35</v>
      </c>
      <c r="C640" s="4" t="s">
        <v>36</v>
      </c>
      <c r="D640" s="5">
        <v>25935.66</v>
      </c>
      <c r="E640" s="6">
        <v>5</v>
      </c>
      <c r="F640" s="5">
        <v>129678.3</v>
      </c>
      <c r="G640" s="1">
        <v>45649</v>
      </c>
      <c r="H640" t="s">
        <v>18</v>
      </c>
      <c r="I640">
        <v>3.7</v>
      </c>
      <c r="J640" t="s">
        <v>26</v>
      </c>
      <c r="K640">
        <v>2024</v>
      </c>
      <c r="L640">
        <v>25935.660000000003</v>
      </c>
      <c r="M640">
        <v>13</v>
      </c>
      <c r="N640" t="s">
        <v>27</v>
      </c>
      <c r="O640" t="s">
        <v>28</v>
      </c>
      <c r="P640">
        <f>FlipkartSales[[#This Row],[Price (INR)]]*FlipkartSales[[#This Row],[Quantity Sold]]</f>
        <v>129678.3</v>
      </c>
      <c r="Q640">
        <f>FlipkartSales[[#This Row],[Total Sales (INR)]]-FlipkartSales[[#This Row],[Calculated Sales]]</f>
        <v>0</v>
      </c>
      <c r="R640" s="9">
        <f t="shared" si="72"/>
        <v>0.2</v>
      </c>
      <c r="S640">
        <f t="shared" si="73"/>
        <v>25935.66</v>
      </c>
      <c r="T640">
        <f t="shared" si="74"/>
        <v>5187.1320000000005</v>
      </c>
      <c r="U640">
        <f t="shared" si="75"/>
        <v>12</v>
      </c>
      <c r="V640" t="str">
        <f t="shared" si="76"/>
        <v>Q4</v>
      </c>
      <c r="W640" t="str">
        <f t="shared" si="77"/>
        <v>Dec-2024</v>
      </c>
      <c r="X640">
        <f t="shared" si="78"/>
        <v>16858.179</v>
      </c>
      <c r="Y640" s="5">
        <f t="shared" si="79"/>
        <v>112820.121</v>
      </c>
      <c r="Z640" s="21">
        <f>DATE(K640,MATCH(J640,{"January","February","March","April","May","June","July","August","September","October","November","December"},0),1)</f>
        <v>45627</v>
      </c>
    </row>
    <row r="641" spans="1:26" x14ac:dyDescent="0.3">
      <c r="A641" s="4" t="s">
        <v>709</v>
      </c>
      <c r="B641" s="4" t="s">
        <v>35</v>
      </c>
      <c r="C641" s="4" t="s">
        <v>36</v>
      </c>
      <c r="D641" s="5">
        <v>30657.64</v>
      </c>
      <c r="E641" s="6">
        <v>5</v>
      </c>
      <c r="F641" s="5">
        <v>153288.20000000001</v>
      </c>
      <c r="G641" s="1">
        <v>45636</v>
      </c>
      <c r="H641" t="s">
        <v>80</v>
      </c>
      <c r="I641">
        <v>4.8</v>
      </c>
      <c r="J641" t="s">
        <v>26</v>
      </c>
      <c r="K641">
        <v>2024</v>
      </c>
      <c r="L641">
        <v>30657.640000000003</v>
      </c>
      <c r="M641">
        <v>23</v>
      </c>
      <c r="N641" t="s">
        <v>41</v>
      </c>
      <c r="O641" t="s">
        <v>68</v>
      </c>
      <c r="P641">
        <f>FlipkartSales[[#This Row],[Price (INR)]]*FlipkartSales[[#This Row],[Quantity Sold]]</f>
        <v>153288.20000000001</v>
      </c>
      <c r="Q641">
        <f>FlipkartSales[[#This Row],[Total Sales (INR)]]-FlipkartSales[[#This Row],[Calculated Sales]]</f>
        <v>0</v>
      </c>
      <c r="R641" s="9">
        <f t="shared" si="72"/>
        <v>0.2</v>
      </c>
      <c r="S641">
        <f t="shared" si="73"/>
        <v>30657.640000000003</v>
      </c>
      <c r="T641">
        <f t="shared" si="74"/>
        <v>6131.5280000000002</v>
      </c>
      <c r="U641">
        <f t="shared" si="75"/>
        <v>12</v>
      </c>
      <c r="V641" t="str">
        <f t="shared" si="76"/>
        <v>Q4</v>
      </c>
      <c r="W641" t="str">
        <f t="shared" si="77"/>
        <v>Dec-2024</v>
      </c>
      <c r="X641">
        <f t="shared" si="78"/>
        <v>35256.286</v>
      </c>
      <c r="Y641" s="5">
        <f t="shared" si="79"/>
        <v>118031.91400000002</v>
      </c>
      <c r="Z641" s="21">
        <f>DATE(K641,MATCH(J641,{"January","February","March","April","May","June","July","August","September","October","November","December"},0),1)</f>
        <v>45627</v>
      </c>
    </row>
    <row r="642" spans="1:26" x14ac:dyDescent="0.3">
      <c r="A642" s="4" t="s">
        <v>710</v>
      </c>
      <c r="B642" s="4" t="s">
        <v>176</v>
      </c>
      <c r="C642" s="4" t="s">
        <v>24</v>
      </c>
      <c r="D642" s="5">
        <v>13596.18</v>
      </c>
      <c r="E642" s="6">
        <v>3</v>
      </c>
      <c r="F642" s="5">
        <v>40788.54</v>
      </c>
      <c r="G642" s="1">
        <v>45479</v>
      </c>
      <c r="H642" t="s">
        <v>71</v>
      </c>
      <c r="I642">
        <v>2.9</v>
      </c>
      <c r="J642" t="s">
        <v>48</v>
      </c>
      <c r="K642">
        <v>2024</v>
      </c>
      <c r="L642">
        <v>8157.7080000000005</v>
      </c>
      <c r="M642">
        <v>16</v>
      </c>
      <c r="N642" t="s">
        <v>41</v>
      </c>
      <c r="O642" t="s">
        <v>21</v>
      </c>
      <c r="P642">
        <f>FlipkartSales[[#This Row],[Price (INR)]]*FlipkartSales[[#This Row],[Quantity Sold]]</f>
        <v>40788.54</v>
      </c>
      <c r="Q642">
        <f>FlipkartSales[[#This Row],[Total Sales (INR)]]-FlipkartSales[[#This Row],[Calculated Sales]]</f>
        <v>0</v>
      </c>
      <c r="R642" s="9">
        <f t="shared" ref="R642:R705" si="80">L642/F642</f>
        <v>0.2</v>
      </c>
      <c r="S642">
        <f t="shared" ref="S642:S705" si="81">F642/E642</f>
        <v>13596.18</v>
      </c>
      <c r="T642">
        <f t="shared" ref="T642:T705" si="82">L642/E642</f>
        <v>2719.2360000000003</v>
      </c>
      <c r="U642">
        <f t="shared" ref="U642:U705" si="83">MONTH(G642)</f>
        <v>7</v>
      </c>
      <c r="V642" t="str">
        <f t="shared" ref="V642:V705" si="84">"Q"&amp;ROUNDUP(MONTH(G642)/3,0)</f>
        <v>Q3</v>
      </c>
      <c r="W642" t="str">
        <f t="shared" ref="W642:W705" si="85">TEXT(G642,"mmm-yyyy")</f>
        <v>Jul-2024</v>
      </c>
      <c r="X642">
        <f t="shared" ref="X642:X705" si="86">F642*M642/100</f>
        <v>6526.1664000000001</v>
      </c>
      <c r="Y642" s="5">
        <f t="shared" ref="Y642:Y705" si="87">F642-X642</f>
        <v>34262.373599999999</v>
      </c>
      <c r="Z642" s="21">
        <f>DATE(K642,MATCH(J642,{"January","February","March","April","May","June","July","August","September","October","November","December"},0),1)</f>
        <v>45474</v>
      </c>
    </row>
    <row r="643" spans="1:26" x14ac:dyDescent="0.3">
      <c r="A643" s="4" t="s">
        <v>711</v>
      </c>
      <c r="B643" s="4" t="s">
        <v>94</v>
      </c>
      <c r="C643" s="4" t="s">
        <v>31</v>
      </c>
      <c r="D643" s="5">
        <v>28379.75</v>
      </c>
      <c r="E643" s="6">
        <v>5</v>
      </c>
      <c r="F643" s="5">
        <v>141898.75</v>
      </c>
      <c r="G643" s="1">
        <v>45629</v>
      </c>
      <c r="H643" t="s">
        <v>64</v>
      </c>
      <c r="I643">
        <v>4.4000000000000004</v>
      </c>
      <c r="J643" t="s">
        <v>26</v>
      </c>
      <c r="K643">
        <v>2024</v>
      </c>
      <c r="L643">
        <v>28379.75</v>
      </c>
      <c r="M643">
        <v>13</v>
      </c>
      <c r="N643" t="s">
        <v>27</v>
      </c>
      <c r="O643" t="s">
        <v>28</v>
      </c>
      <c r="P643">
        <f>FlipkartSales[[#This Row],[Price (INR)]]*FlipkartSales[[#This Row],[Quantity Sold]]</f>
        <v>141898.75</v>
      </c>
      <c r="Q643">
        <f>FlipkartSales[[#This Row],[Total Sales (INR)]]-FlipkartSales[[#This Row],[Calculated Sales]]</f>
        <v>0</v>
      </c>
      <c r="R643" s="9">
        <f t="shared" si="80"/>
        <v>0.2</v>
      </c>
      <c r="S643">
        <f t="shared" si="81"/>
        <v>28379.75</v>
      </c>
      <c r="T643">
        <f t="shared" si="82"/>
        <v>5675.95</v>
      </c>
      <c r="U643">
        <f t="shared" si="83"/>
        <v>12</v>
      </c>
      <c r="V643" t="str">
        <f t="shared" si="84"/>
        <v>Q4</v>
      </c>
      <c r="W643" t="str">
        <f t="shared" si="85"/>
        <v>Dec-2024</v>
      </c>
      <c r="X643">
        <f t="shared" si="86"/>
        <v>18446.837500000001</v>
      </c>
      <c r="Y643" s="5">
        <f t="shared" si="87"/>
        <v>123451.91250000001</v>
      </c>
      <c r="Z643" s="21">
        <f>DATE(K643,MATCH(J643,{"January","February","March","April","May","June","July","August","September","October","November","December"},0),1)</f>
        <v>45627</v>
      </c>
    </row>
    <row r="644" spans="1:26" x14ac:dyDescent="0.3">
      <c r="A644" s="4" t="s">
        <v>712</v>
      </c>
      <c r="B644" s="4" t="s">
        <v>176</v>
      </c>
      <c r="C644" s="4" t="s">
        <v>24</v>
      </c>
      <c r="D644" s="5">
        <v>12422.09</v>
      </c>
      <c r="E644" s="6">
        <v>2</v>
      </c>
      <c r="F644" s="5">
        <v>24844.18</v>
      </c>
      <c r="G644" s="1">
        <v>45387</v>
      </c>
      <c r="H644" t="s">
        <v>64</v>
      </c>
      <c r="I644">
        <v>3.4</v>
      </c>
      <c r="J644" t="s">
        <v>62</v>
      </c>
      <c r="K644">
        <v>2024</v>
      </c>
      <c r="L644">
        <v>4968.8360000000002</v>
      </c>
      <c r="M644">
        <v>11</v>
      </c>
      <c r="N644" t="s">
        <v>41</v>
      </c>
      <c r="O644" t="s">
        <v>28</v>
      </c>
      <c r="P644">
        <f>FlipkartSales[[#This Row],[Price (INR)]]*FlipkartSales[[#This Row],[Quantity Sold]]</f>
        <v>24844.18</v>
      </c>
      <c r="Q644">
        <f>FlipkartSales[[#This Row],[Total Sales (INR)]]-FlipkartSales[[#This Row],[Calculated Sales]]</f>
        <v>0</v>
      </c>
      <c r="R644" s="9">
        <f t="shared" si="80"/>
        <v>0.2</v>
      </c>
      <c r="S644">
        <f t="shared" si="81"/>
        <v>12422.09</v>
      </c>
      <c r="T644">
        <f t="shared" si="82"/>
        <v>2484.4180000000001</v>
      </c>
      <c r="U644">
        <f t="shared" si="83"/>
        <v>4</v>
      </c>
      <c r="V644" t="str">
        <f t="shared" si="84"/>
        <v>Q2</v>
      </c>
      <c r="W644" t="str">
        <f t="shared" si="85"/>
        <v>Apr-2024</v>
      </c>
      <c r="X644">
        <f t="shared" si="86"/>
        <v>2732.8597999999997</v>
      </c>
      <c r="Y644" s="5">
        <f t="shared" si="87"/>
        <v>22111.320200000002</v>
      </c>
      <c r="Z644" s="21">
        <f>DATE(K644,MATCH(J644,{"January","February","March","April","May","June","July","August","September","October","November","December"},0),1)</f>
        <v>45383</v>
      </c>
    </row>
    <row r="645" spans="1:26" x14ac:dyDescent="0.3">
      <c r="A645" s="4" t="s">
        <v>713</v>
      </c>
      <c r="B645" s="4" t="s">
        <v>100</v>
      </c>
      <c r="C645" s="4" t="s">
        <v>31</v>
      </c>
      <c r="D645" s="5">
        <v>18747.939999999999</v>
      </c>
      <c r="E645" s="6">
        <v>1</v>
      </c>
      <c r="F645" s="5">
        <v>18747.939999999999</v>
      </c>
      <c r="G645" s="1">
        <v>45596</v>
      </c>
      <c r="H645" t="s">
        <v>80</v>
      </c>
      <c r="I645">
        <v>2.2000000000000002</v>
      </c>
      <c r="J645" t="s">
        <v>45</v>
      </c>
      <c r="K645">
        <v>2024</v>
      </c>
      <c r="L645">
        <v>3749.5879999999997</v>
      </c>
      <c r="M645">
        <v>18</v>
      </c>
      <c r="N645" t="s">
        <v>41</v>
      </c>
      <c r="O645" t="s">
        <v>21</v>
      </c>
      <c r="P645">
        <f>FlipkartSales[[#This Row],[Price (INR)]]*FlipkartSales[[#This Row],[Quantity Sold]]</f>
        <v>18747.939999999999</v>
      </c>
      <c r="Q645">
        <f>FlipkartSales[[#This Row],[Total Sales (INR)]]-FlipkartSales[[#This Row],[Calculated Sales]]</f>
        <v>0</v>
      </c>
      <c r="R645" s="9">
        <f t="shared" si="80"/>
        <v>0.2</v>
      </c>
      <c r="S645">
        <f t="shared" si="81"/>
        <v>18747.939999999999</v>
      </c>
      <c r="T645">
        <f t="shared" si="82"/>
        <v>3749.5879999999997</v>
      </c>
      <c r="U645">
        <f t="shared" si="83"/>
        <v>10</v>
      </c>
      <c r="V645" t="str">
        <f t="shared" si="84"/>
        <v>Q4</v>
      </c>
      <c r="W645" t="str">
        <f t="shared" si="85"/>
        <v>Oct-2024</v>
      </c>
      <c r="X645">
        <f t="shared" si="86"/>
        <v>3374.6291999999999</v>
      </c>
      <c r="Y645" s="5">
        <f t="shared" si="87"/>
        <v>15373.310799999999</v>
      </c>
      <c r="Z645" s="21">
        <f>DATE(K645,MATCH(J645,{"January","February","March","April","May","June","July","August","September","October","November","December"},0),1)</f>
        <v>45566</v>
      </c>
    </row>
    <row r="646" spans="1:26" x14ac:dyDescent="0.3">
      <c r="A646" s="4" t="s">
        <v>714</v>
      </c>
      <c r="B646" s="4" t="s">
        <v>35</v>
      </c>
      <c r="C646" s="4" t="s">
        <v>36</v>
      </c>
      <c r="D646" s="5">
        <v>35524.559999999998</v>
      </c>
      <c r="E646" s="6">
        <v>1</v>
      </c>
      <c r="F646" s="5">
        <v>35524.559999999998</v>
      </c>
      <c r="G646" s="1">
        <v>45512</v>
      </c>
      <c r="H646" t="s">
        <v>25</v>
      </c>
      <c r="I646">
        <v>2</v>
      </c>
      <c r="J646" t="s">
        <v>88</v>
      </c>
      <c r="K646">
        <v>2024</v>
      </c>
      <c r="L646">
        <v>7104.9120000000003</v>
      </c>
      <c r="M646">
        <v>24</v>
      </c>
      <c r="N646" t="s">
        <v>27</v>
      </c>
      <c r="O646" t="s">
        <v>33</v>
      </c>
      <c r="P646">
        <f>FlipkartSales[[#This Row],[Price (INR)]]*FlipkartSales[[#This Row],[Quantity Sold]]</f>
        <v>35524.559999999998</v>
      </c>
      <c r="Q646">
        <f>FlipkartSales[[#This Row],[Total Sales (INR)]]-FlipkartSales[[#This Row],[Calculated Sales]]</f>
        <v>0</v>
      </c>
      <c r="R646" s="9">
        <f t="shared" si="80"/>
        <v>0.2</v>
      </c>
      <c r="S646">
        <f t="shared" si="81"/>
        <v>35524.559999999998</v>
      </c>
      <c r="T646">
        <f t="shared" si="82"/>
        <v>7104.9120000000003</v>
      </c>
      <c r="U646">
        <f t="shared" si="83"/>
        <v>8</v>
      </c>
      <c r="V646" t="str">
        <f t="shared" si="84"/>
        <v>Q3</v>
      </c>
      <c r="W646" t="str">
        <f t="shared" si="85"/>
        <v>Aug-2024</v>
      </c>
      <c r="X646">
        <f t="shared" si="86"/>
        <v>8525.8943999999992</v>
      </c>
      <c r="Y646" s="5">
        <f t="shared" si="87"/>
        <v>26998.6656</v>
      </c>
      <c r="Z646" s="21">
        <f>DATE(K646,MATCH(J646,{"January","February","March","April","May","June","July","August","September","October","November","December"},0),1)</f>
        <v>45505</v>
      </c>
    </row>
    <row r="647" spans="1:26" x14ac:dyDescent="0.3">
      <c r="A647" s="4" t="s">
        <v>715</v>
      </c>
      <c r="B647" s="4" t="s">
        <v>78</v>
      </c>
      <c r="C647" s="4" t="s">
        <v>24</v>
      </c>
      <c r="D647" s="5">
        <v>36454.629999999997</v>
      </c>
      <c r="E647" s="6">
        <v>1</v>
      </c>
      <c r="F647" s="5">
        <v>36454.629999999997</v>
      </c>
      <c r="G647" s="1">
        <v>45464</v>
      </c>
      <c r="H647" t="s">
        <v>25</v>
      </c>
      <c r="I647">
        <v>4.3</v>
      </c>
      <c r="J647" t="s">
        <v>67</v>
      </c>
      <c r="K647">
        <v>2024</v>
      </c>
      <c r="L647">
        <v>7290.9259999999995</v>
      </c>
      <c r="M647">
        <v>23</v>
      </c>
      <c r="N647" t="s">
        <v>27</v>
      </c>
      <c r="O647" t="s">
        <v>21</v>
      </c>
      <c r="P647">
        <f>FlipkartSales[[#This Row],[Price (INR)]]*FlipkartSales[[#This Row],[Quantity Sold]]</f>
        <v>36454.629999999997</v>
      </c>
      <c r="Q647">
        <f>FlipkartSales[[#This Row],[Total Sales (INR)]]-FlipkartSales[[#This Row],[Calculated Sales]]</f>
        <v>0</v>
      </c>
      <c r="R647" s="9">
        <f t="shared" si="80"/>
        <v>0.2</v>
      </c>
      <c r="S647">
        <f t="shared" si="81"/>
        <v>36454.629999999997</v>
      </c>
      <c r="T647">
        <f t="shared" si="82"/>
        <v>7290.9259999999995</v>
      </c>
      <c r="U647">
        <f t="shared" si="83"/>
        <v>6</v>
      </c>
      <c r="V647" t="str">
        <f t="shared" si="84"/>
        <v>Q2</v>
      </c>
      <c r="W647" t="str">
        <f t="shared" si="85"/>
        <v>Jun-2024</v>
      </c>
      <c r="X647">
        <f t="shared" si="86"/>
        <v>8384.5648999999994</v>
      </c>
      <c r="Y647" s="5">
        <f t="shared" si="87"/>
        <v>28070.0651</v>
      </c>
      <c r="Z647" s="21">
        <f>DATE(K647,MATCH(J647,{"January","February","March","April","May","June","July","August","September","October","November","December"},0),1)</f>
        <v>45444</v>
      </c>
    </row>
    <row r="648" spans="1:26" x14ac:dyDescent="0.3">
      <c r="A648" s="4" t="s">
        <v>716</v>
      </c>
      <c r="B648" s="4" t="s">
        <v>96</v>
      </c>
      <c r="C648" s="4" t="s">
        <v>36</v>
      </c>
      <c r="D648" s="5">
        <v>23249.27</v>
      </c>
      <c r="E648" s="6">
        <v>3</v>
      </c>
      <c r="F648" s="5">
        <v>69747.81</v>
      </c>
      <c r="G648" s="1">
        <v>45563</v>
      </c>
      <c r="H648" t="s">
        <v>71</v>
      </c>
      <c r="I648">
        <v>2.2000000000000002</v>
      </c>
      <c r="J648" t="s">
        <v>19</v>
      </c>
      <c r="K648">
        <v>2024</v>
      </c>
      <c r="L648">
        <v>13949.562</v>
      </c>
      <c r="M648">
        <v>30</v>
      </c>
      <c r="N648" t="s">
        <v>27</v>
      </c>
      <c r="O648" t="s">
        <v>28</v>
      </c>
      <c r="P648">
        <f>FlipkartSales[[#This Row],[Price (INR)]]*FlipkartSales[[#This Row],[Quantity Sold]]</f>
        <v>69747.81</v>
      </c>
      <c r="Q648">
        <f>FlipkartSales[[#This Row],[Total Sales (INR)]]-FlipkartSales[[#This Row],[Calculated Sales]]</f>
        <v>0</v>
      </c>
      <c r="R648" s="9">
        <f t="shared" si="80"/>
        <v>0.2</v>
      </c>
      <c r="S648">
        <f t="shared" si="81"/>
        <v>23249.27</v>
      </c>
      <c r="T648">
        <f t="shared" si="82"/>
        <v>4649.8540000000003</v>
      </c>
      <c r="U648">
        <f t="shared" si="83"/>
        <v>9</v>
      </c>
      <c r="V648" t="str">
        <f t="shared" si="84"/>
        <v>Q3</v>
      </c>
      <c r="W648" t="str">
        <f t="shared" si="85"/>
        <v>Sep-2024</v>
      </c>
      <c r="X648">
        <f t="shared" si="86"/>
        <v>20924.342999999997</v>
      </c>
      <c r="Y648" s="5">
        <f t="shared" si="87"/>
        <v>48823.467000000004</v>
      </c>
      <c r="Z648" s="21">
        <f>DATE(K648,MATCH(J648,{"January","February","March","April","May","June","July","August","September","October","November","December"},0),1)</f>
        <v>45536</v>
      </c>
    </row>
    <row r="649" spans="1:26" x14ac:dyDescent="0.3">
      <c r="A649" s="4" t="s">
        <v>717</v>
      </c>
      <c r="B649" s="4" t="s">
        <v>100</v>
      </c>
      <c r="C649" s="4" t="s">
        <v>31</v>
      </c>
      <c r="D649" s="5">
        <v>48842.53</v>
      </c>
      <c r="E649" s="6">
        <v>1</v>
      </c>
      <c r="F649" s="5">
        <v>48842.53</v>
      </c>
      <c r="G649" s="1">
        <v>45424</v>
      </c>
      <c r="H649" t="s">
        <v>80</v>
      </c>
      <c r="I649">
        <v>2.7</v>
      </c>
      <c r="J649" t="s">
        <v>32</v>
      </c>
      <c r="K649">
        <v>2024</v>
      </c>
      <c r="L649">
        <v>9768.5059999999994</v>
      </c>
      <c r="M649">
        <v>19</v>
      </c>
      <c r="N649" t="s">
        <v>20</v>
      </c>
      <c r="O649" t="s">
        <v>21</v>
      </c>
      <c r="P649">
        <f>FlipkartSales[[#This Row],[Price (INR)]]*FlipkartSales[[#This Row],[Quantity Sold]]</f>
        <v>48842.53</v>
      </c>
      <c r="Q649">
        <f>FlipkartSales[[#This Row],[Total Sales (INR)]]-FlipkartSales[[#This Row],[Calculated Sales]]</f>
        <v>0</v>
      </c>
      <c r="R649" s="9">
        <f t="shared" si="80"/>
        <v>0.19999999999999998</v>
      </c>
      <c r="S649">
        <f t="shared" si="81"/>
        <v>48842.53</v>
      </c>
      <c r="T649">
        <f t="shared" si="82"/>
        <v>9768.5059999999994</v>
      </c>
      <c r="U649">
        <f t="shared" si="83"/>
        <v>5</v>
      </c>
      <c r="V649" t="str">
        <f t="shared" si="84"/>
        <v>Q2</v>
      </c>
      <c r="W649" t="str">
        <f t="shared" si="85"/>
        <v>May-2024</v>
      </c>
      <c r="X649">
        <f t="shared" si="86"/>
        <v>9280.0806999999986</v>
      </c>
      <c r="Y649" s="5">
        <f t="shared" si="87"/>
        <v>39562.4493</v>
      </c>
      <c r="Z649" s="21">
        <f>DATE(K649,MATCH(J649,{"January","February","March","April","May","June","July","August","September","October","November","December"},0),1)</f>
        <v>45413</v>
      </c>
    </row>
    <row r="650" spans="1:26" x14ac:dyDescent="0.3">
      <c r="A650" s="4" t="s">
        <v>718</v>
      </c>
      <c r="B650" s="4" t="s">
        <v>55</v>
      </c>
      <c r="C650" s="4" t="s">
        <v>36</v>
      </c>
      <c r="D650" s="5">
        <v>21881.01</v>
      </c>
      <c r="E650" s="6">
        <v>1</v>
      </c>
      <c r="F650" s="5">
        <v>21881.01</v>
      </c>
      <c r="G650" s="1">
        <v>45423</v>
      </c>
      <c r="H650" t="s">
        <v>44</v>
      </c>
      <c r="I650">
        <v>3.5</v>
      </c>
      <c r="J650" t="s">
        <v>32</v>
      </c>
      <c r="K650">
        <v>2024</v>
      </c>
      <c r="L650">
        <v>4376.2020000000002</v>
      </c>
      <c r="M650">
        <v>20</v>
      </c>
      <c r="N650" t="s">
        <v>20</v>
      </c>
      <c r="O650" t="s">
        <v>68</v>
      </c>
      <c r="P650">
        <f>FlipkartSales[[#This Row],[Price (INR)]]*FlipkartSales[[#This Row],[Quantity Sold]]</f>
        <v>21881.01</v>
      </c>
      <c r="Q650">
        <f>FlipkartSales[[#This Row],[Total Sales (INR)]]-FlipkartSales[[#This Row],[Calculated Sales]]</f>
        <v>0</v>
      </c>
      <c r="R650" s="9">
        <f t="shared" si="80"/>
        <v>0.2</v>
      </c>
      <c r="S650">
        <f t="shared" si="81"/>
        <v>21881.01</v>
      </c>
      <c r="T650">
        <f t="shared" si="82"/>
        <v>4376.2020000000002</v>
      </c>
      <c r="U650">
        <f t="shared" si="83"/>
        <v>5</v>
      </c>
      <c r="V650" t="str">
        <f t="shared" si="84"/>
        <v>Q2</v>
      </c>
      <c r="W650" t="str">
        <f t="shared" si="85"/>
        <v>May-2024</v>
      </c>
      <c r="X650">
        <f t="shared" si="86"/>
        <v>4376.2019999999993</v>
      </c>
      <c r="Y650" s="5">
        <f t="shared" si="87"/>
        <v>17504.807999999997</v>
      </c>
      <c r="Z650" s="21">
        <f>DATE(K650,MATCH(J650,{"January","February","March","April","May","June","July","August","September","October","November","December"},0),1)</f>
        <v>45413</v>
      </c>
    </row>
    <row r="651" spans="1:26" x14ac:dyDescent="0.3">
      <c r="A651" s="4" t="s">
        <v>719</v>
      </c>
      <c r="B651" s="4" t="s">
        <v>16</v>
      </c>
      <c r="C651" s="4" t="s">
        <v>17</v>
      </c>
      <c r="D651" s="5">
        <v>38964.36</v>
      </c>
      <c r="E651" s="6">
        <v>5</v>
      </c>
      <c r="F651" s="5">
        <v>194821.8</v>
      </c>
      <c r="G651" s="1">
        <v>45594</v>
      </c>
      <c r="H651" t="s">
        <v>44</v>
      </c>
      <c r="I651">
        <v>3.9</v>
      </c>
      <c r="J651" t="s">
        <v>45</v>
      </c>
      <c r="K651">
        <v>2024</v>
      </c>
      <c r="L651">
        <v>38964.36</v>
      </c>
      <c r="M651">
        <v>25</v>
      </c>
      <c r="N651" t="s">
        <v>27</v>
      </c>
      <c r="O651" t="s">
        <v>21</v>
      </c>
      <c r="P651">
        <f>FlipkartSales[[#This Row],[Price (INR)]]*FlipkartSales[[#This Row],[Quantity Sold]]</f>
        <v>194821.8</v>
      </c>
      <c r="Q651">
        <f>FlipkartSales[[#This Row],[Total Sales (INR)]]-FlipkartSales[[#This Row],[Calculated Sales]]</f>
        <v>0</v>
      </c>
      <c r="R651" s="9">
        <f t="shared" si="80"/>
        <v>0.2</v>
      </c>
      <c r="S651">
        <f t="shared" si="81"/>
        <v>38964.36</v>
      </c>
      <c r="T651">
        <f t="shared" si="82"/>
        <v>7792.8720000000003</v>
      </c>
      <c r="U651">
        <f t="shared" si="83"/>
        <v>10</v>
      </c>
      <c r="V651" t="str">
        <f t="shared" si="84"/>
        <v>Q4</v>
      </c>
      <c r="W651" t="str">
        <f t="shared" si="85"/>
        <v>Oct-2024</v>
      </c>
      <c r="X651">
        <f t="shared" si="86"/>
        <v>48705.45</v>
      </c>
      <c r="Y651" s="5">
        <f t="shared" si="87"/>
        <v>146116.34999999998</v>
      </c>
      <c r="Z651" s="21">
        <f>DATE(K651,MATCH(J651,{"January","February","March","April","May","June","July","August","September","October","November","December"},0),1)</f>
        <v>45566</v>
      </c>
    </row>
    <row r="652" spans="1:26" x14ac:dyDescent="0.3">
      <c r="A652" s="4" t="s">
        <v>720</v>
      </c>
      <c r="B652" s="4" t="s">
        <v>145</v>
      </c>
      <c r="C652" s="4" t="s">
        <v>40</v>
      </c>
      <c r="D652" s="5">
        <v>1435.38</v>
      </c>
      <c r="E652" s="6">
        <v>4</v>
      </c>
      <c r="F652" s="5">
        <v>5741.52</v>
      </c>
      <c r="G652" s="1">
        <v>45375</v>
      </c>
      <c r="H652" t="s">
        <v>25</v>
      </c>
      <c r="I652">
        <v>2</v>
      </c>
      <c r="J652" t="s">
        <v>56</v>
      </c>
      <c r="K652">
        <v>2024</v>
      </c>
      <c r="L652">
        <v>1148.3040000000001</v>
      </c>
      <c r="M652">
        <v>9</v>
      </c>
      <c r="N652" t="s">
        <v>27</v>
      </c>
      <c r="O652" t="s">
        <v>28</v>
      </c>
      <c r="P652">
        <f>FlipkartSales[[#This Row],[Price (INR)]]*FlipkartSales[[#This Row],[Quantity Sold]]</f>
        <v>5741.52</v>
      </c>
      <c r="Q652">
        <f>FlipkartSales[[#This Row],[Total Sales (INR)]]-FlipkartSales[[#This Row],[Calculated Sales]]</f>
        <v>0</v>
      </c>
      <c r="R652" s="9">
        <f t="shared" si="80"/>
        <v>0.2</v>
      </c>
      <c r="S652">
        <f t="shared" si="81"/>
        <v>1435.38</v>
      </c>
      <c r="T652">
        <f t="shared" si="82"/>
        <v>287.07600000000002</v>
      </c>
      <c r="U652">
        <f t="shared" si="83"/>
        <v>3</v>
      </c>
      <c r="V652" t="str">
        <f t="shared" si="84"/>
        <v>Q1</v>
      </c>
      <c r="W652" t="str">
        <f t="shared" si="85"/>
        <v>Mar-2024</v>
      </c>
      <c r="X652">
        <f t="shared" si="86"/>
        <v>516.73680000000013</v>
      </c>
      <c r="Y652" s="5">
        <f t="shared" si="87"/>
        <v>5224.7831999999999</v>
      </c>
      <c r="Z652" s="21">
        <f>DATE(K652,MATCH(J652,{"January","February","March","April","May","June","July","August","September","October","November","December"},0),1)</f>
        <v>45352</v>
      </c>
    </row>
    <row r="653" spans="1:26" x14ac:dyDescent="0.3">
      <c r="A653" s="4" t="s">
        <v>721</v>
      </c>
      <c r="B653" s="4" t="s">
        <v>96</v>
      </c>
      <c r="C653" s="4" t="s">
        <v>36</v>
      </c>
      <c r="D653" s="5">
        <v>2536.16</v>
      </c>
      <c r="E653" s="6">
        <v>5</v>
      </c>
      <c r="F653" s="5">
        <v>12680.8</v>
      </c>
      <c r="G653" s="1">
        <v>45430</v>
      </c>
      <c r="H653" t="s">
        <v>64</v>
      </c>
      <c r="I653">
        <v>1.8</v>
      </c>
      <c r="J653" t="s">
        <v>32</v>
      </c>
      <c r="K653">
        <v>2024</v>
      </c>
      <c r="L653">
        <v>2536.16</v>
      </c>
      <c r="M653">
        <v>7</v>
      </c>
      <c r="N653" t="s">
        <v>27</v>
      </c>
      <c r="O653" t="s">
        <v>21</v>
      </c>
      <c r="P653">
        <f>FlipkartSales[[#This Row],[Price (INR)]]*FlipkartSales[[#This Row],[Quantity Sold]]</f>
        <v>12680.8</v>
      </c>
      <c r="Q653">
        <f>FlipkartSales[[#This Row],[Total Sales (INR)]]-FlipkartSales[[#This Row],[Calculated Sales]]</f>
        <v>0</v>
      </c>
      <c r="R653" s="9">
        <f t="shared" si="80"/>
        <v>0.2</v>
      </c>
      <c r="S653">
        <f t="shared" si="81"/>
        <v>2536.16</v>
      </c>
      <c r="T653">
        <f t="shared" si="82"/>
        <v>507.23199999999997</v>
      </c>
      <c r="U653">
        <f t="shared" si="83"/>
        <v>5</v>
      </c>
      <c r="V653" t="str">
        <f t="shared" si="84"/>
        <v>Q2</v>
      </c>
      <c r="W653" t="str">
        <f t="shared" si="85"/>
        <v>May-2024</v>
      </c>
      <c r="X653">
        <f t="shared" si="86"/>
        <v>887.65599999999995</v>
      </c>
      <c r="Y653" s="5">
        <f t="shared" si="87"/>
        <v>11793.144</v>
      </c>
      <c r="Z653" s="21">
        <f>DATE(K653,MATCH(J653,{"January","February","March","April","May","June","July","August","September","October","November","December"},0),1)</f>
        <v>45413</v>
      </c>
    </row>
    <row r="654" spans="1:26" x14ac:dyDescent="0.3">
      <c r="A654" s="4" t="s">
        <v>722</v>
      </c>
      <c r="B654" s="4" t="s">
        <v>107</v>
      </c>
      <c r="C654" s="4" t="s">
        <v>36</v>
      </c>
      <c r="D654" s="5">
        <v>21992.38</v>
      </c>
      <c r="E654" s="6">
        <v>5</v>
      </c>
      <c r="F654" s="5">
        <v>109961.9</v>
      </c>
      <c r="G654" s="1">
        <v>45501</v>
      </c>
      <c r="H654" t="s">
        <v>18</v>
      </c>
      <c r="I654">
        <v>3.9</v>
      </c>
      <c r="J654" t="s">
        <v>48</v>
      </c>
      <c r="K654">
        <v>2024</v>
      </c>
      <c r="L654">
        <v>21992.38</v>
      </c>
      <c r="M654">
        <v>16</v>
      </c>
      <c r="N654" t="s">
        <v>20</v>
      </c>
      <c r="O654" t="s">
        <v>33</v>
      </c>
      <c r="P654">
        <f>FlipkartSales[[#This Row],[Price (INR)]]*FlipkartSales[[#This Row],[Quantity Sold]]</f>
        <v>109961.90000000001</v>
      </c>
      <c r="Q654">
        <f>FlipkartSales[[#This Row],[Total Sales (INR)]]-FlipkartSales[[#This Row],[Calculated Sales]]</f>
        <v>0</v>
      </c>
      <c r="R654" s="9">
        <f t="shared" si="80"/>
        <v>0.2</v>
      </c>
      <c r="S654">
        <f t="shared" si="81"/>
        <v>21992.379999999997</v>
      </c>
      <c r="T654">
        <f t="shared" si="82"/>
        <v>4398.4760000000006</v>
      </c>
      <c r="U654">
        <f t="shared" si="83"/>
        <v>7</v>
      </c>
      <c r="V654" t="str">
        <f t="shared" si="84"/>
        <v>Q3</v>
      </c>
      <c r="W654" t="str">
        <f t="shared" si="85"/>
        <v>Jul-2024</v>
      </c>
      <c r="X654">
        <f t="shared" si="86"/>
        <v>17593.903999999999</v>
      </c>
      <c r="Y654" s="5">
        <f t="shared" si="87"/>
        <v>92367.995999999999</v>
      </c>
      <c r="Z654" s="21">
        <f>DATE(K654,MATCH(J654,{"January","February","March","April","May","June","July","August","September","October","November","December"},0),1)</f>
        <v>45474</v>
      </c>
    </row>
    <row r="655" spans="1:26" x14ac:dyDescent="0.3">
      <c r="A655" s="4" t="s">
        <v>723</v>
      </c>
      <c r="B655" s="4" t="s">
        <v>61</v>
      </c>
      <c r="C655" s="4" t="s">
        <v>31</v>
      </c>
      <c r="D655" s="5">
        <v>20194.2</v>
      </c>
      <c r="E655" s="6">
        <v>2</v>
      </c>
      <c r="F655" s="5">
        <v>40388.400000000001</v>
      </c>
      <c r="G655" s="1">
        <v>45581</v>
      </c>
      <c r="H655" t="s">
        <v>18</v>
      </c>
      <c r="I655">
        <v>3.1</v>
      </c>
      <c r="J655" t="s">
        <v>45</v>
      </c>
      <c r="K655">
        <v>2024</v>
      </c>
      <c r="L655">
        <v>8077.68</v>
      </c>
      <c r="M655">
        <v>29</v>
      </c>
      <c r="N655" t="s">
        <v>20</v>
      </c>
      <c r="O655" t="s">
        <v>21</v>
      </c>
      <c r="P655">
        <f>FlipkartSales[[#This Row],[Price (INR)]]*FlipkartSales[[#This Row],[Quantity Sold]]</f>
        <v>40388.400000000001</v>
      </c>
      <c r="Q655">
        <f>FlipkartSales[[#This Row],[Total Sales (INR)]]-FlipkartSales[[#This Row],[Calculated Sales]]</f>
        <v>0</v>
      </c>
      <c r="R655" s="9">
        <f t="shared" si="80"/>
        <v>0.2</v>
      </c>
      <c r="S655">
        <f t="shared" si="81"/>
        <v>20194.2</v>
      </c>
      <c r="T655">
        <f t="shared" si="82"/>
        <v>4038.84</v>
      </c>
      <c r="U655">
        <f t="shared" si="83"/>
        <v>10</v>
      </c>
      <c r="V655" t="str">
        <f t="shared" si="84"/>
        <v>Q4</v>
      </c>
      <c r="W655" t="str">
        <f t="shared" si="85"/>
        <v>Oct-2024</v>
      </c>
      <c r="X655">
        <f t="shared" si="86"/>
        <v>11712.636</v>
      </c>
      <c r="Y655" s="5">
        <f t="shared" si="87"/>
        <v>28675.764000000003</v>
      </c>
      <c r="Z655" s="21">
        <f>DATE(K655,MATCH(J655,{"January","February","March","April","May","June","July","August","September","October","November","December"},0),1)</f>
        <v>45566</v>
      </c>
    </row>
    <row r="656" spans="1:26" x14ac:dyDescent="0.3">
      <c r="A656" s="4" t="s">
        <v>724</v>
      </c>
      <c r="B656" s="4" t="s">
        <v>52</v>
      </c>
      <c r="C656" s="4" t="s">
        <v>24</v>
      </c>
      <c r="D656" s="5">
        <v>18789.810000000001</v>
      </c>
      <c r="E656" s="6">
        <v>3</v>
      </c>
      <c r="F656" s="5">
        <v>56369.43</v>
      </c>
      <c r="G656" s="1">
        <v>45407</v>
      </c>
      <c r="H656" t="s">
        <v>18</v>
      </c>
      <c r="I656">
        <v>2</v>
      </c>
      <c r="J656" t="s">
        <v>62</v>
      </c>
      <c r="K656">
        <v>2024</v>
      </c>
      <c r="L656">
        <v>11273.886</v>
      </c>
      <c r="M656">
        <v>24</v>
      </c>
      <c r="N656" t="s">
        <v>41</v>
      </c>
      <c r="O656" t="s">
        <v>33</v>
      </c>
      <c r="P656">
        <f>FlipkartSales[[#This Row],[Price (INR)]]*FlipkartSales[[#This Row],[Quantity Sold]]</f>
        <v>56369.430000000008</v>
      </c>
      <c r="Q656">
        <f>FlipkartSales[[#This Row],[Total Sales (INR)]]-FlipkartSales[[#This Row],[Calculated Sales]]</f>
        <v>0</v>
      </c>
      <c r="R656" s="9">
        <f t="shared" si="80"/>
        <v>0.2</v>
      </c>
      <c r="S656">
        <f t="shared" si="81"/>
        <v>18789.810000000001</v>
      </c>
      <c r="T656">
        <f t="shared" si="82"/>
        <v>3757.962</v>
      </c>
      <c r="U656">
        <f t="shared" si="83"/>
        <v>4</v>
      </c>
      <c r="V656" t="str">
        <f t="shared" si="84"/>
        <v>Q2</v>
      </c>
      <c r="W656" t="str">
        <f t="shared" si="85"/>
        <v>Apr-2024</v>
      </c>
      <c r="X656">
        <f t="shared" si="86"/>
        <v>13528.663200000001</v>
      </c>
      <c r="Y656" s="5">
        <f t="shared" si="87"/>
        <v>42840.766799999998</v>
      </c>
      <c r="Z656" s="21">
        <f>DATE(K656,MATCH(J656,{"January","February","March","April","May","June","July","August","September","October","November","December"},0),1)</f>
        <v>45383</v>
      </c>
    </row>
    <row r="657" spans="1:26" x14ac:dyDescent="0.3">
      <c r="A657" s="4" t="s">
        <v>725</v>
      </c>
      <c r="B657" s="4" t="s">
        <v>96</v>
      </c>
      <c r="C657" s="4" t="s">
        <v>36</v>
      </c>
      <c r="D657" s="5">
        <v>33027.629999999997</v>
      </c>
      <c r="E657" s="6">
        <v>2</v>
      </c>
      <c r="F657" s="5">
        <v>66055.259999999995</v>
      </c>
      <c r="G657" s="1">
        <v>45535</v>
      </c>
      <c r="H657" t="s">
        <v>64</v>
      </c>
      <c r="I657">
        <v>1.5</v>
      </c>
      <c r="J657" t="s">
        <v>88</v>
      </c>
      <c r="K657">
        <v>2024</v>
      </c>
      <c r="L657">
        <v>13211.052</v>
      </c>
      <c r="M657">
        <v>25</v>
      </c>
      <c r="N657" t="s">
        <v>41</v>
      </c>
      <c r="O657" t="s">
        <v>68</v>
      </c>
      <c r="P657">
        <f>FlipkartSales[[#This Row],[Price (INR)]]*FlipkartSales[[#This Row],[Quantity Sold]]</f>
        <v>66055.259999999995</v>
      </c>
      <c r="Q657">
        <f>FlipkartSales[[#This Row],[Total Sales (INR)]]-FlipkartSales[[#This Row],[Calculated Sales]]</f>
        <v>0</v>
      </c>
      <c r="R657" s="9">
        <f t="shared" si="80"/>
        <v>0.2</v>
      </c>
      <c r="S657">
        <f t="shared" si="81"/>
        <v>33027.629999999997</v>
      </c>
      <c r="T657">
        <f t="shared" si="82"/>
        <v>6605.5259999999998</v>
      </c>
      <c r="U657">
        <f t="shared" si="83"/>
        <v>8</v>
      </c>
      <c r="V657" t="str">
        <f t="shared" si="84"/>
        <v>Q3</v>
      </c>
      <c r="W657" t="str">
        <f t="shared" si="85"/>
        <v>Aug-2024</v>
      </c>
      <c r="X657">
        <f t="shared" si="86"/>
        <v>16513.814999999999</v>
      </c>
      <c r="Y657" s="5">
        <f t="shared" si="87"/>
        <v>49541.444999999992</v>
      </c>
      <c r="Z657" s="21">
        <f>DATE(K657,MATCH(J657,{"January","February","March","April","May","June","July","August","September","October","November","December"},0),1)</f>
        <v>45505</v>
      </c>
    </row>
    <row r="658" spans="1:26" x14ac:dyDescent="0.3">
      <c r="A658" s="4" t="s">
        <v>726</v>
      </c>
      <c r="B658" s="4" t="s">
        <v>100</v>
      </c>
      <c r="C658" s="4" t="s">
        <v>31</v>
      </c>
      <c r="D658" s="5">
        <v>44953.24</v>
      </c>
      <c r="E658" s="6">
        <v>5</v>
      </c>
      <c r="F658" s="5">
        <v>224766.2</v>
      </c>
      <c r="G658" s="1">
        <v>45500</v>
      </c>
      <c r="H658" t="s">
        <v>44</v>
      </c>
      <c r="I658">
        <v>1.1000000000000001</v>
      </c>
      <c r="J658" t="s">
        <v>48</v>
      </c>
      <c r="K658">
        <v>2024</v>
      </c>
      <c r="L658">
        <v>44953.240000000005</v>
      </c>
      <c r="M658">
        <v>8</v>
      </c>
      <c r="N658" t="s">
        <v>27</v>
      </c>
      <c r="O658" t="s">
        <v>33</v>
      </c>
      <c r="P658">
        <f>FlipkartSales[[#This Row],[Price (INR)]]*FlipkartSales[[#This Row],[Quantity Sold]]</f>
        <v>224766.19999999998</v>
      </c>
      <c r="Q658">
        <f>FlipkartSales[[#This Row],[Total Sales (INR)]]-FlipkartSales[[#This Row],[Calculated Sales]]</f>
        <v>0</v>
      </c>
      <c r="R658" s="9">
        <f t="shared" si="80"/>
        <v>0.2</v>
      </c>
      <c r="S658">
        <f t="shared" si="81"/>
        <v>44953.240000000005</v>
      </c>
      <c r="T658">
        <f t="shared" si="82"/>
        <v>8990.648000000001</v>
      </c>
      <c r="U658">
        <f t="shared" si="83"/>
        <v>7</v>
      </c>
      <c r="V658" t="str">
        <f t="shared" si="84"/>
        <v>Q3</v>
      </c>
      <c r="W658" t="str">
        <f t="shared" si="85"/>
        <v>Jul-2024</v>
      </c>
      <c r="X658">
        <f t="shared" si="86"/>
        <v>17981.296000000002</v>
      </c>
      <c r="Y658" s="5">
        <f t="shared" si="87"/>
        <v>206784.90400000001</v>
      </c>
      <c r="Z658" s="21">
        <f>DATE(K658,MATCH(J658,{"January","February","March","April","May","June","July","August","September","October","November","December"},0),1)</f>
        <v>45474</v>
      </c>
    </row>
    <row r="659" spans="1:26" x14ac:dyDescent="0.3">
      <c r="A659" s="4" t="s">
        <v>727</v>
      </c>
      <c r="B659" s="4" t="s">
        <v>52</v>
      </c>
      <c r="C659" s="4" t="s">
        <v>24</v>
      </c>
      <c r="D659" s="5">
        <v>47047.23</v>
      </c>
      <c r="E659" s="6">
        <v>5</v>
      </c>
      <c r="F659" s="5">
        <v>235236.15</v>
      </c>
      <c r="G659" s="1">
        <v>45613</v>
      </c>
      <c r="H659" t="s">
        <v>44</v>
      </c>
      <c r="I659">
        <v>3</v>
      </c>
      <c r="J659" t="s">
        <v>37</v>
      </c>
      <c r="K659">
        <v>2024</v>
      </c>
      <c r="L659">
        <v>47047.23</v>
      </c>
      <c r="M659">
        <v>25</v>
      </c>
      <c r="N659" t="s">
        <v>20</v>
      </c>
      <c r="O659" t="s">
        <v>21</v>
      </c>
      <c r="P659">
        <f>FlipkartSales[[#This Row],[Price (INR)]]*FlipkartSales[[#This Row],[Quantity Sold]]</f>
        <v>235236.15000000002</v>
      </c>
      <c r="Q659">
        <f>FlipkartSales[[#This Row],[Total Sales (INR)]]-FlipkartSales[[#This Row],[Calculated Sales]]</f>
        <v>0</v>
      </c>
      <c r="R659" s="9">
        <f t="shared" si="80"/>
        <v>0.2</v>
      </c>
      <c r="S659">
        <f t="shared" si="81"/>
        <v>47047.229999999996</v>
      </c>
      <c r="T659">
        <f t="shared" si="82"/>
        <v>9409.4459999999999</v>
      </c>
      <c r="U659">
        <f t="shared" si="83"/>
        <v>11</v>
      </c>
      <c r="V659" t="str">
        <f t="shared" si="84"/>
        <v>Q4</v>
      </c>
      <c r="W659" t="str">
        <f t="shared" si="85"/>
        <v>Nov-2024</v>
      </c>
      <c r="X659">
        <f t="shared" si="86"/>
        <v>58809.037499999999</v>
      </c>
      <c r="Y659" s="5">
        <f t="shared" si="87"/>
        <v>176427.11249999999</v>
      </c>
      <c r="Z659" s="21">
        <f>DATE(K659,MATCH(J659,{"January","February","March","April","May","June","July","August","September","October","November","December"},0),1)</f>
        <v>45597</v>
      </c>
    </row>
    <row r="660" spans="1:26" x14ac:dyDescent="0.3">
      <c r="A660" s="4" t="s">
        <v>728</v>
      </c>
      <c r="B660" s="4" t="s">
        <v>107</v>
      </c>
      <c r="C660" s="4" t="s">
        <v>36</v>
      </c>
      <c r="D660" s="5">
        <v>34358.78</v>
      </c>
      <c r="E660" s="6">
        <v>3</v>
      </c>
      <c r="F660" s="5">
        <v>103076.34</v>
      </c>
      <c r="G660" s="1">
        <v>45563</v>
      </c>
      <c r="H660" t="s">
        <v>80</v>
      </c>
      <c r="I660">
        <v>2.4</v>
      </c>
      <c r="J660" t="s">
        <v>19</v>
      </c>
      <c r="K660">
        <v>2024</v>
      </c>
      <c r="L660">
        <v>20615.268</v>
      </c>
      <c r="M660">
        <v>27</v>
      </c>
      <c r="N660" t="s">
        <v>20</v>
      </c>
      <c r="O660" t="s">
        <v>28</v>
      </c>
      <c r="P660">
        <f>FlipkartSales[[#This Row],[Price (INR)]]*FlipkartSales[[#This Row],[Quantity Sold]]</f>
        <v>103076.34</v>
      </c>
      <c r="Q660">
        <f>FlipkartSales[[#This Row],[Total Sales (INR)]]-FlipkartSales[[#This Row],[Calculated Sales]]</f>
        <v>0</v>
      </c>
      <c r="R660" s="9">
        <f t="shared" si="80"/>
        <v>0.2</v>
      </c>
      <c r="S660">
        <f t="shared" si="81"/>
        <v>34358.78</v>
      </c>
      <c r="T660">
        <f t="shared" si="82"/>
        <v>6871.7560000000003</v>
      </c>
      <c r="U660">
        <f t="shared" si="83"/>
        <v>9</v>
      </c>
      <c r="V660" t="str">
        <f t="shared" si="84"/>
        <v>Q3</v>
      </c>
      <c r="W660" t="str">
        <f t="shared" si="85"/>
        <v>Sep-2024</v>
      </c>
      <c r="X660">
        <f t="shared" si="86"/>
        <v>27830.611799999999</v>
      </c>
      <c r="Y660" s="5">
        <f t="shared" si="87"/>
        <v>75245.728199999998</v>
      </c>
      <c r="Z660" s="21">
        <f>DATE(K660,MATCH(J660,{"January","February","March","April","May","June","July","August","September","October","November","December"},0),1)</f>
        <v>45536</v>
      </c>
    </row>
    <row r="661" spans="1:26" x14ac:dyDescent="0.3">
      <c r="A661" s="4" t="s">
        <v>729</v>
      </c>
      <c r="B661" s="4" t="s">
        <v>61</v>
      </c>
      <c r="C661" s="4" t="s">
        <v>31</v>
      </c>
      <c r="D661" s="5">
        <v>12779.59</v>
      </c>
      <c r="E661" s="6">
        <v>5</v>
      </c>
      <c r="F661" s="5">
        <v>63897.95</v>
      </c>
      <c r="G661" s="1">
        <v>45620</v>
      </c>
      <c r="H661" t="s">
        <v>71</v>
      </c>
      <c r="I661">
        <v>2.8</v>
      </c>
      <c r="J661" t="s">
        <v>37</v>
      </c>
      <c r="K661">
        <v>2024</v>
      </c>
      <c r="L661">
        <v>12779.59</v>
      </c>
      <c r="M661">
        <v>20</v>
      </c>
      <c r="N661" t="s">
        <v>20</v>
      </c>
      <c r="O661" t="s">
        <v>33</v>
      </c>
      <c r="P661">
        <f>FlipkartSales[[#This Row],[Price (INR)]]*FlipkartSales[[#This Row],[Quantity Sold]]</f>
        <v>63897.95</v>
      </c>
      <c r="Q661">
        <f>FlipkartSales[[#This Row],[Total Sales (INR)]]-FlipkartSales[[#This Row],[Calculated Sales]]</f>
        <v>0</v>
      </c>
      <c r="R661" s="9">
        <f t="shared" si="80"/>
        <v>0.2</v>
      </c>
      <c r="S661">
        <f t="shared" si="81"/>
        <v>12779.59</v>
      </c>
      <c r="T661">
        <f t="shared" si="82"/>
        <v>2555.9180000000001</v>
      </c>
      <c r="U661">
        <f t="shared" si="83"/>
        <v>11</v>
      </c>
      <c r="V661" t="str">
        <f t="shared" si="84"/>
        <v>Q4</v>
      </c>
      <c r="W661" t="str">
        <f t="shared" si="85"/>
        <v>Nov-2024</v>
      </c>
      <c r="X661">
        <f t="shared" si="86"/>
        <v>12779.59</v>
      </c>
      <c r="Y661" s="5">
        <f t="shared" si="87"/>
        <v>51118.36</v>
      </c>
      <c r="Z661" s="21">
        <f>DATE(K661,MATCH(J661,{"January","February","March","April","May","June","July","August","September","October","November","December"},0),1)</f>
        <v>45597</v>
      </c>
    </row>
    <row r="662" spans="1:26" x14ac:dyDescent="0.3">
      <c r="A662" s="4" t="s">
        <v>730</v>
      </c>
      <c r="B662" s="4" t="s">
        <v>74</v>
      </c>
      <c r="C662" s="4" t="s">
        <v>17</v>
      </c>
      <c r="D662" s="5">
        <v>30878.47</v>
      </c>
      <c r="E662" s="6">
        <v>5</v>
      </c>
      <c r="F662" s="5">
        <v>154392.35</v>
      </c>
      <c r="G662" s="1">
        <v>45484</v>
      </c>
      <c r="H662" t="s">
        <v>25</v>
      </c>
      <c r="I662">
        <v>2.5</v>
      </c>
      <c r="J662" t="s">
        <v>48</v>
      </c>
      <c r="K662">
        <v>2024</v>
      </c>
      <c r="L662">
        <v>30878.47</v>
      </c>
      <c r="M662">
        <v>29</v>
      </c>
      <c r="N662" t="s">
        <v>27</v>
      </c>
      <c r="O662" t="s">
        <v>68</v>
      </c>
      <c r="P662">
        <f>FlipkartSales[[#This Row],[Price (INR)]]*FlipkartSales[[#This Row],[Quantity Sold]]</f>
        <v>154392.35</v>
      </c>
      <c r="Q662">
        <f>FlipkartSales[[#This Row],[Total Sales (INR)]]-FlipkartSales[[#This Row],[Calculated Sales]]</f>
        <v>0</v>
      </c>
      <c r="R662" s="9">
        <f t="shared" si="80"/>
        <v>0.2</v>
      </c>
      <c r="S662">
        <f t="shared" si="81"/>
        <v>30878.47</v>
      </c>
      <c r="T662">
        <f t="shared" si="82"/>
        <v>6175.6940000000004</v>
      </c>
      <c r="U662">
        <f t="shared" si="83"/>
        <v>7</v>
      </c>
      <c r="V662" t="str">
        <f t="shared" si="84"/>
        <v>Q3</v>
      </c>
      <c r="W662" t="str">
        <f t="shared" si="85"/>
        <v>Jul-2024</v>
      </c>
      <c r="X662">
        <f t="shared" si="86"/>
        <v>44773.781500000005</v>
      </c>
      <c r="Y662" s="5">
        <f t="shared" si="87"/>
        <v>109618.56849999999</v>
      </c>
      <c r="Z662" s="21">
        <f>DATE(K662,MATCH(J662,{"January","February","March","April","May","June","July","August","September","October","November","December"},0),1)</f>
        <v>45474</v>
      </c>
    </row>
    <row r="663" spans="1:26" x14ac:dyDescent="0.3">
      <c r="A663" s="4" t="s">
        <v>731</v>
      </c>
      <c r="B663" s="4" t="s">
        <v>30</v>
      </c>
      <c r="C663" s="4" t="s">
        <v>31</v>
      </c>
      <c r="D663" s="5">
        <v>24227.24</v>
      </c>
      <c r="E663" s="6">
        <v>1</v>
      </c>
      <c r="F663" s="5">
        <v>24227.24</v>
      </c>
      <c r="G663" s="1">
        <v>45352</v>
      </c>
      <c r="H663" t="s">
        <v>18</v>
      </c>
      <c r="I663">
        <v>2.7</v>
      </c>
      <c r="J663" t="s">
        <v>56</v>
      </c>
      <c r="K663">
        <v>2024</v>
      </c>
      <c r="L663">
        <v>4845.4480000000003</v>
      </c>
      <c r="M663">
        <v>11</v>
      </c>
      <c r="N663" t="s">
        <v>41</v>
      </c>
      <c r="O663" t="s">
        <v>33</v>
      </c>
      <c r="P663">
        <f>FlipkartSales[[#This Row],[Price (INR)]]*FlipkartSales[[#This Row],[Quantity Sold]]</f>
        <v>24227.24</v>
      </c>
      <c r="Q663">
        <f>FlipkartSales[[#This Row],[Total Sales (INR)]]-FlipkartSales[[#This Row],[Calculated Sales]]</f>
        <v>0</v>
      </c>
      <c r="R663" s="9">
        <f t="shared" si="80"/>
        <v>0.2</v>
      </c>
      <c r="S663">
        <f t="shared" si="81"/>
        <v>24227.24</v>
      </c>
      <c r="T663">
        <f t="shared" si="82"/>
        <v>4845.4480000000003</v>
      </c>
      <c r="U663">
        <f t="shared" si="83"/>
        <v>3</v>
      </c>
      <c r="V663" t="str">
        <f t="shared" si="84"/>
        <v>Q1</v>
      </c>
      <c r="W663" t="str">
        <f t="shared" si="85"/>
        <v>Mar-2024</v>
      </c>
      <c r="X663">
        <f t="shared" si="86"/>
        <v>2664.9964</v>
      </c>
      <c r="Y663" s="5">
        <f t="shared" si="87"/>
        <v>21562.243600000002</v>
      </c>
      <c r="Z663" s="21">
        <f>DATE(K663,MATCH(J663,{"January","February","March","April","May","June","July","August","September","October","November","December"},0),1)</f>
        <v>45352</v>
      </c>
    </row>
    <row r="664" spans="1:26" x14ac:dyDescent="0.3">
      <c r="A664" s="4" t="s">
        <v>732</v>
      </c>
      <c r="B664" s="4" t="s">
        <v>23</v>
      </c>
      <c r="C664" s="4" t="s">
        <v>24</v>
      </c>
      <c r="D664" s="5">
        <v>15282.31</v>
      </c>
      <c r="E664" s="6">
        <v>4</v>
      </c>
      <c r="F664" s="5">
        <v>61129.24</v>
      </c>
      <c r="G664" s="1">
        <v>45460</v>
      </c>
      <c r="H664" t="s">
        <v>80</v>
      </c>
      <c r="I664">
        <v>2.1</v>
      </c>
      <c r="J664" t="s">
        <v>67</v>
      </c>
      <c r="K664">
        <v>2024</v>
      </c>
      <c r="L664">
        <v>12225.848</v>
      </c>
      <c r="M664">
        <v>17</v>
      </c>
      <c r="N664" t="s">
        <v>27</v>
      </c>
      <c r="O664" t="s">
        <v>33</v>
      </c>
      <c r="P664">
        <f>FlipkartSales[[#This Row],[Price (INR)]]*FlipkartSales[[#This Row],[Quantity Sold]]</f>
        <v>61129.24</v>
      </c>
      <c r="Q664">
        <f>FlipkartSales[[#This Row],[Total Sales (INR)]]-FlipkartSales[[#This Row],[Calculated Sales]]</f>
        <v>0</v>
      </c>
      <c r="R664" s="9">
        <f t="shared" si="80"/>
        <v>0.2</v>
      </c>
      <c r="S664">
        <f t="shared" si="81"/>
        <v>15282.31</v>
      </c>
      <c r="T664">
        <f t="shared" si="82"/>
        <v>3056.462</v>
      </c>
      <c r="U664">
        <f t="shared" si="83"/>
        <v>6</v>
      </c>
      <c r="V664" t="str">
        <f t="shared" si="84"/>
        <v>Q2</v>
      </c>
      <c r="W664" t="str">
        <f t="shared" si="85"/>
        <v>Jun-2024</v>
      </c>
      <c r="X664">
        <f t="shared" si="86"/>
        <v>10391.970799999999</v>
      </c>
      <c r="Y664" s="5">
        <f t="shared" si="87"/>
        <v>50737.269199999995</v>
      </c>
      <c r="Z664" s="21">
        <f>DATE(K664,MATCH(J664,{"January","February","March","April","May","June","July","August","September","October","November","December"},0),1)</f>
        <v>45444</v>
      </c>
    </row>
    <row r="665" spans="1:26" x14ac:dyDescent="0.3">
      <c r="A665" s="4" t="s">
        <v>733</v>
      </c>
      <c r="B665" s="4" t="s">
        <v>61</v>
      </c>
      <c r="C665" s="4" t="s">
        <v>31</v>
      </c>
      <c r="D665" s="5">
        <v>46933.96</v>
      </c>
      <c r="E665" s="6">
        <v>1</v>
      </c>
      <c r="F665" s="5">
        <v>46933.96</v>
      </c>
      <c r="G665" s="1">
        <v>45446</v>
      </c>
      <c r="H665" t="s">
        <v>18</v>
      </c>
      <c r="I665">
        <v>2.5</v>
      </c>
      <c r="J665" t="s">
        <v>67</v>
      </c>
      <c r="K665">
        <v>2024</v>
      </c>
      <c r="L665">
        <v>9386.7919999999995</v>
      </c>
      <c r="M665">
        <v>25</v>
      </c>
      <c r="N665" t="s">
        <v>41</v>
      </c>
      <c r="O665" t="s">
        <v>33</v>
      </c>
      <c r="P665">
        <f>FlipkartSales[[#This Row],[Price (INR)]]*FlipkartSales[[#This Row],[Quantity Sold]]</f>
        <v>46933.96</v>
      </c>
      <c r="Q665">
        <f>FlipkartSales[[#This Row],[Total Sales (INR)]]-FlipkartSales[[#This Row],[Calculated Sales]]</f>
        <v>0</v>
      </c>
      <c r="R665" s="9">
        <f t="shared" si="80"/>
        <v>0.19999999999999998</v>
      </c>
      <c r="S665">
        <f t="shared" si="81"/>
        <v>46933.96</v>
      </c>
      <c r="T665">
        <f t="shared" si="82"/>
        <v>9386.7919999999995</v>
      </c>
      <c r="U665">
        <f t="shared" si="83"/>
        <v>6</v>
      </c>
      <c r="V665" t="str">
        <f t="shared" si="84"/>
        <v>Q2</v>
      </c>
      <c r="W665" t="str">
        <f t="shared" si="85"/>
        <v>Jun-2024</v>
      </c>
      <c r="X665">
        <f t="shared" si="86"/>
        <v>11733.49</v>
      </c>
      <c r="Y665" s="5">
        <f t="shared" si="87"/>
        <v>35200.47</v>
      </c>
      <c r="Z665" s="21">
        <f>DATE(K665,MATCH(J665,{"January","February","March","April","May","June","July","August","September","October","November","December"},0),1)</f>
        <v>45444</v>
      </c>
    </row>
    <row r="666" spans="1:26" x14ac:dyDescent="0.3">
      <c r="A666" s="4" t="s">
        <v>734</v>
      </c>
      <c r="B666" s="4" t="s">
        <v>58</v>
      </c>
      <c r="C666" s="4" t="s">
        <v>31</v>
      </c>
      <c r="D666" s="5">
        <v>14622.12</v>
      </c>
      <c r="E666" s="6">
        <v>1</v>
      </c>
      <c r="F666" s="5">
        <v>14622.12</v>
      </c>
      <c r="G666" s="1">
        <v>45659</v>
      </c>
      <c r="H666" t="s">
        <v>71</v>
      </c>
      <c r="I666">
        <v>4.9000000000000004</v>
      </c>
      <c r="J666" t="s">
        <v>53</v>
      </c>
      <c r="K666">
        <v>2025</v>
      </c>
      <c r="L666">
        <v>2924.4240000000004</v>
      </c>
      <c r="M666">
        <v>14</v>
      </c>
      <c r="N666" t="s">
        <v>41</v>
      </c>
      <c r="O666" t="s">
        <v>68</v>
      </c>
      <c r="P666">
        <f>FlipkartSales[[#This Row],[Price (INR)]]*FlipkartSales[[#This Row],[Quantity Sold]]</f>
        <v>14622.12</v>
      </c>
      <c r="Q666">
        <f>FlipkartSales[[#This Row],[Total Sales (INR)]]-FlipkartSales[[#This Row],[Calculated Sales]]</f>
        <v>0</v>
      </c>
      <c r="R666" s="9">
        <f t="shared" si="80"/>
        <v>0.2</v>
      </c>
      <c r="S666">
        <f t="shared" si="81"/>
        <v>14622.12</v>
      </c>
      <c r="T666">
        <f t="shared" si="82"/>
        <v>2924.4240000000004</v>
      </c>
      <c r="U666">
        <f t="shared" si="83"/>
        <v>1</v>
      </c>
      <c r="V666" t="str">
        <f t="shared" si="84"/>
        <v>Q1</v>
      </c>
      <c r="W666" t="str">
        <f t="shared" si="85"/>
        <v>Jan-2025</v>
      </c>
      <c r="X666">
        <f t="shared" si="86"/>
        <v>2047.0968000000003</v>
      </c>
      <c r="Y666" s="5">
        <f t="shared" si="87"/>
        <v>12575.0232</v>
      </c>
      <c r="Z666" s="21">
        <f>DATE(K666,MATCH(J666,{"January","February","March","April","May","June","July","August","September","October","November","December"},0),1)</f>
        <v>45658</v>
      </c>
    </row>
    <row r="667" spans="1:26" x14ac:dyDescent="0.3">
      <c r="A667" s="4" t="s">
        <v>735</v>
      </c>
      <c r="B667" s="4" t="s">
        <v>74</v>
      </c>
      <c r="C667" s="4" t="s">
        <v>17</v>
      </c>
      <c r="D667" s="5">
        <v>34830.28</v>
      </c>
      <c r="E667" s="6">
        <v>4</v>
      </c>
      <c r="F667" s="5">
        <v>139321.12</v>
      </c>
      <c r="G667" s="1">
        <v>45609</v>
      </c>
      <c r="H667" t="s">
        <v>71</v>
      </c>
      <c r="I667">
        <v>2.9</v>
      </c>
      <c r="J667" t="s">
        <v>37</v>
      </c>
      <c r="K667">
        <v>2024</v>
      </c>
      <c r="L667">
        <v>27864.224000000002</v>
      </c>
      <c r="M667">
        <v>30</v>
      </c>
      <c r="N667" t="s">
        <v>27</v>
      </c>
      <c r="O667" t="s">
        <v>21</v>
      </c>
      <c r="P667">
        <f>FlipkartSales[[#This Row],[Price (INR)]]*FlipkartSales[[#This Row],[Quantity Sold]]</f>
        <v>139321.12</v>
      </c>
      <c r="Q667">
        <f>FlipkartSales[[#This Row],[Total Sales (INR)]]-FlipkartSales[[#This Row],[Calculated Sales]]</f>
        <v>0</v>
      </c>
      <c r="R667" s="9">
        <f t="shared" si="80"/>
        <v>0.2</v>
      </c>
      <c r="S667">
        <f t="shared" si="81"/>
        <v>34830.28</v>
      </c>
      <c r="T667">
        <f t="shared" si="82"/>
        <v>6966.0560000000005</v>
      </c>
      <c r="U667">
        <f t="shared" si="83"/>
        <v>11</v>
      </c>
      <c r="V667" t="str">
        <f t="shared" si="84"/>
        <v>Q4</v>
      </c>
      <c r="W667" t="str">
        <f t="shared" si="85"/>
        <v>Nov-2024</v>
      </c>
      <c r="X667">
        <f t="shared" si="86"/>
        <v>41796.335999999996</v>
      </c>
      <c r="Y667" s="5">
        <f t="shared" si="87"/>
        <v>97524.784</v>
      </c>
      <c r="Z667" s="21">
        <f>DATE(K667,MATCH(J667,{"January","February","March","April","May","June","July","August","September","October","November","December"},0),1)</f>
        <v>45597</v>
      </c>
    </row>
    <row r="668" spans="1:26" x14ac:dyDescent="0.3">
      <c r="A668" s="4" t="s">
        <v>736</v>
      </c>
      <c r="B668" s="4" t="s">
        <v>58</v>
      </c>
      <c r="C668" s="4" t="s">
        <v>31</v>
      </c>
      <c r="D668" s="5">
        <v>43118.19</v>
      </c>
      <c r="E668" s="6">
        <v>5</v>
      </c>
      <c r="F668" s="5">
        <v>215590.95</v>
      </c>
      <c r="G668" s="1">
        <v>45674</v>
      </c>
      <c r="H668" t="s">
        <v>80</v>
      </c>
      <c r="I668">
        <v>4</v>
      </c>
      <c r="J668" t="s">
        <v>53</v>
      </c>
      <c r="K668">
        <v>2025</v>
      </c>
      <c r="L668">
        <v>43118.19</v>
      </c>
      <c r="M668">
        <v>11</v>
      </c>
      <c r="N668" t="s">
        <v>41</v>
      </c>
      <c r="O668" t="s">
        <v>33</v>
      </c>
      <c r="P668">
        <f>FlipkartSales[[#This Row],[Price (INR)]]*FlipkartSales[[#This Row],[Quantity Sold]]</f>
        <v>215590.95</v>
      </c>
      <c r="Q668">
        <f>FlipkartSales[[#This Row],[Total Sales (INR)]]-FlipkartSales[[#This Row],[Calculated Sales]]</f>
        <v>0</v>
      </c>
      <c r="R668" s="9">
        <f t="shared" si="80"/>
        <v>0.2</v>
      </c>
      <c r="S668">
        <f t="shared" si="81"/>
        <v>43118.19</v>
      </c>
      <c r="T668">
        <f t="shared" si="82"/>
        <v>8623.6380000000008</v>
      </c>
      <c r="U668">
        <f t="shared" si="83"/>
        <v>1</v>
      </c>
      <c r="V668" t="str">
        <f t="shared" si="84"/>
        <v>Q1</v>
      </c>
      <c r="W668" t="str">
        <f t="shared" si="85"/>
        <v>Jan-2025</v>
      </c>
      <c r="X668">
        <f t="shared" si="86"/>
        <v>23715.004500000003</v>
      </c>
      <c r="Y668" s="5">
        <f t="shared" si="87"/>
        <v>191875.9455</v>
      </c>
      <c r="Z668" s="21">
        <f>DATE(K668,MATCH(J668,{"January","February","March","April","May","June","July","August","September","October","November","December"},0),1)</f>
        <v>45658</v>
      </c>
    </row>
    <row r="669" spans="1:26" x14ac:dyDescent="0.3">
      <c r="A669" s="4" t="s">
        <v>737</v>
      </c>
      <c r="B669" s="4" t="s">
        <v>74</v>
      </c>
      <c r="C669" s="4" t="s">
        <v>17</v>
      </c>
      <c r="D669" s="5">
        <v>29885.360000000001</v>
      </c>
      <c r="E669" s="6">
        <v>3</v>
      </c>
      <c r="F669" s="5">
        <v>89656.08</v>
      </c>
      <c r="G669" s="1">
        <v>45416</v>
      </c>
      <c r="H669" t="s">
        <v>18</v>
      </c>
      <c r="I669">
        <v>4.0999999999999996</v>
      </c>
      <c r="J669" t="s">
        <v>32</v>
      </c>
      <c r="K669">
        <v>2024</v>
      </c>
      <c r="L669">
        <v>17931.216</v>
      </c>
      <c r="M669">
        <v>18</v>
      </c>
      <c r="N669" t="s">
        <v>41</v>
      </c>
      <c r="O669" t="s">
        <v>33</v>
      </c>
      <c r="P669">
        <f>FlipkartSales[[#This Row],[Price (INR)]]*FlipkartSales[[#This Row],[Quantity Sold]]</f>
        <v>89656.08</v>
      </c>
      <c r="Q669">
        <f>FlipkartSales[[#This Row],[Total Sales (INR)]]-FlipkartSales[[#This Row],[Calculated Sales]]</f>
        <v>0</v>
      </c>
      <c r="R669" s="9">
        <f t="shared" si="80"/>
        <v>0.2</v>
      </c>
      <c r="S669">
        <f t="shared" si="81"/>
        <v>29885.360000000001</v>
      </c>
      <c r="T669">
        <f t="shared" si="82"/>
        <v>5977.0720000000001</v>
      </c>
      <c r="U669">
        <f t="shared" si="83"/>
        <v>5</v>
      </c>
      <c r="V669" t="str">
        <f t="shared" si="84"/>
        <v>Q2</v>
      </c>
      <c r="W669" t="str">
        <f t="shared" si="85"/>
        <v>May-2024</v>
      </c>
      <c r="X669">
        <f t="shared" si="86"/>
        <v>16138.0944</v>
      </c>
      <c r="Y669" s="5">
        <f t="shared" si="87"/>
        <v>73517.9856</v>
      </c>
      <c r="Z669" s="21">
        <f>DATE(K669,MATCH(J669,{"January","February","March","April","May","June","July","August","September","October","November","December"},0),1)</f>
        <v>45413</v>
      </c>
    </row>
    <row r="670" spans="1:26" x14ac:dyDescent="0.3">
      <c r="A670" s="4" t="s">
        <v>738</v>
      </c>
      <c r="B670" s="4" t="s">
        <v>16</v>
      </c>
      <c r="C670" s="4" t="s">
        <v>17</v>
      </c>
      <c r="D670" s="5">
        <v>7728.33</v>
      </c>
      <c r="E670" s="6">
        <v>5</v>
      </c>
      <c r="F670" s="5">
        <v>38641.65</v>
      </c>
      <c r="G670" s="1">
        <v>45471</v>
      </c>
      <c r="H670" t="s">
        <v>64</v>
      </c>
      <c r="I670">
        <v>3.9</v>
      </c>
      <c r="J670" t="s">
        <v>67</v>
      </c>
      <c r="K670">
        <v>2024</v>
      </c>
      <c r="L670">
        <v>7728.3300000000008</v>
      </c>
      <c r="M670">
        <v>30</v>
      </c>
      <c r="N670" t="s">
        <v>20</v>
      </c>
      <c r="O670" t="s">
        <v>28</v>
      </c>
      <c r="P670">
        <f>FlipkartSales[[#This Row],[Price (INR)]]*FlipkartSales[[#This Row],[Quantity Sold]]</f>
        <v>38641.65</v>
      </c>
      <c r="Q670">
        <f>FlipkartSales[[#This Row],[Total Sales (INR)]]-FlipkartSales[[#This Row],[Calculated Sales]]</f>
        <v>0</v>
      </c>
      <c r="R670" s="9">
        <f t="shared" si="80"/>
        <v>0.2</v>
      </c>
      <c r="S670">
        <f t="shared" si="81"/>
        <v>7728.33</v>
      </c>
      <c r="T670">
        <f t="shared" si="82"/>
        <v>1545.6660000000002</v>
      </c>
      <c r="U670">
        <f t="shared" si="83"/>
        <v>6</v>
      </c>
      <c r="V670" t="str">
        <f t="shared" si="84"/>
        <v>Q2</v>
      </c>
      <c r="W670" t="str">
        <f t="shared" si="85"/>
        <v>Jun-2024</v>
      </c>
      <c r="X670">
        <f t="shared" si="86"/>
        <v>11592.495000000001</v>
      </c>
      <c r="Y670" s="5">
        <f t="shared" si="87"/>
        <v>27049.154999999999</v>
      </c>
      <c r="Z670" s="21">
        <f>DATE(K670,MATCH(J670,{"January","February","March","April","May","June","July","August","September","October","November","December"},0),1)</f>
        <v>45444</v>
      </c>
    </row>
    <row r="671" spans="1:26" x14ac:dyDescent="0.3">
      <c r="A671" s="4" t="s">
        <v>739</v>
      </c>
      <c r="B671" s="4" t="s">
        <v>39</v>
      </c>
      <c r="C671" s="4" t="s">
        <v>40</v>
      </c>
      <c r="D671" s="5">
        <v>36096.74</v>
      </c>
      <c r="E671" s="6">
        <v>5</v>
      </c>
      <c r="F671" s="5">
        <v>180483.7</v>
      </c>
      <c r="G671" s="1">
        <v>45679</v>
      </c>
      <c r="H671" t="s">
        <v>80</v>
      </c>
      <c r="I671">
        <v>1.8</v>
      </c>
      <c r="J671" t="s">
        <v>53</v>
      </c>
      <c r="K671">
        <v>2025</v>
      </c>
      <c r="L671">
        <v>36096.740000000005</v>
      </c>
      <c r="M671">
        <v>9</v>
      </c>
      <c r="N671" t="s">
        <v>41</v>
      </c>
      <c r="O671" t="s">
        <v>68</v>
      </c>
      <c r="P671">
        <f>FlipkartSales[[#This Row],[Price (INR)]]*FlipkartSales[[#This Row],[Quantity Sold]]</f>
        <v>180483.69999999998</v>
      </c>
      <c r="Q671">
        <f>FlipkartSales[[#This Row],[Total Sales (INR)]]-FlipkartSales[[#This Row],[Calculated Sales]]</f>
        <v>0</v>
      </c>
      <c r="R671" s="9">
        <f t="shared" si="80"/>
        <v>0.2</v>
      </c>
      <c r="S671">
        <f t="shared" si="81"/>
        <v>36096.740000000005</v>
      </c>
      <c r="T671">
        <f t="shared" si="82"/>
        <v>7219.3480000000009</v>
      </c>
      <c r="U671">
        <f t="shared" si="83"/>
        <v>1</v>
      </c>
      <c r="V671" t="str">
        <f t="shared" si="84"/>
        <v>Q1</v>
      </c>
      <c r="W671" t="str">
        <f t="shared" si="85"/>
        <v>Jan-2025</v>
      </c>
      <c r="X671">
        <f t="shared" si="86"/>
        <v>16243.533000000001</v>
      </c>
      <c r="Y671" s="5">
        <f t="shared" si="87"/>
        <v>164240.16700000002</v>
      </c>
      <c r="Z671" s="21">
        <f>DATE(K671,MATCH(J671,{"January","February","March","April","May","June","July","August","September","October","November","December"},0),1)</f>
        <v>45658</v>
      </c>
    </row>
    <row r="672" spans="1:26" x14ac:dyDescent="0.3">
      <c r="A672" s="4" t="s">
        <v>740</v>
      </c>
      <c r="B672" s="4" t="s">
        <v>78</v>
      </c>
      <c r="C672" s="4" t="s">
        <v>24</v>
      </c>
      <c r="D672" s="5">
        <v>19275.66</v>
      </c>
      <c r="E672" s="6">
        <v>4</v>
      </c>
      <c r="F672" s="5">
        <v>77102.64</v>
      </c>
      <c r="G672" s="1">
        <v>45399</v>
      </c>
      <c r="H672" t="s">
        <v>80</v>
      </c>
      <c r="I672">
        <v>1.8</v>
      </c>
      <c r="J672" t="s">
        <v>62</v>
      </c>
      <c r="K672">
        <v>2024</v>
      </c>
      <c r="L672">
        <v>15420.528</v>
      </c>
      <c r="M672">
        <v>7</v>
      </c>
      <c r="N672" t="s">
        <v>27</v>
      </c>
      <c r="O672" t="s">
        <v>33</v>
      </c>
      <c r="P672">
        <f>FlipkartSales[[#This Row],[Price (INR)]]*FlipkartSales[[#This Row],[Quantity Sold]]</f>
        <v>77102.64</v>
      </c>
      <c r="Q672">
        <f>FlipkartSales[[#This Row],[Total Sales (INR)]]-FlipkartSales[[#This Row],[Calculated Sales]]</f>
        <v>0</v>
      </c>
      <c r="R672" s="9">
        <f t="shared" si="80"/>
        <v>0.2</v>
      </c>
      <c r="S672">
        <f t="shared" si="81"/>
        <v>19275.66</v>
      </c>
      <c r="T672">
        <f t="shared" si="82"/>
        <v>3855.1320000000001</v>
      </c>
      <c r="U672">
        <f t="shared" si="83"/>
        <v>4</v>
      </c>
      <c r="V672" t="str">
        <f t="shared" si="84"/>
        <v>Q2</v>
      </c>
      <c r="W672" t="str">
        <f t="shared" si="85"/>
        <v>Apr-2024</v>
      </c>
      <c r="X672">
        <f t="shared" si="86"/>
        <v>5397.1848</v>
      </c>
      <c r="Y672" s="5">
        <f t="shared" si="87"/>
        <v>71705.455199999997</v>
      </c>
      <c r="Z672" s="21">
        <f>DATE(K672,MATCH(J672,{"January","February","March","April","May","June","July","August","September","October","November","December"},0),1)</f>
        <v>45383</v>
      </c>
    </row>
    <row r="673" spans="1:26" x14ac:dyDescent="0.3">
      <c r="A673" s="4" t="s">
        <v>741</v>
      </c>
      <c r="B673" s="4" t="s">
        <v>145</v>
      </c>
      <c r="C673" s="4" t="s">
        <v>40</v>
      </c>
      <c r="D673" s="5">
        <v>15387.59</v>
      </c>
      <c r="E673" s="6">
        <v>4</v>
      </c>
      <c r="F673" s="5">
        <v>61550.36</v>
      </c>
      <c r="G673" s="1">
        <v>45558</v>
      </c>
      <c r="H673" t="s">
        <v>44</v>
      </c>
      <c r="I673">
        <v>1</v>
      </c>
      <c r="J673" t="s">
        <v>19</v>
      </c>
      <c r="K673">
        <v>2024</v>
      </c>
      <c r="L673">
        <v>12310.072</v>
      </c>
      <c r="M673">
        <v>27</v>
      </c>
      <c r="N673" t="s">
        <v>27</v>
      </c>
      <c r="O673" t="s">
        <v>68</v>
      </c>
      <c r="P673">
        <f>FlipkartSales[[#This Row],[Price (INR)]]*FlipkartSales[[#This Row],[Quantity Sold]]</f>
        <v>61550.36</v>
      </c>
      <c r="Q673">
        <f>FlipkartSales[[#This Row],[Total Sales (INR)]]-FlipkartSales[[#This Row],[Calculated Sales]]</f>
        <v>0</v>
      </c>
      <c r="R673" s="9">
        <f t="shared" si="80"/>
        <v>0.2</v>
      </c>
      <c r="S673">
        <f t="shared" si="81"/>
        <v>15387.59</v>
      </c>
      <c r="T673">
        <f t="shared" si="82"/>
        <v>3077.518</v>
      </c>
      <c r="U673">
        <f t="shared" si="83"/>
        <v>9</v>
      </c>
      <c r="V673" t="str">
        <f t="shared" si="84"/>
        <v>Q3</v>
      </c>
      <c r="W673" t="str">
        <f t="shared" si="85"/>
        <v>Sep-2024</v>
      </c>
      <c r="X673">
        <f t="shared" si="86"/>
        <v>16618.5972</v>
      </c>
      <c r="Y673" s="5">
        <f t="shared" si="87"/>
        <v>44931.762799999997</v>
      </c>
      <c r="Z673" s="21">
        <f>DATE(K673,MATCH(J673,{"January","February","March","April","May","June","July","August","September","October","November","December"},0),1)</f>
        <v>45536</v>
      </c>
    </row>
    <row r="674" spans="1:26" x14ac:dyDescent="0.3">
      <c r="A674" s="4" t="s">
        <v>742</v>
      </c>
      <c r="B674" s="4" t="s">
        <v>66</v>
      </c>
      <c r="C674" s="4" t="s">
        <v>36</v>
      </c>
      <c r="D674" s="5">
        <v>23806.639999999999</v>
      </c>
      <c r="E674" s="6">
        <v>1</v>
      </c>
      <c r="F674" s="5">
        <v>23806.639999999999</v>
      </c>
      <c r="G674" s="1">
        <v>45353</v>
      </c>
      <c r="H674" t="s">
        <v>18</v>
      </c>
      <c r="I674">
        <v>2.5</v>
      </c>
      <c r="J674" t="s">
        <v>56</v>
      </c>
      <c r="K674">
        <v>2024</v>
      </c>
      <c r="L674">
        <v>4761.3280000000004</v>
      </c>
      <c r="M674">
        <v>15</v>
      </c>
      <c r="N674" t="s">
        <v>41</v>
      </c>
      <c r="O674" t="s">
        <v>33</v>
      </c>
      <c r="P674">
        <f>FlipkartSales[[#This Row],[Price (INR)]]*FlipkartSales[[#This Row],[Quantity Sold]]</f>
        <v>23806.639999999999</v>
      </c>
      <c r="Q674">
        <f>FlipkartSales[[#This Row],[Total Sales (INR)]]-FlipkartSales[[#This Row],[Calculated Sales]]</f>
        <v>0</v>
      </c>
      <c r="R674" s="9">
        <f t="shared" si="80"/>
        <v>0.2</v>
      </c>
      <c r="S674">
        <f t="shared" si="81"/>
        <v>23806.639999999999</v>
      </c>
      <c r="T674">
        <f t="shared" si="82"/>
        <v>4761.3280000000004</v>
      </c>
      <c r="U674">
        <f t="shared" si="83"/>
        <v>3</v>
      </c>
      <c r="V674" t="str">
        <f t="shared" si="84"/>
        <v>Q1</v>
      </c>
      <c r="W674" t="str">
        <f t="shared" si="85"/>
        <v>Mar-2024</v>
      </c>
      <c r="X674">
        <f t="shared" si="86"/>
        <v>3570.9959999999996</v>
      </c>
      <c r="Y674" s="5">
        <f t="shared" si="87"/>
        <v>20235.644</v>
      </c>
      <c r="Z674" s="21">
        <f>DATE(K674,MATCH(J674,{"January","February","March","April","May","June","July","August","September","October","November","December"},0),1)</f>
        <v>45352</v>
      </c>
    </row>
    <row r="675" spans="1:26" x14ac:dyDescent="0.3">
      <c r="A675" s="4" t="s">
        <v>743</v>
      </c>
      <c r="B675" s="4" t="s">
        <v>94</v>
      </c>
      <c r="C675" s="4" t="s">
        <v>31</v>
      </c>
      <c r="D675" s="5">
        <v>28568.97</v>
      </c>
      <c r="E675" s="6">
        <v>1</v>
      </c>
      <c r="F675" s="5">
        <v>28568.97</v>
      </c>
      <c r="G675" s="1">
        <v>45475</v>
      </c>
      <c r="H675" t="s">
        <v>18</v>
      </c>
      <c r="I675">
        <v>1</v>
      </c>
      <c r="J675" t="s">
        <v>48</v>
      </c>
      <c r="K675">
        <v>2024</v>
      </c>
      <c r="L675">
        <v>5713.7940000000008</v>
      </c>
      <c r="M675">
        <v>15</v>
      </c>
      <c r="N675" t="s">
        <v>20</v>
      </c>
      <c r="O675" t="s">
        <v>21</v>
      </c>
      <c r="P675">
        <f>FlipkartSales[[#This Row],[Price (INR)]]*FlipkartSales[[#This Row],[Quantity Sold]]</f>
        <v>28568.97</v>
      </c>
      <c r="Q675">
        <f>FlipkartSales[[#This Row],[Total Sales (INR)]]-FlipkartSales[[#This Row],[Calculated Sales]]</f>
        <v>0</v>
      </c>
      <c r="R675" s="9">
        <f t="shared" si="80"/>
        <v>0.2</v>
      </c>
      <c r="S675">
        <f t="shared" si="81"/>
        <v>28568.97</v>
      </c>
      <c r="T675">
        <f t="shared" si="82"/>
        <v>5713.7940000000008</v>
      </c>
      <c r="U675">
        <f t="shared" si="83"/>
        <v>7</v>
      </c>
      <c r="V675" t="str">
        <f t="shared" si="84"/>
        <v>Q3</v>
      </c>
      <c r="W675" t="str">
        <f t="shared" si="85"/>
        <v>Jul-2024</v>
      </c>
      <c r="X675">
        <f t="shared" si="86"/>
        <v>4285.3455000000004</v>
      </c>
      <c r="Y675" s="5">
        <f t="shared" si="87"/>
        <v>24283.624500000002</v>
      </c>
      <c r="Z675" s="21">
        <f>DATE(K675,MATCH(J675,{"January","February","March","April","May","June","July","August","September","October","November","December"},0),1)</f>
        <v>45474</v>
      </c>
    </row>
    <row r="676" spans="1:26" x14ac:dyDescent="0.3">
      <c r="A676" s="4" t="s">
        <v>744</v>
      </c>
      <c r="B676" s="4" t="s">
        <v>96</v>
      </c>
      <c r="C676" s="4" t="s">
        <v>36</v>
      </c>
      <c r="D676" s="5">
        <v>40753.519999999997</v>
      </c>
      <c r="E676" s="6">
        <v>1</v>
      </c>
      <c r="F676" s="5">
        <v>40753.519999999997</v>
      </c>
      <c r="G676" s="1">
        <v>45352</v>
      </c>
      <c r="H676" t="s">
        <v>18</v>
      </c>
      <c r="I676">
        <v>4.2</v>
      </c>
      <c r="J676" t="s">
        <v>56</v>
      </c>
      <c r="K676">
        <v>2024</v>
      </c>
      <c r="L676">
        <v>8150.7039999999997</v>
      </c>
      <c r="M676">
        <v>22</v>
      </c>
      <c r="N676" t="s">
        <v>20</v>
      </c>
      <c r="O676" t="s">
        <v>21</v>
      </c>
      <c r="P676">
        <f>FlipkartSales[[#This Row],[Price (INR)]]*FlipkartSales[[#This Row],[Quantity Sold]]</f>
        <v>40753.519999999997</v>
      </c>
      <c r="Q676">
        <f>FlipkartSales[[#This Row],[Total Sales (INR)]]-FlipkartSales[[#This Row],[Calculated Sales]]</f>
        <v>0</v>
      </c>
      <c r="R676" s="9">
        <f t="shared" si="80"/>
        <v>0.2</v>
      </c>
      <c r="S676">
        <f t="shared" si="81"/>
        <v>40753.519999999997</v>
      </c>
      <c r="T676">
        <f t="shared" si="82"/>
        <v>8150.7039999999997</v>
      </c>
      <c r="U676">
        <f t="shared" si="83"/>
        <v>3</v>
      </c>
      <c r="V676" t="str">
        <f t="shared" si="84"/>
        <v>Q1</v>
      </c>
      <c r="W676" t="str">
        <f t="shared" si="85"/>
        <v>Mar-2024</v>
      </c>
      <c r="X676">
        <f t="shared" si="86"/>
        <v>8965.7744000000002</v>
      </c>
      <c r="Y676" s="5">
        <f t="shared" si="87"/>
        <v>31787.745599999995</v>
      </c>
      <c r="Z676" s="21">
        <f>DATE(K676,MATCH(J676,{"January","February","March","April","May","June","July","August","September","October","November","December"},0),1)</f>
        <v>45352</v>
      </c>
    </row>
    <row r="677" spans="1:26" x14ac:dyDescent="0.3">
      <c r="A677" s="4" t="s">
        <v>745</v>
      </c>
      <c r="B677" s="4" t="s">
        <v>55</v>
      </c>
      <c r="C677" s="4" t="s">
        <v>36</v>
      </c>
      <c r="D677" s="5">
        <v>38571.81</v>
      </c>
      <c r="E677" s="6">
        <v>4</v>
      </c>
      <c r="F677" s="5">
        <v>154287.24</v>
      </c>
      <c r="G677" s="1">
        <v>45367</v>
      </c>
      <c r="H677" t="s">
        <v>64</v>
      </c>
      <c r="I677">
        <v>1.2</v>
      </c>
      <c r="J677" t="s">
        <v>56</v>
      </c>
      <c r="K677">
        <v>2024</v>
      </c>
      <c r="L677">
        <v>30857.448</v>
      </c>
      <c r="M677">
        <v>19</v>
      </c>
      <c r="N677" t="s">
        <v>41</v>
      </c>
      <c r="O677" t="s">
        <v>33</v>
      </c>
      <c r="P677">
        <f>FlipkartSales[[#This Row],[Price (INR)]]*FlipkartSales[[#This Row],[Quantity Sold]]</f>
        <v>154287.24</v>
      </c>
      <c r="Q677">
        <f>FlipkartSales[[#This Row],[Total Sales (INR)]]-FlipkartSales[[#This Row],[Calculated Sales]]</f>
        <v>0</v>
      </c>
      <c r="R677" s="9">
        <f t="shared" si="80"/>
        <v>0.2</v>
      </c>
      <c r="S677">
        <f t="shared" si="81"/>
        <v>38571.81</v>
      </c>
      <c r="T677">
        <f t="shared" si="82"/>
        <v>7714.3620000000001</v>
      </c>
      <c r="U677">
        <f t="shared" si="83"/>
        <v>3</v>
      </c>
      <c r="V677" t="str">
        <f t="shared" si="84"/>
        <v>Q1</v>
      </c>
      <c r="W677" t="str">
        <f t="shared" si="85"/>
        <v>Mar-2024</v>
      </c>
      <c r="X677">
        <f t="shared" si="86"/>
        <v>29314.575599999996</v>
      </c>
      <c r="Y677" s="5">
        <f t="shared" si="87"/>
        <v>124972.66439999999</v>
      </c>
      <c r="Z677" s="21">
        <f>DATE(K677,MATCH(J677,{"January","February","March","April","May","June","July","August","September","October","November","December"},0),1)</f>
        <v>45352</v>
      </c>
    </row>
    <row r="678" spans="1:26" x14ac:dyDescent="0.3">
      <c r="A678" s="4" t="s">
        <v>746</v>
      </c>
      <c r="B678" s="4" t="s">
        <v>66</v>
      </c>
      <c r="C678" s="4" t="s">
        <v>36</v>
      </c>
      <c r="D678" s="5">
        <v>25161.91</v>
      </c>
      <c r="E678" s="6">
        <v>5</v>
      </c>
      <c r="F678" s="5">
        <v>125809.55</v>
      </c>
      <c r="G678" s="1">
        <v>45416</v>
      </c>
      <c r="H678" t="s">
        <v>44</v>
      </c>
      <c r="I678">
        <v>3.4</v>
      </c>
      <c r="J678" t="s">
        <v>32</v>
      </c>
      <c r="K678">
        <v>2024</v>
      </c>
      <c r="L678">
        <v>25161.910000000003</v>
      </c>
      <c r="M678">
        <v>16</v>
      </c>
      <c r="N678" t="s">
        <v>41</v>
      </c>
      <c r="O678" t="s">
        <v>21</v>
      </c>
      <c r="P678">
        <f>FlipkartSales[[#This Row],[Price (INR)]]*FlipkartSales[[#This Row],[Quantity Sold]]</f>
        <v>125809.55</v>
      </c>
      <c r="Q678">
        <f>FlipkartSales[[#This Row],[Total Sales (INR)]]-FlipkartSales[[#This Row],[Calculated Sales]]</f>
        <v>0</v>
      </c>
      <c r="R678" s="9">
        <f t="shared" si="80"/>
        <v>0.2</v>
      </c>
      <c r="S678">
        <f t="shared" si="81"/>
        <v>25161.91</v>
      </c>
      <c r="T678">
        <f t="shared" si="82"/>
        <v>5032.3820000000005</v>
      </c>
      <c r="U678">
        <f t="shared" si="83"/>
        <v>5</v>
      </c>
      <c r="V678" t="str">
        <f t="shared" si="84"/>
        <v>Q2</v>
      </c>
      <c r="W678" t="str">
        <f t="shared" si="85"/>
        <v>May-2024</v>
      </c>
      <c r="X678">
        <f t="shared" si="86"/>
        <v>20129.528000000002</v>
      </c>
      <c r="Y678" s="5">
        <f t="shared" si="87"/>
        <v>105680.022</v>
      </c>
      <c r="Z678" s="21">
        <f>DATE(K678,MATCH(J678,{"January","February","March","April","May","June","July","August","September","October","November","December"},0),1)</f>
        <v>45413</v>
      </c>
    </row>
    <row r="679" spans="1:26" x14ac:dyDescent="0.3">
      <c r="A679" s="4" t="s">
        <v>747</v>
      </c>
      <c r="B679" s="4" t="s">
        <v>58</v>
      </c>
      <c r="C679" s="4" t="s">
        <v>31</v>
      </c>
      <c r="D679" s="5">
        <v>12124.19</v>
      </c>
      <c r="E679" s="6">
        <v>3</v>
      </c>
      <c r="F679" s="5">
        <v>36372.57</v>
      </c>
      <c r="G679" s="1">
        <v>45617</v>
      </c>
      <c r="H679" t="s">
        <v>18</v>
      </c>
      <c r="I679">
        <v>4.7</v>
      </c>
      <c r="J679" t="s">
        <v>37</v>
      </c>
      <c r="K679">
        <v>2024</v>
      </c>
      <c r="L679">
        <v>7274.5140000000001</v>
      </c>
      <c r="M679">
        <v>13</v>
      </c>
      <c r="N679" t="s">
        <v>27</v>
      </c>
      <c r="O679" t="s">
        <v>33</v>
      </c>
      <c r="P679">
        <f>FlipkartSales[[#This Row],[Price (INR)]]*FlipkartSales[[#This Row],[Quantity Sold]]</f>
        <v>36372.57</v>
      </c>
      <c r="Q679">
        <f>FlipkartSales[[#This Row],[Total Sales (INR)]]-FlipkartSales[[#This Row],[Calculated Sales]]</f>
        <v>0</v>
      </c>
      <c r="R679" s="9">
        <f t="shared" si="80"/>
        <v>0.2</v>
      </c>
      <c r="S679">
        <f t="shared" si="81"/>
        <v>12124.19</v>
      </c>
      <c r="T679">
        <f t="shared" si="82"/>
        <v>2424.8380000000002</v>
      </c>
      <c r="U679">
        <f t="shared" si="83"/>
        <v>11</v>
      </c>
      <c r="V679" t="str">
        <f t="shared" si="84"/>
        <v>Q4</v>
      </c>
      <c r="W679" t="str">
        <f t="shared" si="85"/>
        <v>Nov-2024</v>
      </c>
      <c r="X679">
        <f t="shared" si="86"/>
        <v>4728.4340999999995</v>
      </c>
      <c r="Y679" s="5">
        <f t="shared" si="87"/>
        <v>31644.135900000001</v>
      </c>
      <c r="Z679" s="21">
        <f>DATE(K679,MATCH(J679,{"January","February","March","April","May","June","July","August","September","October","November","December"},0),1)</f>
        <v>45597</v>
      </c>
    </row>
    <row r="680" spans="1:26" x14ac:dyDescent="0.3">
      <c r="A680" s="4" t="s">
        <v>748</v>
      </c>
      <c r="B680" s="4" t="s">
        <v>16</v>
      </c>
      <c r="C680" s="4" t="s">
        <v>17</v>
      </c>
      <c r="D680" s="5">
        <v>2013.64</v>
      </c>
      <c r="E680" s="6">
        <v>3</v>
      </c>
      <c r="F680" s="5">
        <v>6040.92</v>
      </c>
      <c r="G680" s="1">
        <v>45364</v>
      </c>
      <c r="H680" t="s">
        <v>25</v>
      </c>
      <c r="I680">
        <v>3.8</v>
      </c>
      <c r="J680" t="s">
        <v>56</v>
      </c>
      <c r="K680">
        <v>2024</v>
      </c>
      <c r="L680">
        <v>1208.184</v>
      </c>
      <c r="M680">
        <v>14</v>
      </c>
      <c r="N680" t="s">
        <v>41</v>
      </c>
      <c r="O680" t="s">
        <v>21</v>
      </c>
      <c r="P680">
        <f>FlipkartSales[[#This Row],[Price (INR)]]*FlipkartSales[[#This Row],[Quantity Sold]]</f>
        <v>6040.92</v>
      </c>
      <c r="Q680">
        <f>FlipkartSales[[#This Row],[Total Sales (INR)]]-FlipkartSales[[#This Row],[Calculated Sales]]</f>
        <v>0</v>
      </c>
      <c r="R680" s="9">
        <f t="shared" si="80"/>
        <v>0.19999999999999998</v>
      </c>
      <c r="S680">
        <f t="shared" si="81"/>
        <v>2013.64</v>
      </c>
      <c r="T680">
        <f t="shared" si="82"/>
        <v>402.72800000000001</v>
      </c>
      <c r="U680">
        <f t="shared" si="83"/>
        <v>3</v>
      </c>
      <c r="V680" t="str">
        <f t="shared" si="84"/>
        <v>Q1</v>
      </c>
      <c r="W680" t="str">
        <f t="shared" si="85"/>
        <v>Mar-2024</v>
      </c>
      <c r="X680">
        <f t="shared" si="86"/>
        <v>845.72880000000009</v>
      </c>
      <c r="Y680" s="5">
        <f t="shared" si="87"/>
        <v>5195.1912000000002</v>
      </c>
      <c r="Z680" s="21">
        <f>DATE(K680,MATCH(J680,{"January","February","March","April","May","June","July","August","September","October","November","December"},0),1)</f>
        <v>45352</v>
      </c>
    </row>
    <row r="681" spans="1:26" x14ac:dyDescent="0.3">
      <c r="A681" s="4" t="s">
        <v>749</v>
      </c>
      <c r="B681" s="4" t="s">
        <v>84</v>
      </c>
      <c r="C681" s="4" t="s">
        <v>40</v>
      </c>
      <c r="D681" s="5">
        <v>6002.25</v>
      </c>
      <c r="E681" s="6">
        <v>3</v>
      </c>
      <c r="F681" s="5">
        <v>18006.75</v>
      </c>
      <c r="G681" s="1">
        <v>45569</v>
      </c>
      <c r="H681" t="s">
        <v>64</v>
      </c>
      <c r="I681">
        <v>3.5</v>
      </c>
      <c r="J681" t="s">
        <v>45</v>
      </c>
      <c r="K681">
        <v>2024</v>
      </c>
      <c r="L681">
        <v>3601.3500000000004</v>
      </c>
      <c r="M681">
        <v>30</v>
      </c>
      <c r="N681" t="s">
        <v>20</v>
      </c>
      <c r="O681" t="s">
        <v>28</v>
      </c>
      <c r="P681">
        <f>FlipkartSales[[#This Row],[Price (INR)]]*FlipkartSales[[#This Row],[Quantity Sold]]</f>
        <v>18006.75</v>
      </c>
      <c r="Q681">
        <f>FlipkartSales[[#This Row],[Total Sales (INR)]]-FlipkartSales[[#This Row],[Calculated Sales]]</f>
        <v>0</v>
      </c>
      <c r="R681" s="9">
        <f t="shared" si="80"/>
        <v>0.2</v>
      </c>
      <c r="S681">
        <f t="shared" si="81"/>
        <v>6002.25</v>
      </c>
      <c r="T681">
        <f t="shared" si="82"/>
        <v>1200.45</v>
      </c>
      <c r="U681">
        <f t="shared" si="83"/>
        <v>10</v>
      </c>
      <c r="V681" t="str">
        <f t="shared" si="84"/>
        <v>Q4</v>
      </c>
      <c r="W681" t="str">
        <f t="shared" si="85"/>
        <v>Oct-2024</v>
      </c>
      <c r="X681">
        <f t="shared" si="86"/>
        <v>5402.0249999999996</v>
      </c>
      <c r="Y681" s="5">
        <f t="shared" si="87"/>
        <v>12604.725</v>
      </c>
      <c r="Z681" s="21">
        <f>DATE(K681,MATCH(J681,{"January","February","March","April","May","June","July","August","September","October","November","December"},0),1)</f>
        <v>45566</v>
      </c>
    </row>
    <row r="682" spans="1:26" x14ac:dyDescent="0.3">
      <c r="A682" s="4" t="s">
        <v>750</v>
      </c>
      <c r="B682" s="4" t="s">
        <v>125</v>
      </c>
      <c r="C682" s="4" t="s">
        <v>17</v>
      </c>
      <c r="D682" s="5">
        <v>31332.42</v>
      </c>
      <c r="E682" s="6">
        <v>4</v>
      </c>
      <c r="F682" s="5">
        <v>125329.68</v>
      </c>
      <c r="G682" s="1">
        <v>45543</v>
      </c>
      <c r="H682" t="s">
        <v>71</v>
      </c>
      <c r="I682">
        <v>1.4</v>
      </c>
      <c r="J682" t="s">
        <v>19</v>
      </c>
      <c r="K682">
        <v>2024</v>
      </c>
      <c r="L682">
        <v>25065.936000000002</v>
      </c>
      <c r="M682">
        <v>16</v>
      </c>
      <c r="N682" t="s">
        <v>41</v>
      </c>
      <c r="O682" t="s">
        <v>28</v>
      </c>
      <c r="P682">
        <f>FlipkartSales[[#This Row],[Price (INR)]]*FlipkartSales[[#This Row],[Quantity Sold]]</f>
        <v>125329.68</v>
      </c>
      <c r="Q682">
        <f>FlipkartSales[[#This Row],[Total Sales (INR)]]-FlipkartSales[[#This Row],[Calculated Sales]]</f>
        <v>0</v>
      </c>
      <c r="R682" s="9">
        <f t="shared" si="80"/>
        <v>0.2</v>
      </c>
      <c r="S682">
        <f t="shared" si="81"/>
        <v>31332.42</v>
      </c>
      <c r="T682">
        <f t="shared" si="82"/>
        <v>6266.4840000000004</v>
      </c>
      <c r="U682">
        <f t="shared" si="83"/>
        <v>9</v>
      </c>
      <c r="V682" t="str">
        <f t="shared" si="84"/>
        <v>Q3</v>
      </c>
      <c r="W682" t="str">
        <f t="shared" si="85"/>
        <v>Sep-2024</v>
      </c>
      <c r="X682">
        <f t="shared" si="86"/>
        <v>20052.748799999998</v>
      </c>
      <c r="Y682" s="5">
        <f t="shared" si="87"/>
        <v>105276.93119999999</v>
      </c>
      <c r="Z682" s="21">
        <f>DATE(K682,MATCH(J682,{"January","February","March","April","May","June","July","August","September","October","November","December"},0),1)</f>
        <v>45536</v>
      </c>
    </row>
    <row r="683" spans="1:26" x14ac:dyDescent="0.3">
      <c r="A683" s="4" t="s">
        <v>751</v>
      </c>
      <c r="B683" s="4" t="s">
        <v>84</v>
      </c>
      <c r="C683" s="4" t="s">
        <v>40</v>
      </c>
      <c r="D683" s="5">
        <v>17539.189999999999</v>
      </c>
      <c r="E683" s="6">
        <v>1</v>
      </c>
      <c r="F683" s="5">
        <v>17539.189999999999</v>
      </c>
      <c r="G683" s="1">
        <v>45480</v>
      </c>
      <c r="H683" t="s">
        <v>44</v>
      </c>
      <c r="I683">
        <v>3.9</v>
      </c>
      <c r="J683" t="s">
        <v>48</v>
      </c>
      <c r="K683">
        <v>2024</v>
      </c>
      <c r="L683">
        <v>3507.8379999999997</v>
      </c>
      <c r="M683">
        <v>21</v>
      </c>
      <c r="N683" t="s">
        <v>27</v>
      </c>
      <c r="O683" t="s">
        <v>28</v>
      </c>
      <c r="P683">
        <f>FlipkartSales[[#This Row],[Price (INR)]]*FlipkartSales[[#This Row],[Quantity Sold]]</f>
        <v>17539.189999999999</v>
      </c>
      <c r="Q683">
        <f>FlipkartSales[[#This Row],[Total Sales (INR)]]-FlipkartSales[[#This Row],[Calculated Sales]]</f>
        <v>0</v>
      </c>
      <c r="R683" s="9">
        <f t="shared" si="80"/>
        <v>0.2</v>
      </c>
      <c r="S683">
        <f t="shared" si="81"/>
        <v>17539.189999999999</v>
      </c>
      <c r="T683">
        <f t="shared" si="82"/>
        <v>3507.8379999999997</v>
      </c>
      <c r="U683">
        <f t="shared" si="83"/>
        <v>7</v>
      </c>
      <c r="V683" t="str">
        <f t="shared" si="84"/>
        <v>Q3</v>
      </c>
      <c r="W683" t="str">
        <f t="shared" si="85"/>
        <v>Jul-2024</v>
      </c>
      <c r="X683">
        <f t="shared" si="86"/>
        <v>3683.2298999999998</v>
      </c>
      <c r="Y683" s="5">
        <f t="shared" si="87"/>
        <v>13855.960099999998</v>
      </c>
      <c r="Z683" s="21">
        <f>DATE(K683,MATCH(J683,{"January","February","March","April","May","June","July","August","September","October","November","December"},0),1)</f>
        <v>45474</v>
      </c>
    </row>
    <row r="684" spans="1:26" x14ac:dyDescent="0.3">
      <c r="A684" s="4" t="s">
        <v>752</v>
      </c>
      <c r="B684" s="4" t="s">
        <v>118</v>
      </c>
      <c r="C684" s="4" t="s">
        <v>17</v>
      </c>
      <c r="D684" s="5">
        <v>14865.47</v>
      </c>
      <c r="E684" s="6">
        <v>2</v>
      </c>
      <c r="F684" s="5">
        <v>29730.94</v>
      </c>
      <c r="G684" s="1">
        <v>45527</v>
      </c>
      <c r="H684" t="s">
        <v>25</v>
      </c>
      <c r="I684">
        <v>1.6</v>
      </c>
      <c r="J684" t="s">
        <v>88</v>
      </c>
      <c r="K684">
        <v>2024</v>
      </c>
      <c r="L684">
        <v>5946.1880000000001</v>
      </c>
      <c r="M684">
        <v>10</v>
      </c>
      <c r="N684" t="s">
        <v>27</v>
      </c>
      <c r="O684" t="s">
        <v>68</v>
      </c>
      <c r="P684">
        <f>FlipkartSales[[#This Row],[Price (INR)]]*FlipkartSales[[#This Row],[Quantity Sold]]</f>
        <v>29730.94</v>
      </c>
      <c r="Q684">
        <f>FlipkartSales[[#This Row],[Total Sales (INR)]]-FlipkartSales[[#This Row],[Calculated Sales]]</f>
        <v>0</v>
      </c>
      <c r="R684" s="9">
        <f t="shared" si="80"/>
        <v>0.2</v>
      </c>
      <c r="S684">
        <f t="shared" si="81"/>
        <v>14865.47</v>
      </c>
      <c r="T684">
        <f t="shared" si="82"/>
        <v>2973.0940000000001</v>
      </c>
      <c r="U684">
        <f t="shared" si="83"/>
        <v>8</v>
      </c>
      <c r="V684" t="str">
        <f t="shared" si="84"/>
        <v>Q3</v>
      </c>
      <c r="W684" t="str">
        <f t="shared" si="85"/>
        <v>Aug-2024</v>
      </c>
      <c r="X684">
        <f t="shared" si="86"/>
        <v>2973.0939999999996</v>
      </c>
      <c r="Y684" s="5">
        <f t="shared" si="87"/>
        <v>26757.845999999998</v>
      </c>
      <c r="Z684" s="21">
        <f>DATE(K684,MATCH(J684,{"January","February","March","April","May","June","July","August","September","October","November","December"},0),1)</f>
        <v>45505</v>
      </c>
    </row>
    <row r="685" spans="1:26" x14ac:dyDescent="0.3">
      <c r="A685" s="4" t="s">
        <v>753</v>
      </c>
      <c r="B685" s="4" t="s">
        <v>176</v>
      </c>
      <c r="C685" s="4" t="s">
        <v>24</v>
      </c>
      <c r="D685" s="5">
        <v>48130.6</v>
      </c>
      <c r="E685" s="6">
        <v>5</v>
      </c>
      <c r="F685" s="5">
        <v>240653</v>
      </c>
      <c r="G685" s="1">
        <v>45619</v>
      </c>
      <c r="H685" t="s">
        <v>25</v>
      </c>
      <c r="I685">
        <v>4</v>
      </c>
      <c r="J685" t="s">
        <v>37</v>
      </c>
      <c r="K685">
        <v>2024</v>
      </c>
      <c r="L685">
        <v>48130.600000000006</v>
      </c>
      <c r="M685">
        <v>11</v>
      </c>
      <c r="N685" t="s">
        <v>27</v>
      </c>
      <c r="O685" t="s">
        <v>68</v>
      </c>
      <c r="P685">
        <f>FlipkartSales[[#This Row],[Price (INR)]]*FlipkartSales[[#This Row],[Quantity Sold]]</f>
        <v>240653</v>
      </c>
      <c r="Q685">
        <f>FlipkartSales[[#This Row],[Total Sales (INR)]]-FlipkartSales[[#This Row],[Calculated Sales]]</f>
        <v>0</v>
      </c>
      <c r="R685" s="9">
        <f t="shared" si="80"/>
        <v>0.2</v>
      </c>
      <c r="S685">
        <f t="shared" si="81"/>
        <v>48130.6</v>
      </c>
      <c r="T685">
        <f t="shared" si="82"/>
        <v>9626.1200000000008</v>
      </c>
      <c r="U685">
        <f t="shared" si="83"/>
        <v>11</v>
      </c>
      <c r="V685" t="str">
        <f t="shared" si="84"/>
        <v>Q4</v>
      </c>
      <c r="W685" t="str">
        <f t="shared" si="85"/>
        <v>Nov-2024</v>
      </c>
      <c r="X685">
        <f t="shared" si="86"/>
        <v>26471.83</v>
      </c>
      <c r="Y685" s="5">
        <f t="shared" si="87"/>
        <v>214181.16999999998</v>
      </c>
      <c r="Z685" s="21">
        <f>DATE(K685,MATCH(J685,{"January","February","March","April","May","June","July","August","September","October","November","December"},0),1)</f>
        <v>45597</v>
      </c>
    </row>
    <row r="686" spans="1:26" x14ac:dyDescent="0.3">
      <c r="A686" s="4" t="s">
        <v>754</v>
      </c>
      <c r="B686" s="4" t="s">
        <v>16</v>
      </c>
      <c r="C686" s="4" t="s">
        <v>17</v>
      </c>
      <c r="D686" s="5">
        <v>8970.27</v>
      </c>
      <c r="E686" s="6">
        <v>3</v>
      </c>
      <c r="F686" s="5">
        <v>26910.81</v>
      </c>
      <c r="G686" s="1">
        <v>45464</v>
      </c>
      <c r="H686" t="s">
        <v>64</v>
      </c>
      <c r="I686">
        <v>1.1000000000000001</v>
      </c>
      <c r="J686" t="s">
        <v>67</v>
      </c>
      <c r="K686">
        <v>2024</v>
      </c>
      <c r="L686">
        <v>5382.1620000000003</v>
      </c>
      <c r="M686">
        <v>18</v>
      </c>
      <c r="N686" t="s">
        <v>27</v>
      </c>
      <c r="O686" t="s">
        <v>28</v>
      </c>
      <c r="P686">
        <f>FlipkartSales[[#This Row],[Price (INR)]]*FlipkartSales[[#This Row],[Quantity Sold]]</f>
        <v>26910.81</v>
      </c>
      <c r="Q686">
        <f>FlipkartSales[[#This Row],[Total Sales (INR)]]-FlipkartSales[[#This Row],[Calculated Sales]]</f>
        <v>0</v>
      </c>
      <c r="R686" s="9">
        <f t="shared" si="80"/>
        <v>0.2</v>
      </c>
      <c r="S686">
        <f t="shared" si="81"/>
        <v>8970.27</v>
      </c>
      <c r="T686">
        <f t="shared" si="82"/>
        <v>1794.0540000000001</v>
      </c>
      <c r="U686">
        <f t="shared" si="83"/>
        <v>6</v>
      </c>
      <c r="V686" t="str">
        <f t="shared" si="84"/>
        <v>Q2</v>
      </c>
      <c r="W686" t="str">
        <f t="shared" si="85"/>
        <v>Jun-2024</v>
      </c>
      <c r="X686">
        <f t="shared" si="86"/>
        <v>4843.9458000000004</v>
      </c>
      <c r="Y686" s="5">
        <f t="shared" si="87"/>
        <v>22066.8642</v>
      </c>
      <c r="Z686" s="21">
        <f>DATE(K686,MATCH(J686,{"January","February","March","April","May","June","July","August","September","October","November","December"},0),1)</f>
        <v>45444</v>
      </c>
    </row>
    <row r="687" spans="1:26" x14ac:dyDescent="0.3">
      <c r="A687" s="4" t="s">
        <v>755</v>
      </c>
      <c r="B687" s="4" t="s">
        <v>107</v>
      </c>
      <c r="C687" s="4" t="s">
        <v>36</v>
      </c>
      <c r="D687" s="5">
        <v>14359.73</v>
      </c>
      <c r="E687" s="6">
        <v>2</v>
      </c>
      <c r="F687" s="5">
        <v>28719.46</v>
      </c>
      <c r="G687" s="1">
        <v>45465</v>
      </c>
      <c r="H687" t="s">
        <v>25</v>
      </c>
      <c r="I687">
        <v>4.4000000000000004</v>
      </c>
      <c r="J687" t="s">
        <v>67</v>
      </c>
      <c r="K687">
        <v>2024</v>
      </c>
      <c r="L687">
        <v>5743.8919999999998</v>
      </c>
      <c r="M687">
        <v>17</v>
      </c>
      <c r="N687" t="s">
        <v>27</v>
      </c>
      <c r="O687" t="s">
        <v>68</v>
      </c>
      <c r="P687">
        <f>FlipkartSales[[#This Row],[Price (INR)]]*FlipkartSales[[#This Row],[Quantity Sold]]</f>
        <v>28719.46</v>
      </c>
      <c r="Q687">
        <f>FlipkartSales[[#This Row],[Total Sales (INR)]]-FlipkartSales[[#This Row],[Calculated Sales]]</f>
        <v>0</v>
      </c>
      <c r="R687" s="9">
        <f t="shared" si="80"/>
        <v>0.2</v>
      </c>
      <c r="S687">
        <f t="shared" si="81"/>
        <v>14359.73</v>
      </c>
      <c r="T687">
        <f t="shared" si="82"/>
        <v>2871.9459999999999</v>
      </c>
      <c r="U687">
        <f t="shared" si="83"/>
        <v>6</v>
      </c>
      <c r="V687" t="str">
        <f t="shared" si="84"/>
        <v>Q2</v>
      </c>
      <c r="W687" t="str">
        <f t="shared" si="85"/>
        <v>Jun-2024</v>
      </c>
      <c r="X687">
        <f t="shared" si="86"/>
        <v>4882.3082000000004</v>
      </c>
      <c r="Y687" s="5">
        <f t="shared" si="87"/>
        <v>23837.1518</v>
      </c>
      <c r="Z687" s="21">
        <f>DATE(K687,MATCH(J687,{"January","February","March","April","May","June","July","August","September","October","November","December"},0),1)</f>
        <v>45444</v>
      </c>
    </row>
    <row r="688" spans="1:26" x14ac:dyDescent="0.3">
      <c r="A688" s="4" t="s">
        <v>756</v>
      </c>
      <c r="B688" s="4" t="s">
        <v>58</v>
      </c>
      <c r="C688" s="4" t="s">
        <v>31</v>
      </c>
      <c r="D688" s="5">
        <v>17009.73</v>
      </c>
      <c r="E688" s="6">
        <v>4</v>
      </c>
      <c r="F688" s="5">
        <v>68038.92</v>
      </c>
      <c r="G688" s="1">
        <v>45608</v>
      </c>
      <c r="H688" t="s">
        <v>18</v>
      </c>
      <c r="I688">
        <v>3.7</v>
      </c>
      <c r="J688" t="s">
        <v>37</v>
      </c>
      <c r="K688">
        <v>2024</v>
      </c>
      <c r="L688">
        <v>13607.784</v>
      </c>
      <c r="M688">
        <v>12</v>
      </c>
      <c r="N688" t="s">
        <v>41</v>
      </c>
      <c r="O688" t="s">
        <v>21</v>
      </c>
      <c r="P688">
        <f>FlipkartSales[[#This Row],[Price (INR)]]*FlipkartSales[[#This Row],[Quantity Sold]]</f>
        <v>68038.92</v>
      </c>
      <c r="Q688">
        <f>FlipkartSales[[#This Row],[Total Sales (INR)]]-FlipkartSales[[#This Row],[Calculated Sales]]</f>
        <v>0</v>
      </c>
      <c r="R688" s="9">
        <f t="shared" si="80"/>
        <v>0.2</v>
      </c>
      <c r="S688">
        <f t="shared" si="81"/>
        <v>17009.73</v>
      </c>
      <c r="T688">
        <f t="shared" si="82"/>
        <v>3401.9459999999999</v>
      </c>
      <c r="U688">
        <f t="shared" si="83"/>
        <v>11</v>
      </c>
      <c r="V688" t="str">
        <f t="shared" si="84"/>
        <v>Q4</v>
      </c>
      <c r="W688" t="str">
        <f t="shared" si="85"/>
        <v>Nov-2024</v>
      </c>
      <c r="X688">
        <f t="shared" si="86"/>
        <v>8164.6704</v>
      </c>
      <c r="Y688" s="5">
        <f t="shared" si="87"/>
        <v>59874.249599999996</v>
      </c>
      <c r="Z688" s="21">
        <f>DATE(K688,MATCH(J688,{"January","February","March","April","May","June","July","August","September","October","November","December"},0),1)</f>
        <v>45597</v>
      </c>
    </row>
    <row r="689" spans="1:26" x14ac:dyDescent="0.3">
      <c r="A689" s="4" t="s">
        <v>757</v>
      </c>
      <c r="B689" s="4" t="s">
        <v>78</v>
      </c>
      <c r="C689" s="4" t="s">
        <v>24</v>
      </c>
      <c r="D689" s="5">
        <v>10385.24</v>
      </c>
      <c r="E689" s="6">
        <v>2</v>
      </c>
      <c r="F689" s="5">
        <v>20770.48</v>
      </c>
      <c r="G689" s="1">
        <v>45373</v>
      </c>
      <c r="H689" t="s">
        <v>25</v>
      </c>
      <c r="I689">
        <v>4.7</v>
      </c>
      <c r="J689" t="s">
        <v>56</v>
      </c>
      <c r="K689">
        <v>2024</v>
      </c>
      <c r="L689">
        <v>4154.0960000000005</v>
      </c>
      <c r="M689">
        <v>14</v>
      </c>
      <c r="N689" t="s">
        <v>41</v>
      </c>
      <c r="O689" t="s">
        <v>33</v>
      </c>
      <c r="P689">
        <f>FlipkartSales[[#This Row],[Price (INR)]]*FlipkartSales[[#This Row],[Quantity Sold]]</f>
        <v>20770.48</v>
      </c>
      <c r="Q689">
        <f>FlipkartSales[[#This Row],[Total Sales (INR)]]-FlipkartSales[[#This Row],[Calculated Sales]]</f>
        <v>0</v>
      </c>
      <c r="R689" s="9">
        <f t="shared" si="80"/>
        <v>0.20000000000000004</v>
      </c>
      <c r="S689">
        <f t="shared" si="81"/>
        <v>10385.24</v>
      </c>
      <c r="T689">
        <f t="shared" si="82"/>
        <v>2077.0480000000002</v>
      </c>
      <c r="U689">
        <f t="shared" si="83"/>
        <v>3</v>
      </c>
      <c r="V689" t="str">
        <f t="shared" si="84"/>
        <v>Q1</v>
      </c>
      <c r="W689" t="str">
        <f t="shared" si="85"/>
        <v>Mar-2024</v>
      </c>
      <c r="X689">
        <f t="shared" si="86"/>
        <v>2907.8671999999997</v>
      </c>
      <c r="Y689" s="5">
        <f t="shared" si="87"/>
        <v>17862.612799999999</v>
      </c>
      <c r="Z689" s="21">
        <f>DATE(K689,MATCH(J689,{"January","February","March","April","May","June","July","August","September","October","November","December"},0),1)</f>
        <v>45352</v>
      </c>
    </row>
    <row r="690" spans="1:26" x14ac:dyDescent="0.3">
      <c r="A690" s="4" t="s">
        <v>758</v>
      </c>
      <c r="B690" s="4" t="s">
        <v>55</v>
      </c>
      <c r="C690" s="4" t="s">
        <v>36</v>
      </c>
      <c r="D690" s="5">
        <v>28261.1</v>
      </c>
      <c r="E690" s="6">
        <v>2</v>
      </c>
      <c r="F690" s="5">
        <v>56522.2</v>
      </c>
      <c r="G690" s="1">
        <v>45683</v>
      </c>
      <c r="H690" t="s">
        <v>44</v>
      </c>
      <c r="I690">
        <v>4.3</v>
      </c>
      <c r="J690" t="s">
        <v>53</v>
      </c>
      <c r="K690">
        <v>2025</v>
      </c>
      <c r="L690">
        <v>11304.44</v>
      </c>
      <c r="M690">
        <v>13</v>
      </c>
      <c r="N690" t="s">
        <v>41</v>
      </c>
      <c r="O690" t="s">
        <v>33</v>
      </c>
      <c r="P690">
        <f>FlipkartSales[[#This Row],[Price (INR)]]*FlipkartSales[[#This Row],[Quantity Sold]]</f>
        <v>56522.2</v>
      </c>
      <c r="Q690">
        <f>FlipkartSales[[#This Row],[Total Sales (INR)]]-FlipkartSales[[#This Row],[Calculated Sales]]</f>
        <v>0</v>
      </c>
      <c r="R690" s="9">
        <f t="shared" si="80"/>
        <v>0.2</v>
      </c>
      <c r="S690">
        <f t="shared" si="81"/>
        <v>28261.1</v>
      </c>
      <c r="T690">
        <f t="shared" si="82"/>
        <v>5652.22</v>
      </c>
      <c r="U690">
        <f t="shared" si="83"/>
        <v>1</v>
      </c>
      <c r="V690" t="str">
        <f t="shared" si="84"/>
        <v>Q1</v>
      </c>
      <c r="W690" t="str">
        <f t="shared" si="85"/>
        <v>Jan-2025</v>
      </c>
      <c r="X690">
        <f t="shared" si="86"/>
        <v>7347.8859999999995</v>
      </c>
      <c r="Y690" s="5">
        <f t="shared" si="87"/>
        <v>49174.313999999998</v>
      </c>
      <c r="Z690" s="21">
        <f>DATE(K690,MATCH(J690,{"January","February","March","April","May","June","July","August","September","October","November","December"},0),1)</f>
        <v>45658</v>
      </c>
    </row>
    <row r="691" spans="1:26" x14ac:dyDescent="0.3">
      <c r="A691" s="4" t="s">
        <v>759</v>
      </c>
      <c r="B691" s="4" t="s">
        <v>23</v>
      </c>
      <c r="C691" s="4" t="s">
        <v>24</v>
      </c>
      <c r="D691" s="5">
        <v>23320.94</v>
      </c>
      <c r="E691" s="6">
        <v>2</v>
      </c>
      <c r="F691" s="5">
        <v>46641.88</v>
      </c>
      <c r="G691" s="1">
        <v>45414</v>
      </c>
      <c r="H691" t="s">
        <v>44</v>
      </c>
      <c r="I691">
        <v>3.2</v>
      </c>
      <c r="J691" t="s">
        <v>32</v>
      </c>
      <c r="K691">
        <v>2024</v>
      </c>
      <c r="L691">
        <v>9328.3760000000002</v>
      </c>
      <c r="M691">
        <v>22</v>
      </c>
      <c r="N691" t="s">
        <v>41</v>
      </c>
      <c r="O691" t="s">
        <v>33</v>
      </c>
      <c r="P691">
        <f>FlipkartSales[[#This Row],[Price (INR)]]*FlipkartSales[[#This Row],[Quantity Sold]]</f>
        <v>46641.88</v>
      </c>
      <c r="Q691">
        <f>FlipkartSales[[#This Row],[Total Sales (INR)]]-FlipkartSales[[#This Row],[Calculated Sales]]</f>
        <v>0</v>
      </c>
      <c r="R691" s="9">
        <f t="shared" si="80"/>
        <v>0.2</v>
      </c>
      <c r="S691">
        <f t="shared" si="81"/>
        <v>23320.94</v>
      </c>
      <c r="T691">
        <f t="shared" si="82"/>
        <v>4664.1880000000001</v>
      </c>
      <c r="U691">
        <f t="shared" si="83"/>
        <v>5</v>
      </c>
      <c r="V691" t="str">
        <f t="shared" si="84"/>
        <v>Q2</v>
      </c>
      <c r="W691" t="str">
        <f t="shared" si="85"/>
        <v>May-2024</v>
      </c>
      <c r="X691">
        <f t="shared" si="86"/>
        <v>10261.213599999999</v>
      </c>
      <c r="Y691" s="5">
        <f t="shared" si="87"/>
        <v>36380.666400000002</v>
      </c>
      <c r="Z691" s="21">
        <f>DATE(K691,MATCH(J691,{"January","February","March","April","May","June","July","August","September","October","November","December"},0),1)</f>
        <v>45413</v>
      </c>
    </row>
    <row r="692" spans="1:26" x14ac:dyDescent="0.3">
      <c r="A692" s="4" t="s">
        <v>760</v>
      </c>
      <c r="B692" s="4" t="s">
        <v>78</v>
      </c>
      <c r="C692" s="4" t="s">
        <v>24</v>
      </c>
      <c r="D692" s="5">
        <v>16038</v>
      </c>
      <c r="E692" s="6">
        <v>5</v>
      </c>
      <c r="F692" s="5">
        <v>80190</v>
      </c>
      <c r="G692" s="1">
        <v>45646</v>
      </c>
      <c r="H692" t="s">
        <v>71</v>
      </c>
      <c r="I692">
        <v>2.2999999999999998</v>
      </c>
      <c r="J692" t="s">
        <v>26</v>
      </c>
      <c r="K692">
        <v>2024</v>
      </c>
      <c r="L692">
        <v>16038</v>
      </c>
      <c r="M692">
        <v>30</v>
      </c>
      <c r="N692" t="s">
        <v>27</v>
      </c>
      <c r="O692" t="s">
        <v>28</v>
      </c>
      <c r="P692">
        <f>FlipkartSales[[#This Row],[Price (INR)]]*FlipkartSales[[#This Row],[Quantity Sold]]</f>
        <v>80190</v>
      </c>
      <c r="Q692">
        <f>FlipkartSales[[#This Row],[Total Sales (INR)]]-FlipkartSales[[#This Row],[Calculated Sales]]</f>
        <v>0</v>
      </c>
      <c r="R692" s="9">
        <f t="shared" si="80"/>
        <v>0.2</v>
      </c>
      <c r="S692">
        <f t="shared" si="81"/>
        <v>16038</v>
      </c>
      <c r="T692">
        <f t="shared" si="82"/>
        <v>3207.6</v>
      </c>
      <c r="U692">
        <f t="shared" si="83"/>
        <v>12</v>
      </c>
      <c r="V692" t="str">
        <f t="shared" si="84"/>
        <v>Q4</v>
      </c>
      <c r="W692" t="str">
        <f t="shared" si="85"/>
        <v>Dec-2024</v>
      </c>
      <c r="X692">
        <f t="shared" si="86"/>
        <v>24057</v>
      </c>
      <c r="Y692" s="5">
        <f t="shared" si="87"/>
        <v>56133</v>
      </c>
      <c r="Z692" s="21">
        <f>DATE(K692,MATCH(J692,{"January","February","March","April","May","June","July","August","September","October","November","December"},0),1)</f>
        <v>45627</v>
      </c>
    </row>
    <row r="693" spans="1:26" x14ac:dyDescent="0.3">
      <c r="A693" s="4" t="s">
        <v>761</v>
      </c>
      <c r="B693" s="4" t="s">
        <v>47</v>
      </c>
      <c r="C693" s="4" t="s">
        <v>24</v>
      </c>
      <c r="D693" s="5">
        <v>43719.71</v>
      </c>
      <c r="E693" s="6">
        <v>5</v>
      </c>
      <c r="F693" s="5">
        <v>218598.55</v>
      </c>
      <c r="G693" s="1">
        <v>45608</v>
      </c>
      <c r="H693" t="s">
        <v>25</v>
      </c>
      <c r="I693">
        <v>3.4</v>
      </c>
      <c r="J693" t="s">
        <v>37</v>
      </c>
      <c r="K693">
        <v>2024</v>
      </c>
      <c r="L693">
        <v>43719.71</v>
      </c>
      <c r="M693">
        <v>6</v>
      </c>
      <c r="N693" t="s">
        <v>20</v>
      </c>
      <c r="O693" t="s">
        <v>68</v>
      </c>
      <c r="P693">
        <f>FlipkartSales[[#This Row],[Price (INR)]]*FlipkartSales[[#This Row],[Quantity Sold]]</f>
        <v>218598.55</v>
      </c>
      <c r="Q693">
        <f>FlipkartSales[[#This Row],[Total Sales (INR)]]-FlipkartSales[[#This Row],[Calculated Sales]]</f>
        <v>0</v>
      </c>
      <c r="R693" s="9">
        <f t="shared" si="80"/>
        <v>0.2</v>
      </c>
      <c r="S693">
        <f t="shared" si="81"/>
        <v>43719.71</v>
      </c>
      <c r="T693">
        <f t="shared" si="82"/>
        <v>8743.9419999999991</v>
      </c>
      <c r="U693">
        <f t="shared" si="83"/>
        <v>11</v>
      </c>
      <c r="V693" t="str">
        <f t="shared" si="84"/>
        <v>Q4</v>
      </c>
      <c r="W693" t="str">
        <f t="shared" si="85"/>
        <v>Nov-2024</v>
      </c>
      <c r="X693">
        <f t="shared" si="86"/>
        <v>13115.912999999999</v>
      </c>
      <c r="Y693" s="5">
        <f t="shared" si="87"/>
        <v>205482.63699999999</v>
      </c>
      <c r="Z693" s="21">
        <f>DATE(K693,MATCH(J693,{"January","February","March","April","May","June","July","August","September","October","November","December"},0),1)</f>
        <v>45597</v>
      </c>
    </row>
    <row r="694" spans="1:26" x14ac:dyDescent="0.3">
      <c r="A694" s="4" t="s">
        <v>762</v>
      </c>
      <c r="B694" s="4" t="s">
        <v>74</v>
      </c>
      <c r="C694" s="4" t="s">
        <v>17</v>
      </c>
      <c r="D694" s="5">
        <v>19669.48</v>
      </c>
      <c r="E694" s="6">
        <v>2</v>
      </c>
      <c r="F694" s="5">
        <v>39338.959999999999</v>
      </c>
      <c r="G694" s="1">
        <v>45429</v>
      </c>
      <c r="H694" t="s">
        <v>44</v>
      </c>
      <c r="I694">
        <v>2</v>
      </c>
      <c r="J694" t="s">
        <v>32</v>
      </c>
      <c r="K694">
        <v>2024</v>
      </c>
      <c r="L694">
        <v>7867.7920000000004</v>
      </c>
      <c r="M694">
        <v>9</v>
      </c>
      <c r="N694" t="s">
        <v>41</v>
      </c>
      <c r="O694" t="s">
        <v>21</v>
      </c>
      <c r="P694">
        <f>FlipkartSales[[#This Row],[Price (INR)]]*FlipkartSales[[#This Row],[Quantity Sold]]</f>
        <v>39338.959999999999</v>
      </c>
      <c r="Q694">
        <f>FlipkartSales[[#This Row],[Total Sales (INR)]]-FlipkartSales[[#This Row],[Calculated Sales]]</f>
        <v>0</v>
      </c>
      <c r="R694" s="9">
        <f t="shared" si="80"/>
        <v>0.2</v>
      </c>
      <c r="S694">
        <f t="shared" si="81"/>
        <v>19669.48</v>
      </c>
      <c r="T694">
        <f t="shared" si="82"/>
        <v>3933.8960000000002</v>
      </c>
      <c r="U694">
        <f t="shared" si="83"/>
        <v>5</v>
      </c>
      <c r="V694" t="str">
        <f t="shared" si="84"/>
        <v>Q2</v>
      </c>
      <c r="W694" t="str">
        <f t="shared" si="85"/>
        <v>May-2024</v>
      </c>
      <c r="X694">
        <f t="shared" si="86"/>
        <v>3540.5064000000002</v>
      </c>
      <c r="Y694" s="5">
        <f t="shared" si="87"/>
        <v>35798.453600000001</v>
      </c>
      <c r="Z694" s="21">
        <f>DATE(K694,MATCH(J694,{"January","February","March","April","May","June","July","August","September","October","November","December"},0),1)</f>
        <v>45413</v>
      </c>
    </row>
    <row r="695" spans="1:26" x14ac:dyDescent="0.3">
      <c r="A695" s="4" t="s">
        <v>763</v>
      </c>
      <c r="B695" s="4" t="s">
        <v>61</v>
      </c>
      <c r="C695" s="4" t="s">
        <v>31</v>
      </c>
      <c r="D695" s="5">
        <v>27396.01</v>
      </c>
      <c r="E695" s="6">
        <v>1</v>
      </c>
      <c r="F695" s="5">
        <v>27396.01</v>
      </c>
      <c r="G695" s="1">
        <v>45371</v>
      </c>
      <c r="H695" t="s">
        <v>64</v>
      </c>
      <c r="I695">
        <v>4.9000000000000004</v>
      </c>
      <c r="J695" t="s">
        <v>56</v>
      </c>
      <c r="K695">
        <v>2024</v>
      </c>
      <c r="L695">
        <v>5479.2020000000002</v>
      </c>
      <c r="M695">
        <v>9</v>
      </c>
      <c r="N695" t="s">
        <v>20</v>
      </c>
      <c r="O695" t="s">
        <v>21</v>
      </c>
      <c r="P695">
        <f>FlipkartSales[[#This Row],[Price (INR)]]*FlipkartSales[[#This Row],[Quantity Sold]]</f>
        <v>27396.01</v>
      </c>
      <c r="Q695">
        <f>FlipkartSales[[#This Row],[Total Sales (INR)]]-FlipkartSales[[#This Row],[Calculated Sales]]</f>
        <v>0</v>
      </c>
      <c r="R695" s="9">
        <f t="shared" si="80"/>
        <v>0.2</v>
      </c>
      <c r="S695">
        <f t="shared" si="81"/>
        <v>27396.01</v>
      </c>
      <c r="T695">
        <f t="shared" si="82"/>
        <v>5479.2020000000002</v>
      </c>
      <c r="U695">
        <f t="shared" si="83"/>
        <v>3</v>
      </c>
      <c r="V695" t="str">
        <f t="shared" si="84"/>
        <v>Q1</v>
      </c>
      <c r="W695" t="str">
        <f t="shared" si="85"/>
        <v>Mar-2024</v>
      </c>
      <c r="X695">
        <f t="shared" si="86"/>
        <v>2465.6408999999999</v>
      </c>
      <c r="Y695" s="5">
        <f t="shared" si="87"/>
        <v>24930.3691</v>
      </c>
      <c r="Z695" s="21">
        <f>DATE(K695,MATCH(J695,{"January","February","March","April","May","June","July","August","September","October","November","December"},0),1)</f>
        <v>45352</v>
      </c>
    </row>
    <row r="696" spans="1:26" x14ac:dyDescent="0.3">
      <c r="A696" s="4" t="s">
        <v>764</v>
      </c>
      <c r="B696" s="4" t="s">
        <v>52</v>
      </c>
      <c r="C696" s="4" t="s">
        <v>24</v>
      </c>
      <c r="D696" s="5">
        <v>13763.17</v>
      </c>
      <c r="E696" s="6">
        <v>5</v>
      </c>
      <c r="F696" s="5">
        <v>68815.850000000006</v>
      </c>
      <c r="G696" s="1">
        <v>45434</v>
      </c>
      <c r="H696" t="s">
        <v>44</v>
      </c>
      <c r="I696">
        <v>3.6</v>
      </c>
      <c r="J696" t="s">
        <v>32</v>
      </c>
      <c r="K696">
        <v>2024</v>
      </c>
      <c r="L696">
        <v>13763.170000000002</v>
      </c>
      <c r="M696">
        <v>10</v>
      </c>
      <c r="N696" t="s">
        <v>41</v>
      </c>
      <c r="O696" t="s">
        <v>28</v>
      </c>
      <c r="P696">
        <f>FlipkartSales[[#This Row],[Price (INR)]]*FlipkartSales[[#This Row],[Quantity Sold]]</f>
        <v>68815.850000000006</v>
      </c>
      <c r="Q696">
        <f>FlipkartSales[[#This Row],[Total Sales (INR)]]-FlipkartSales[[#This Row],[Calculated Sales]]</f>
        <v>0</v>
      </c>
      <c r="R696" s="9">
        <f t="shared" si="80"/>
        <v>0.2</v>
      </c>
      <c r="S696">
        <f t="shared" si="81"/>
        <v>13763.170000000002</v>
      </c>
      <c r="T696">
        <f t="shared" si="82"/>
        <v>2752.6340000000005</v>
      </c>
      <c r="U696">
        <f t="shared" si="83"/>
        <v>5</v>
      </c>
      <c r="V696" t="str">
        <f t="shared" si="84"/>
        <v>Q2</v>
      </c>
      <c r="W696" t="str">
        <f t="shared" si="85"/>
        <v>May-2024</v>
      </c>
      <c r="X696">
        <f t="shared" si="86"/>
        <v>6881.585</v>
      </c>
      <c r="Y696" s="5">
        <f t="shared" si="87"/>
        <v>61934.265000000007</v>
      </c>
      <c r="Z696" s="21">
        <f>DATE(K696,MATCH(J696,{"January","February","March","April","May","June","July","August","September","October","November","December"},0),1)</f>
        <v>45413</v>
      </c>
    </row>
    <row r="697" spans="1:26" x14ac:dyDescent="0.3">
      <c r="A697" s="4" t="s">
        <v>765</v>
      </c>
      <c r="B697" s="4" t="s">
        <v>39</v>
      </c>
      <c r="C697" s="4" t="s">
        <v>40</v>
      </c>
      <c r="D697" s="5">
        <v>6421.63</v>
      </c>
      <c r="E697" s="6">
        <v>2</v>
      </c>
      <c r="F697" s="5">
        <v>12843.26</v>
      </c>
      <c r="G697" s="1">
        <v>45356</v>
      </c>
      <c r="H697" t="s">
        <v>80</v>
      </c>
      <c r="I697">
        <v>1.5</v>
      </c>
      <c r="J697" t="s">
        <v>56</v>
      </c>
      <c r="K697">
        <v>2024</v>
      </c>
      <c r="L697">
        <v>2568.652</v>
      </c>
      <c r="M697">
        <v>23</v>
      </c>
      <c r="N697" t="s">
        <v>41</v>
      </c>
      <c r="O697" t="s">
        <v>21</v>
      </c>
      <c r="P697">
        <f>FlipkartSales[[#This Row],[Price (INR)]]*FlipkartSales[[#This Row],[Quantity Sold]]</f>
        <v>12843.26</v>
      </c>
      <c r="Q697">
        <f>FlipkartSales[[#This Row],[Total Sales (INR)]]-FlipkartSales[[#This Row],[Calculated Sales]]</f>
        <v>0</v>
      </c>
      <c r="R697" s="9">
        <f t="shared" si="80"/>
        <v>0.2</v>
      </c>
      <c r="S697">
        <f t="shared" si="81"/>
        <v>6421.63</v>
      </c>
      <c r="T697">
        <f t="shared" si="82"/>
        <v>1284.326</v>
      </c>
      <c r="U697">
        <f t="shared" si="83"/>
        <v>3</v>
      </c>
      <c r="V697" t="str">
        <f t="shared" si="84"/>
        <v>Q1</v>
      </c>
      <c r="W697" t="str">
        <f t="shared" si="85"/>
        <v>Mar-2024</v>
      </c>
      <c r="X697">
        <f t="shared" si="86"/>
        <v>2953.9497999999999</v>
      </c>
      <c r="Y697" s="5">
        <f t="shared" si="87"/>
        <v>9889.3101999999999</v>
      </c>
      <c r="Z697" s="21">
        <f>DATE(K697,MATCH(J697,{"January","February","March","April","May","June","July","August","September","October","November","December"},0),1)</f>
        <v>45352</v>
      </c>
    </row>
    <row r="698" spans="1:26" x14ac:dyDescent="0.3">
      <c r="A698" s="4" t="s">
        <v>766</v>
      </c>
      <c r="B698" s="4" t="s">
        <v>125</v>
      </c>
      <c r="C698" s="4" t="s">
        <v>17</v>
      </c>
      <c r="D698" s="5">
        <v>4617.2</v>
      </c>
      <c r="E698" s="6">
        <v>4</v>
      </c>
      <c r="F698" s="5">
        <v>18468.8</v>
      </c>
      <c r="G698" s="1">
        <v>45370</v>
      </c>
      <c r="H698" t="s">
        <v>25</v>
      </c>
      <c r="I698">
        <v>3.8</v>
      </c>
      <c r="J698" t="s">
        <v>56</v>
      </c>
      <c r="K698">
        <v>2024</v>
      </c>
      <c r="L698">
        <v>3693.76</v>
      </c>
      <c r="M698">
        <v>12</v>
      </c>
      <c r="N698" t="s">
        <v>20</v>
      </c>
      <c r="O698" t="s">
        <v>21</v>
      </c>
      <c r="P698">
        <f>FlipkartSales[[#This Row],[Price (INR)]]*FlipkartSales[[#This Row],[Quantity Sold]]</f>
        <v>18468.8</v>
      </c>
      <c r="Q698">
        <f>FlipkartSales[[#This Row],[Total Sales (INR)]]-FlipkartSales[[#This Row],[Calculated Sales]]</f>
        <v>0</v>
      </c>
      <c r="R698" s="9">
        <f t="shared" si="80"/>
        <v>0.2</v>
      </c>
      <c r="S698">
        <f t="shared" si="81"/>
        <v>4617.2</v>
      </c>
      <c r="T698">
        <f t="shared" si="82"/>
        <v>923.44</v>
      </c>
      <c r="U698">
        <f t="shared" si="83"/>
        <v>3</v>
      </c>
      <c r="V698" t="str">
        <f t="shared" si="84"/>
        <v>Q1</v>
      </c>
      <c r="W698" t="str">
        <f t="shared" si="85"/>
        <v>Mar-2024</v>
      </c>
      <c r="X698">
        <f t="shared" si="86"/>
        <v>2216.2559999999999</v>
      </c>
      <c r="Y698" s="5">
        <f t="shared" si="87"/>
        <v>16252.544</v>
      </c>
      <c r="Z698" s="21">
        <f>DATE(K698,MATCH(J698,{"January","February","March","April","May","June","July","August","September","October","November","December"},0),1)</f>
        <v>45352</v>
      </c>
    </row>
    <row r="699" spans="1:26" x14ac:dyDescent="0.3">
      <c r="A699" s="4" t="s">
        <v>767</v>
      </c>
      <c r="B699" s="4" t="s">
        <v>78</v>
      </c>
      <c r="C699" s="4" t="s">
        <v>24</v>
      </c>
      <c r="D699" s="5">
        <v>6022.31</v>
      </c>
      <c r="E699" s="6">
        <v>5</v>
      </c>
      <c r="F699" s="5">
        <v>30111.55</v>
      </c>
      <c r="G699" s="1">
        <v>45513</v>
      </c>
      <c r="H699" t="s">
        <v>71</v>
      </c>
      <c r="I699">
        <v>3.5</v>
      </c>
      <c r="J699" t="s">
        <v>88</v>
      </c>
      <c r="K699">
        <v>2024</v>
      </c>
      <c r="L699">
        <v>6022.31</v>
      </c>
      <c r="M699">
        <v>20</v>
      </c>
      <c r="N699" t="s">
        <v>27</v>
      </c>
      <c r="O699" t="s">
        <v>21</v>
      </c>
      <c r="P699">
        <f>FlipkartSales[[#This Row],[Price (INR)]]*FlipkartSales[[#This Row],[Quantity Sold]]</f>
        <v>30111.550000000003</v>
      </c>
      <c r="Q699">
        <f>FlipkartSales[[#This Row],[Total Sales (INR)]]-FlipkartSales[[#This Row],[Calculated Sales]]</f>
        <v>0</v>
      </c>
      <c r="R699" s="9">
        <f t="shared" si="80"/>
        <v>0.2</v>
      </c>
      <c r="S699">
        <f t="shared" si="81"/>
        <v>6022.3099999999995</v>
      </c>
      <c r="T699">
        <f t="shared" si="82"/>
        <v>1204.462</v>
      </c>
      <c r="U699">
        <f t="shared" si="83"/>
        <v>8</v>
      </c>
      <c r="V699" t="str">
        <f t="shared" si="84"/>
        <v>Q3</v>
      </c>
      <c r="W699" t="str">
        <f t="shared" si="85"/>
        <v>Aug-2024</v>
      </c>
      <c r="X699">
        <f t="shared" si="86"/>
        <v>6022.31</v>
      </c>
      <c r="Y699" s="5">
        <f t="shared" si="87"/>
        <v>24089.239999999998</v>
      </c>
      <c r="Z699" s="21">
        <f>DATE(K699,MATCH(J699,{"January","February","March","April","May","June","July","August","September","October","November","December"},0),1)</f>
        <v>45505</v>
      </c>
    </row>
    <row r="700" spans="1:26" x14ac:dyDescent="0.3">
      <c r="A700" s="4" t="s">
        <v>768</v>
      </c>
      <c r="B700" s="4" t="s">
        <v>30</v>
      </c>
      <c r="C700" s="4" t="s">
        <v>31</v>
      </c>
      <c r="D700" s="5">
        <v>38968.519999999997</v>
      </c>
      <c r="E700" s="6">
        <v>4</v>
      </c>
      <c r="F700" s="5">
        <v>155874.07999999999</v>
      </c>
      <c r="G700" s="1">
        <v>45600</v>
      </c>
      <c r="H700" t="s">
        <v>80</v>
      </c>
      <c r="I700">
        <v>3.9</v>
      </c>
      <c r="J700" t="s">
        <v>37</v>
      </c>
      <c r="K700">
        <v>2024</v>
      </c>
      <c r="L700">
        <v>31174.815999999999</v>
      </c>
      <c r="M700">
        <v>17</v>
      </c>
      <c r="N700" t="s">
        <v>41</v>
      </c>
      <c r="O700" t="s">
        <v>21</v>
      </c>
      <c r="P700">
        <f>FlipkartSales[[#This Row],[Price (INR)]]*FlipkartSales[[#This Row],[Quantity Sold]]</f>
        <v>155874.07999999999</v>
      </c>
      <c r="Q700">
        <f>FlipkartSales[[#This Row],[Total Sales (INR)]]-FlipkartSales[[#This Row],[Calculated Sales]]</f>
        <v>0</v>
      </c>
      <c r="R700" s="9">
        <f t="shared" si="80"/>
        <v>0.2</v>
      </c>
      <c r="S700">
        <f t="shared" si="81"/>
        <v>38968.519999999997</v>
      </c>
      <c r="T700">
        <f t="shared" si="82"/>
        <v>7793.7039999999997</v>
      </c>
      <c r="U700">
        <f t="shared" si="83"/>
        <v>11</v>
      </c>
      <c r="V700" t="str">
        <f t="shared" si="84"/>
        <v>Q4</v>
      </c>
      <c r="W700" t="str">
        <f t="shared" si="85"/>
        <v>Nov-2024</v>
      </c>
      <c r="X700">
        <f t="shared" si="86"/>
        <v>26498.5936</v>
      </c>
      <c r="Y700" s="5">
        <f t="shared" si="87"/>
        <v>129375.48639999999</v>
      </c>
      <c r="Z700" s="21">
        <f>DATE(K700,MATCH(J700,{"January","February","March","April","May","June","July","August","September","October","November","December"},0),1)</f>
        <v>45597</v>
      </c>
    </row>
    <row r="701" spans="1:26" x14ac:dyDescent="0.3">
      <c r="A701" s="4" t="s">
        <v>769</v>
      </c>
      <c r="B701" s="4" t="s">
        <v>96</v>
      </c>
      <c r="C701" s="4" t="s">
        <v>36</v>
      </c>
      <c r="D701" s="5">
        <v>20435.34</v>
      </c>
      <c r="E701" s="6">
        <v>5</v>
      </c>
      <c r="F701" s="5">
        <v>102176.7</v>
      </c>
      <c r="G701" s="1">
        <v>45582</v>
      </c>
      <c r="H701" t="s">
        <v>71</v>
      </c>
      <c r="I701">
        <v>3.8</v>
      </c>
      <c r="J701" t="s">
        <v>45</v>
      </c>
      <c r="K701">
        <v>2024</v>
      </c>
      <c r="L701">
        <v>20435.34</v>
      </c>
      <c r="M701">
        <v>5</v>
      </c>
      <c r="N701" t="s">
        <v>41</v>
      </c>
      <c r="O701" t="s">
        <v>68</v>
      </c>
      <c r="P701">
        <f>FlipkartSales[[#This Row],[Price (INR)]]*FlipkartSales[[#This Row],[Quantity Sold]]</f>
        <v>102176.7</v>
      </c>
      <c r="Q701">
        <f>FlipkartSales[[#This Row],[Total Sales (INR)]]-FlipkartSales[[#This Row],[Calculated Sales]]</f>
        <v>0</v>
      </c>
      <c r="R701" s="9">
        <f t="shared" si="80"/>
        <v>0.2</v>
      </c>
      <c r="S701">
        <f t="shared" si="81"/>
        <v>20435.34</v>
      </c>
      <c r="T701">
        <f t="shared" si="82"/>
        <v>4087.0680000000002</v>
      </c>
      <c r="U701">
        <f t="shared" si="83"/>
        <v>10</v>
      </c>
      <c r="V701" t="str">
        <f t="shared" si="84"/>
        <v>Q4</v>
      </c>
      <c r="W701" t="str">
        <f t="shared" si="85"/>
        <v>Oct-2024</v>
      </c>
      <c r="X701">
        <f t="shared" si="86"/>
        <v>5108.835</v>
      </c>
      <c r="Y701" s="5">
        <f t="shared" si="87"/>
        <v>97067.864999999991</v>
      </c>
      <c r="Z701" s="21">
        <f>DATE(K701,MATCH(J701,{"January","February","March","April","May","June","July","August","September","October","November","December"},0),1)</f>
        <v>45566</v>
      </c>
    </row>
    <row r="702" spans="1:26" x14ac:dyDescent="0.3">
      <c r="A702" s="4" t="s">
        <v>770</v>
      </c>
      <c r="B702" s="4" t="s">
        <v>55</v>
      </c>
      <c r="C702" s="4" t="s">
        <v>36</v>
      </c>
      <c r="D702" s="5">
        <v>25115.71</v>
      </c>
      <c r="E702" s="6">
        <v>2</v>
      </c>
      <c r="F702" s="5">
        <v>50231.42</v>
      </c>
      <c r="G702" s="1">
        <v>45522</v>
      </c>
      <c r="H702" t="s">
        <v>44</v>
      </c>
      <c r="I702">
        <v>2.5</v>
      </c>
      <c r="J702" t="s">
        <v>88</v>
      </c>
      <c r="K702">
        <v>2024</v>
      </c>
      <c r="L702">
        <v>10046.284</v>
      </c>
      <c r="M702">
        <v>26</v>
      </c>
      <c r="N702" t="s">
        <v>41</v>
      </c>
      <c r="O702" t="s">
        <v>21</v>
      </c>
      <c r="P702">
        <f>FlipkartSales[[#This Row],[Price (INR)]]*FlipkartSales[[#This Row],[Quantity Sold]]</f>
        <v>50231.42</v>
      </c>
      <c r="Q702">
        <f>FlipkartSales[[#This Row],[Total Sales (INR)]]-FlipkartSales[[#This Row],[Calculated Sales]]</f>
        <v>0</v>
      </c>
      <c r="R702" s="9">
        <f t="shared" si="80"/>
        <v>0.2</v>
      </c>
      <c r="S702">
        <f t="shared" si="81"/>
        <v>25115.71</v>
      </c>
      <c r="T702">
        <f t="shared" si="82"/>
        <v>5023.1419999999998</v>
      </c>
      <c r="U702">
        <f t="shared" si="83"/>
        <v>8</v>
      </c>
      <c r="V702" t="str">
        <f t="shared" si="84"/>
        <v>Q3</v>
      </c>
      <c r="W702" t="str">
        <f t="shared" si="85"/>
        <v>Aug-2024</v>
      </c>
      <c r="X702">
        <f t="shared" si="86"/>
        <v>13060.169199999998</v>
      </c>
      <c r="Y702" s="5">
        <f t="shared" si="87"/>
        <v>37171.250800000002</v>
      </c>
      <c r="Z702" s="21">
        <f>DATE(K702,MATCH(J702,{"January","February","March","April","May","June","July","August","September","October","November","December"},0),1)</f>
        <v>45505</v>
      </c>
    </row>
    <row r="703" spans="1:26" x14ac:dyDescent="0.3">
      <c r="A703" s="4" t="s">
        <v>771</v>
      </c>
      <c r="B703" s="4" t="s">
        <v>107</v>
      </c>
      <c r="C703" s="4" t="s">
        <v>36</v>
      </c>
      <c r="D703" s="5">
        <v>36115.480000000003</v>
      </c>
      <c r="E703" s="6">
        <v>1</v>
      </c>
      <c r="F703" s="5">
        <v>36115.480000000003</v>
      </c>
      <c r="G703" s="1">
        <v>45395</v>
      </c>
      <c r="H703" t="s">
        <v>25</v>
      </c>
      <c r="I703">
        <v>3</v>
      </c>
      <c r="J703" t="s">
        <v>62</v>
      </c>
      <c r="K703">
        <v>2024</v>
      </c>
      <c r="L703">
        <v>7223.0960000000014</v>
      </c>
      <c r="M703">
        <v>24</v>
      </c>
      <c r="N703" t="s">
        <v>20</v>
      </c>
      <c r="O703" t="s">
        <v>33</v>
      </c>
      <c r="P703">
        <f>FlipkartSales[[#This Row],[Price (INR)]]*FlipkartSales[[#This Row],[Quantity Sold]]</f>
        <v>36115.480000000003</v>
      </c>
      <c r="Q703">
        <f>FlipkartSales[[#This Row],[Total Sales (INR)]]-FlipkartSales[[#This Row],[Calculated Sales]]</f>
        <v>0</v>
      </c>
      <c r="R703" s="9">
        <f t="shared" si="80"/>
        <v>0.2</v>
      </c>
      <c r="S703">
        <f t="shared" si="81"/>
        <v>36115.480000000003</v>
      </c>
      <c r="T703">
        <f t="shared" si="82"/>
        <v>7223.0960000000014</v>
      </c>
      <c r="U703">
        <f t="shared" si="83"/>
        <v>4</v>
      </c>
      <c r="V703" t="str">
        <f t="shared" si="84"/>
        <v>Q2</v>
      </c>
      <c r="W703" t="str">
        <f t="shared" si="85"/>
        <v>Apr-2024</v>
      </c>
      <c r="X703">
        <f t="shared" si="86"/>
        <v>8667.7152000000006</v>
      </c>
      <c r="Y703" s="5">
        <f t="shared" si="87"/>
        <v>27447.764800000004</v>
      </c>
      <c r="Z703" s="21">
        <f>DATE(K703,MATCH(J703,{"January","February","March","April","May","June","July","August","September","October","November","December"},0),1)</f>
        <v>45383</v>
      </c>
    </row>
    <row r="704" spans="1:26" x14ac:dyDescent="0.3">
      <c r="A704" s="4" t="s">
        <v>772</v>
      </c>
      <c r="B704" s="4" t="s">
        <v>50</v>
      </c>
      <c r="C704" s="4" t="s">
        <v>40</v>
      </c>
      <c r="D704" s="5">
        <v>13372.74</v>
      </c>
      <c r="E704" s="6">
        <v>2</v>
      </c>
      <c r="F704" s="5">
        <v>26745.48</v>
      </c>
      <c r="G704" s="1">
        <v>45543</v>
      </c>
      <c r="H704" t="s">
        <v>44</v>
      </c>
      <c r="I704">
        <v>1.7</v>
      </c>
      <c r="J704" t="s">
        <v>19</v>
      </c>
      <c r="K704">
        <v>2024</v>
      </c>
      <c r="L704">
        <v>5349.0960000000005</v>
      </c>
      <c r="M704">
        <v>21</v>
      </c>
      <c r="N704" t="s">
        <v>27</v>
      </c>
      <c r="O704" t="s">
        <v>28</v>
      </c>
      <c r="P704">
        <f>FlipkartSales[[#This Row],[Price (INR)]]*FlipkartSales[[#This Row],[Quantity Sold]]</f>
        <v>26745.48</v>
      </c>
      <c r="Q704">
        <f>FlipkartSales[[#This Row],[Total Sales (INR)]]-FlipkartSales[[#This Row],[Calculated Sales]]</f>
        <v>0</v>
      </c>
      <c r="R704" s="9">
        <f t="shared" si="80"/>
        <v>0.2</v>
      </c>
      <c r="S704">
        <f t="shared" si="81"/>
        <v>13372.74</v>
      </c>
      <c r="T704">
        <f t="shared" si="82"/>
        <v>2674.5480000000002</v>
      </c>
      <c r="U704">
        <f t="shared" si="83"/>
        <v>9</v>
      </c>
      <c r="V704" t="str">
        <f t="shared" si="84"/>
        <v>Q3</v>
      </c>
      <c r="W704" t="str">
        <f t="shared" si="85"/>
        <v>Sep-2024</v>
      </c>
      <c r="X704">
        <f t="shared" si="86"/>
        <v>5616.5508</v>
      </c>
      <c r="Y704" s="5">
        <f t="shared" si="87"/>
        <v>21128.929199999999</v>
      </c>
      <c r="Z704" s="21">
        <f>DATE(K704,MATCH(J704,{"January","February","March","April","May","June","July","August","September","October","November","December"},0),1)</f>
        <v>45536</v>
      </c>
    </row>
    <row r="705" spans="1:26" x14ac:dyDescent="0.3">
      <c r="A705" s="4" t="s">
        <v>773</v>
      </c>
      <c r="B705" s="4" t="s">
        <v>16</v>
      </c>
      <c r="C705" s="4" t="s">
        <v>17</v>
      </c>
      <c r="D705" s="5">
        <v>32472.59</v>
      </c>
      <c r="E705" s="6">
        <v>1</v>
      </c>
      <c r="F705" s="5">
        <v>32472.59</v>
      </c>
      <c r="G705" s="1">
        <v>45378</v>
      </c>
      <c r="H705" t="s">
        <v>44</v>
      </c>
      <c r="I705">
        <v>1</v>
      </c>
      <c r="J705" t="s">
        <v>56</v>
      </c>
      <c r="K705">
        <v>2024</v>
      </c>
      <c r="L705">
        <v>6494.518</v>
      </c>
      <c r="M705">
        <v>11</v>
      </c>
      <c r="N705" t="s">
        <v>20</v>
      </c>
      <c r="O705" t="s">
        <v>68</v>
      </c>
      <c r="P705">
        <f>FlipkartSales[[#This Row],[Price (INR)]]*FlipkartSales[[#This Row],[Quantity Sold]]</f>
        <v>32472.59</v>
      </c>
      <c r="Q705">
        <f>FlipkartSales[[#This Row],[Total Sales (INR)]]-FlipkartSales[[#This Row],[Calculated Sales]]</f>
        <v>0</v>
      </c>
      <c r="R705" s="9">
        <f t="shared" si="80"/>
        <v>0.2</v>
      </c>
      <c r="S705">
        <f t="shared" si="81"/>
        <v>32472.59</v>
      </c>
      <c r="T705">
        <f t="shared" si="82"/>
        <v>6494.518</v>
      </c>
      <c r="U705">
        <f t="shared" si="83"/>
        <v>3</v>
      </c>
      <c r="V705" t="str">
        <f t="shared" si="84"/>
        <v>Q1</v>
      </c>
      <c r="W705" t="str">
        <f t="shared" si="85"/>
        <v>Mar-2024</v>
      </c>
      <c r="X705">
        <f t="shared" si="86"/>
        <v>3571.9848999999999</v>
      </c>
      <c r="Y705" s="5">
        <f t="shared" si="87"/>
        <v>28900.605100000001</v>
      </c>
      <c r="Z705" s="21">
        <f>DATE(K705,MATCH(J705,{"January","February","March","April","May","June","July","August","September","October","November","December"},0),1)</f>
        <v>45352</v>
      </c>
    </row>
    <row r="706" spans="1:26" x14ac:dyDescent="0.3">
      <c r="A706" s="4" t="s">
        <v>774</v>
      </c>
      <c r="B706" s="4" t="s">
        <v>118</v>
      </c>
      <c r="C706" s="4" t="s">
        <v>17</v>
      </c>
      <c r="D706" s="5">
        <v>12097.46</v>
      </c>
      <c r="E706" s="6">
        <v>5</v>
      </c>
      <c r="F706" s="5">
        <v>60487.3</v>
      </c>
      <c r="G706" s="1">
        <v>45433</v>
      </c>
      <c r="H706" t="s">
        <v>64</v>
      </c>
      <c r="I706">
        <v>4.2</v>
      </c>
      <c r="J706" t="s">
        <v>32</v>
      </c>
      <c r="K706">
        <v>2024</v>
      </c>
      <c r="L706">
        <v>12097.460000000001</v>
      </c>
      <c r="M706">
        <v>29</v>
      </c>
      <c r="N706" t="s">
        <v>20</v>
      </c>
      <c r="O706" t="s">
        <v>21</v>
      </c>
      <c r="P706">
        <f>FlipkartSales[[#This Row],[Price (INR)]]*FlipkartSales[[#This Row],[Quantity Sold]]</f>
        <v>60487.299999999996</v>
      </c>
      <c r="Q706">
        <f>FlipkartSales[[#This Row],[Total Sales (INR)]]-FlipkartSales[[#This Row],[Calculated Sales]]</f>
        <v>0</v>
      </c>
      <c r="R706" s="9">
        <f t="shared" ref="R706:R769" si="88">L706/F706</f>
        <v>0.2</v>
      </c>
      <c r="S706">
        <f t="shared" ref="S706:S769" si="89">F706/E706</f>
        <v>12097.460000000001</v>
      </c>
      <c r="T706">
        <f t="shared" ref="T706:T769" si="90">L706/E706</f>
        <v>2419.4920000000002</v>
      </c>
      <c r="U706">
        <f t="shared" ref="U706:U769" si="91">MONTH(G706)</f>
        <v>5</v>
      </c>
      <c r="V706" t="str">
        <f t="shared" ref="V706:V769" si="92">"Q"&amp;ROUNDUP(MONTH(G706)/3,0)</f>
        <v>Q2</v>
      </c>
      <c r="W706" t="str">
        <f t="shared" ref="W706:W769" si="93">TEXT(G706,"mmm-yyyy")</f>
        <v>May-2024</v>
      </c>
      <c r="X706">
        <f t="shared" ref="X706:X769" si="94">F706*M706/100</f>
        <v>17541.317000000003</v>
      </c>
      <c r="Y706" s="5">
        <f t="shared" ref="Y706:Y769" si="95">F706-X706</f>
        <v>42945.983</v>
      </c>
      <c r="Z706" s="21">
        <f>DATE(K706,MATCH(J706,{"January","February","March","April","May","June","July","August","September","October","November","December"},0),1)</f>
        <v>45413</v>
      </c>
    </row>
    <row r="707" spans="1:26" x14ac:dyDescent="0.3">
      <c r="A707" s="4" t="s">
        <v>775</v>
      </c>
      <c r="B707" s="4" t="s">
        <v>74</v>
      </c>
      <c r="C707" s="4" t="s">
        <v>17</v>
      </c>
      <c r="D707" s="5">
        <v>34446.42</v>
      </c>
      <c r="E707" s="6">
        <v>3</v>
      </c>
      <c r="F707" s="5">
        <v>103339.26</v>
      </c>
      <c r="G707" s="1">
        <v>45349</v>
      </c>
      <c r="H707" t="s">
        <v>25</v>
      </c>
      <c r="I707">
        <v>2.4</v>
      </c>
      <c r="J707" t="s">
        <v>59</v>
      </c>
      <c r="K707">
        <v>2024</v>
      </c>
      <c r="L707">
        <v>20667.851999999999</v>
      </c>
      <c r="M707">
        <v>17</v>
      </c>
      <c r="N707" t="s">
        <v>27</v>
      </c>
      <c r="O707" t="s">
        <v>68</v>
      </c>
      <c r="P707">
        <f>FlipkartSales[[#This Row],[Price (INR)]]*FlipkartSales[[#This Row],[Quantity Sold]]</f>
        <v>103339.26</v>
      </c>
      <c r="Q707">
        <f>FlipkartSales[[#This Row],[Total Sales (INR)]]-FlipkartSales[[#This Row],[Calculated Sales]]</f>
        <v>0</v>
      </c>
      <c r="R707" s="9">
        <f t="shared" si="88"/>
        <v>0.2</v>
      </c>
      <c r="S707">
        <f t="shared" si="89"/>
        <v>34446.42</v>
      </c>
      <c r="T707">
        <f t="shared" si="90"/>
        <v>6889.2839999999997</v>
      </c>
      <c r="U707">
        <f t="shared" si="91"/>
        <v>2</v>
      </c>
      <c r="V707" t="str">
        <f t="shared" si="92"/>
        <v>Q1</v>
      </c>
      <c r="W707" t="str">
        <f t="shared" si="93"/>
        <v>Feb-2024</v>
      </c>
      <c r="X707">
        <f t="shared" si="94"/>
        <v>17567.674199999998</v>
      </c>
      <c r="Y707" s="5">
        <f t="shared" si="95"/>
        <v>85771.585800000001</v>
      </c>
      <c r="Z707" s="21">
        <f>DATE(K707,MATCH(J707,{"January","February","March","April","May","June","July","August","September","October","November","December"},0),1)</f>
        <v>45323</v>
      </c>
    </row>
    <row r="708" spans="1:26" x14ac:dyDescent="0.3">
      <c r="A708" s="4" t="s">
        <v>776</v>
      </c>
      <c r="B708" s="4" t="s">
        <v>16</v>
      </c>
      <c r="C708" s="4" t="s">
        <v>17</v>
      </c>
      <c r="D708" s="5">
        <v>13420.4</v>
      </c>
      <c r="E708" s="6">
        <v>4</v>
      </c>
      <c r="F708" s="5">
        <v>53681.599999999999</v>
      </c>
      <c r="G708" s="1">
        <v>45652</v>
      </c>
      <c r="H708" t="s">
        <v>64</v>
      </c>
      <c r="I708">
        <v>4.7</v>
      </c>
      <c r="J708" t="s">
        <v>26</v>
      </c>
      <c r="K708">
        <v>2024</v>
      </c>
      <c r="L708">
        <v>10736.32</v>
      </c>
      <c r="M708">
        <v>8</v>
      </c>
      <c r="N708" t="s">
        <v>20</v>
      </c>
      <c r="O708" t="s">
        <v>21</v>
      </c>
      <c r="P708">
        <f>FlipkartSales[[#This Row],[Price (INR)]]*FlipkartSales[[#This Row],[Quantity Sold]]</f>
        <v>53681.599999999999</v>
      </c>
      <c r="Q708">
        <f>FlipkartSales[[#This Row],[Total Sales (INR)]]-FlipkartSales[[#This Row],[Calculated Sales]]</f>
        <v>0</v>
      </c>
      <c r="R708" s="9">
        <f t="shared" si="88"/>
        <v>0.2</v>
      </c>
      <c r="S708">
        <f t="shared" si="89"/>
        <v>13420.4</v>
      </c>
      <c r="T708">
        <f t="shared" si="90"/>
        <v>2684.08</v>
      </c>
      <c r="U708">
        <f t="shared" si="91"/>
        <v>12</v>
      </c>
      <c r="V708" t="str">
        <f t="shared" si="92"/>
        <v>Q4</v>
      </c>
      <c r="W708" t="str">
        <f t="shared" si="93"/>
        <v>Dec-2024</v>
      </c>
      <c r="X708">
        <f t="shared" si="94"/>
        <v>4294.5280000000002</v>
      </c>
      <c r="Y708" s="5">
        <f t="shared" si="95"/>
        <v>49387.072</v>
      </c>
      <c r="Z708" s="21">
        <f>DATE(K708,MATCH(J708,{"January","February","March","April","May","June","July","August","September","October","November","December"},0),1)</f>
        <v>45627</v>
      </c>
    </row>
    <row r="709" spans="1:26" x14ac:dyDescent="0.3">
      <c r="A709" s="4" t="s">
        <v>777</v>
      </c>
      <c r="B709" s="4" t="s">
        <v>70</v>
      </c>
      <c r="C709" s="4" t="s">
        <v>17</v>
      </c>
      <c r="D709" s="5">
        <v>20686.939999999999</v>
      </c>
      <c r="E709" s="6">
        <v>3</v>
      </c>
      <c r="F709" s="5">
        <v>62060.82</v>
      </c>
      <c r="G709" s="1">
        <v>45652</v>
      </c>
      <c r="H709" t="s">
        <v>44</v>
      </c>
      <c r="I709">
        <v>4.0999999999999996</v>
      </c>
      <c r="J709" t="s">
        <v>26</v>
      </c>
      <c r="K709">
        <v>2024</v>
      </c>
      <c r="L709">
        <v>12412.164000000001</v>
      </c>
      <c r="M709">
        <v>8</v>
      </c>
      <c r="N709" t="s">
        <v>27</v>
      </c>
      <c r="O709" t="s">
        <v>33</v>
      </c>
      <c r="P709">
        <f>FlipkartSales[[#This Row],[Price (INR)]]*FlipkartSales[[#This Row],[Quantity Sold]]</f>
        <v>62060.819999999992</v>
      </c>
      <c r="Q709">
        <f>FlipkartSales[[#This Row],[Total Sales (INR)]]-FlipkartSales[[#This Row],[Calculated Sales]]</f>
        <v>0</v>
      </c>
      <c r="R709" s="9">
        <f t="shared" si="88"/>
        <v>0.2</v>
      </c>
      <c r="S709">
        <f t="shared" si="89"/>
        <v>20686.939999999999</v>
      </c>
      <c r="T709">
        <f t="shared" si="90"/>
        <v>4137.3879999999999</v>
      </c>
      <c r="U709">
        <f t="shared" si="91"/>
        <v>12</v>
      </c>
      <c r="V709" t="str">
        <f t="shared" si="92"/>
        <v>Q4</v>
      </c>
      <c r="W709" t="str">
        <f t="shared" si="93"/>
        <v>Dec-2024</v>
      </c>
      <c r="X709">
        <f t="shared" si="94"/>
        <v>4964.8656000000001</v>
      </c>
      <c r="Y709" s="5">
        <f t="shared" si="95"/>
        <v>57095.954400000002</v>
      </c>
      <c r="Z709" s="21">
        <f>DATE(K709,MATCH(J709,{"January","February","March","April","May","June","July","August","September","October","November","December"},0),1)</f>
        <v>45627</v>
      </c>
    </row>
    <row r="710" spans="1:26" x14ac:dyDescent="0.3">
      <c r="A710" s="4" t="s">
        <v>778</v>
      </c>
      <c r="B710" s="4" t="s">
        <v>107</v>
      </c>
      <c r="C710" s="4" t="s">
        <v>36</v>
      </c>
      <c r="D710" s="5">
        <v>29418.33</v>
      </c>
      <c r="E710" s="6">
        <v>2</v>
      </c>
      <c r="F710" s="5">
        <v>58836.66</v>
      </c>
      <c r="G710" s="1">
        <v>45503</v>
      </c>
      <c r="H710" t="s">
        <v>64</v>
      </c>
      <c r="I710">
        <v>3.3</v>
      </c>
      <c r="J710" t="s">
        <v>48</v>
      </c>
      <c r="K710">
        <v>2024</v>
      </c>
      <c r="L710">
        <v>11767.332000000002</v>
      </c>
      <c r="M710">
        <v>10</v>
      </c>
      <c r="N710" t="s">
        <v>41</v>
      </c>
      <c r="O710" t="s">
        <v>28</v>
      </c>
      <c r="P710">
        <f>FlipkartSales[[#This Row],[Price (INR)]]*FlipkartSales[[#This Row],[Quantity Sold]]</f>
        <v>58836.66</v>
      </c>
      <c r="Q710">
        <f>FlipkartSales[[#This Row],[Total Sales (INR)]]-FlipkartSales[[#This Row],[Calculated Sales]]</f>
        <v>0</v>
      </c>
      <c r="R710" s="9">
        <f t="shared" si="88"/>
        <v>0.2</v>
      </c>
      <c r="S710">
        <f t="shared" si="89"/>
        <v>29418.33</v>
      </c>
      <c r="T710">
        <f t="shared" si="90"/>
        <v>5883.6660000000011</v>
      </c>
      <c r="U710">
        <f t="shared" si="91"/>
        <v>7</v>
      </c>
      <c r="V710" t="str">
        <f t="shared" si="92"/>
        <v>Q3</v>
      </c>
      <c r="W710" t="str">
        <f t="shared" si="93"/>
        <v>Jul-2024</v>
      </c>
      <c r="X710">
        <f t="shared" si="94"/>
        <v>5883.6660000000011</v>
      </c>
      <c r="Y710" s="5">
        <f t="shared" si="95"/>
        <v>52952.994000000006</v>
      </c>
      <c r="Z710" s="21">
        <f>DATE(K710,MATCH(J710,{"January","February","March","April","May","June","July","August","September","October","November","December"},0),1)</f>
        <v>45474</v>
      </c>
    </row>
    <row r="711" spans="1:26" x14ac:dyDescent="0.3">
      <c r="A711" s="4" t="s">
        <v>779</v>
      </c>
      <c r="B711" s="4" t="s">
        <v>125</v>
      </c>
      <c r="C711" s="4" t="s">
        <v>17</v>
      </c>
      <c r="D711" s="5">
        <v>6115.91</v>
      </c>
      <c r="E711" s="6">
        <v>1</v>
      </c>
      <c r="F711" s="5">
        <v>6115.91</v>
      </c>
      <c r="G711" s="1">
        <v>45426</v>
      </c>
      <c r="H711" t="s">
        <v>25</v>
      </c>
      <c r="I711">
        <v>1.5</v>
      </c>
      <c r="J711" t="s">
        <v>32</v>
      </c>
      <c r="K711">
        <v>2024</v>
      </c>
      <c r="L711">
        <v>1223.182</v>
      </c>
      <c r="M711">
        <v>23</v>
      </c>
      <c r="N711" t="s">
        <v>27</v>
      </c>
      <c r="O711" t="s">
        <v>21</v>
      </c>
      <c r="P711">
        <f>FlipkartSales[[#This Row],[Price (INR)]]*FlipkartSales[[#This Row],[Quantity Sold]]</f>
        <v>6115.91</v>
      </c>
      <c r="Q711">
        <f>FlipkartSales[[#This Row],[Total Sales (INR)]]-FlipkartSales[[#This Row],[Calculated Sales]]</f>
        <v>0</v>
      </c>
      <c r="R711" s="9">
        <f t="shared" si="88"/>
        <v>0.2</v>
      </c>
      <c r="S711">
        <f t="shared" si="89"/>
        <v>6115.91</v>
      </c>
      <c r="T711">
        <f t="shared" si="90"/>
        <v>1223.182</v>
      </c>
      <c r="U711">
        <f t="shared" si="91"/>
        <v>5</v>
      </c>
      <c r="V711" t="str">
        <f t="shared" si="92"/>
        <v>Q2</v>
      </c>
      <c r="W711" t="str">
        <f t="shared" si="93"/>
        <v>May-2024</v>
      </c>
      <c r="X711">
        <f t="shared" si="94"/>
        <v>1406.6593</v>
      </c>
      <c r="Y711" s="5">
        <f t="shared" si="95"/>
        <v>4709.2506999999996</v>
      </c>
      <c r="Z711" s="21">
        <f>DATE(K711,MATCH(J711,{"January","February","March","April","May","June","July","August","September","October","November","December"},0),1)</f>
        <v>45413</v>
      </c>
    </row>
    <row r="712" spans="1:26" x14ac:dyDescent="0.3">
      <c r="A712" s="4" t="s">
        <v>780</v>
      </c>
      <c r="B712" s="4" t="s">
        <v>125</v>
      </c>
      <c r="C712" s="4" t="s">
        <v>17</v>
      </c>
      <c r="D712" s="5">
        <v>33404.120000000003</v>
      </c>
      <c r="E712" s="6">
        <v>3</v>
      </c>
      <c r="F712" s="5">
        <v>100212.36</v>
      </c>
      <c r="G712" s="1">
        <v>45525</v>
      </c>
      <c r="H712" t="s">
        <v>18</v>
      </c>
      <c r="I712">
        <v>2.7</v>
      </c>
      <c r="J712" t="s">
        <v>88</v>
      </c>
      <c r="K712">
        <v>2024</v>
      </c>
      <c r="L712">
        <v>20042.472000000002</v>
      </c>
      <c r="M712">
        <v>16</v>
      </c>
      <c r="N712" t="s">
        <v>41</v>
      </c>
      <c r="O712" t="s">
        <v>21</v>
      </c>
      <c r="P712">
        <f>FlipkartSales[[#This Row],[Price (INR)]]*FlipkartSales[[#This Row],[Quantity Sold]]</f>
        <v>100212.36000000002</v>
      </c>
      <c r="Q712">
        <f>FlipkartSales[[#This Row],[Total Sales (INR)]]-FlipkartSales[[#This Row],[Calculated Sales]]</f>
        <v>0</v>
      </c>
      <c r="R712" s="9">
        <f t="shared" si="88"/>
        <v>0.2</v>
      </c>
      <c r="S712">
        <f t="shared" si="89"/>
        <v>33404.120000000003</v>
      </c>
      <c r="T712">
        <f t="shared" si="90"/>
        <v>6680.8240000000005</v>
      </c>
      <c r="U712">
        <f t="shared" si="91"/>
        <v>8</v>
      </c>
      <c r="V712" t="str">
        <f t="shared" si="92"/>
        <v>Q3</v>
      </c>
      <c r="W712" t="str">
        <f t="shared" si="93"/>
        <v>Aug-2024</v>
      </c>
      <c r="X712">
        <f t="shared" si="94"/>
        <v>16033.9776</v>
      </c>
      <c r="Y712" s="5">
        <f t="shared" si="95"/>
        <v>84178.382400000002</v>
      </c>
      <c r="Z712" s="21">
        <f>DATE(K712,MATCH(J712,{"January","February","March","April","May","June","July","August","September","October","November","December"},0),1)</f>
        <v>45505</v>
      </c>
    </row>
    <row r="713" spans="1:26" x14ac:dyDescent="0.3">
      <c r="A713" s="4" t="s">
        <v>781</v>
      </c>
      <c r="B713" s="4" t="s">
        <v>23</v>
      </c>
      <c r="C713" s="4" t="s">
        <v>24</v>
      </c>
      <c r="D713" s="5">
        <v>40046.19</v>
      </c>
      <c r="E713" s="6">
        <v>2</v>
      </c>
      <c r="F713" s="5">
        <v>80092.38</v>
      </c>
      <c r="G713" s="1">
        <v>45419</v>
      </c>
      <c r="H713" t="s">
        <v>25</v>
      </c>
      <c r="I713">
        <v>1.2</v>
      </c>
      <c r="J713" t="s">
        <v>32</v>
      </c>
      <c r="K713">
        <v>2024</v>
      </c>
      <c r="L713">
        <v>16018.476000000002</v>
      </c>
      <c r="M713">
        <v>26</v>
      </c>
      <c r="N713" t="s">
        <v>20</v>
      </c>
      <c r="O713" t="s">
        <v>21</v>
      </c>
      <c r="P713">
        <f>FlipkartSales[[#This Row],[Price (INR)]]*FlipkartSales[[#This Row],[Quantity Sold]]</f>
        <v>80092.38</v>
      </c>
      <c r="Q713">
        <f>FlipkartSales[[#This Row],[Total Sales (INR)]]-FlipkartSales[[#This Row],[Calculated Sales]]</f>
        <v>0</v>
      </c>
      <c r="R713" s="9">
        <f t="shared" si="88"/>
        <v>0.2</v>
      </c>
      <c r="S713">
        <f t="shared" si="89"/>
        <v>40046.19</v>
      </c>
      <c r="T713">
        <f t="shared" si="90"/>
        <v>8009.2380000000012</v>
      </c>
      <c r="U713">
        <f t="shared" si="91"/>
        <v>5</v>
      </c>
      <c r="V713" t="str">
        <f t="shared" si="92"/>
        <v>Q2</v>
      </c>
      <c r="W713" t="str">
        <f t="shared" si="93"/>
        <v>May-2024</v>
      </c>
      <c r="X713">
        <f t="shared" si="94"/>
        <v>20824.018800000002</v>
      </c>
      <c r="Y713" s="5">
        <f t="shared" si="95"/>
        <v>59268.361199999999</v>
      </c>
      <c r="Z713" s="21">
        <f>DATE(K713,MATCH(J713,{"January","February","March","April","May","June","July","August","September","October","November","December"},0),1)</f>
        <v>45413</v>
      </c>
    </row>
    <row r="714" spans="1:26" x14ac:dyDescent="0.3">
      <c r="A714" s="4" t="s">
        <v>782</v>
      </c>
      <c r="B714" s="4" t="s">
        <v>125</v>
      </c>
      <c r="C714" s="4" t="s">
        <v>17</v>
      </c>
      <c r="D714" s="5">
        <v>22709.95</v>
      </c>
      <c r="E714" s="6">
        <v>2</v>
      </c>
      <c r="F714" s="5">
        <v>45419.9</v>
      </c>
      <c r="G714" s="1">
        <v>45589</v>
      </c>
      <c r="H714" t="s">
        <v>71</v>
      </c>
      <c r="I714">
        <v>4</v>
      </c>
      <c r="J714" t="s">
        <v>45</v>
      </c>
      <c r="K714">
        <v>2024</v>
      </c>
      <c r="L714">
        <v>9083.9800000000014</v>
      </c>
      <c r="M714">
        <v>11</v>
      </c>
      <c r="N714" t="s">
        <v>20</v>
      </c>
      <c r="O714" t="s">
        <v>21</v>
      </c>
      <c r="P714">
        <f>FlipkartSales[[#This Row],[Price (INR)]]*FlipkartSales[[#This Row],[Quantity Sold]]</f>
        <v>45419.9</v>
      </c>
      <c r="Q714">
        <f>FlipkartSales[[#This Row],[Total Sales (INR)]]-FlipkartSales[[#This Row],[Calculated Sales]]</f>
        <v>0</v>
      </c>
      <c r="R714" s="9">
        <f t="shared" si="88"/>
        <v>0.2</v>
      </c>
      <c r="S714">
        <f t="shared" si="89"/>
        <v>22709.95</v>
      </c>
      <c r="T714">
        <f t="shared" si="90"/>
        <v>4541.9900000000007</v>
      </c>
      <c r="U714">
        <f t="shared" si="91"/>
        <v>10</v>
      </c>
      <c r="V714" t="str">
        <f t="shared" si="92"/>
        <v>Q4</v>
      </c>
      <c r="W714" t="str">
        <f t="shared" si="93"/>
        <v>Oct-2024</v>
      </c>
      <c r="X714">
        <f t="shared" si="94"/>
        <v>4996.1890000000003</v>
      </c>
      <c r="Y714" s="5">
        <f t="shared" si="95"/>
        <v>40423.711000000003</v>
      </c>
      <c r="Z714" s="21">
        <f>DATE(K714,MATCH(J714,{"January","February","March","April","May","June","July","August","September","October","November","December"},0),1)</f>
        <v>45566</v>
      </c>
    </row>
    <row r="715" spans="1:26" x14ac:dyDescent="0.3">
      <c r="A715" s="4" t="s">
        <v>783</v>
      </c>
      <c r="B715" s="4" t="s">
        <v>118</v>
      </c>
      <c r="C715" s="4" t="s">
        <v>17</v>
      </c>
      <c r="D715" s="5">
        <v>22315.58</v>
      </c>
      <c r="E715" s="6">
        <v>1</v>
      </c>
      <c r="F715" s="5">
        <v>22315.58</v>
      </c>
      <c r="G715" s="1">
        <v>45543</v>
      </c>
      <c r="H715" t="s">
        <v>25</v>
      </c>
      <c r="I715">
        <v>2.6</v>
      </c>
      <c r="J715" t="s">
        <v>19</v>
      </c>
      <c r="K715">
        <v>2024</v>
      </c>
      <c r="L715">
        <v>4463.1160000000009</v>
      </c>
      <c r="M715">
        <v>14</v>
      </c>
      <c r="N715" t="s">
        <v>41</v>
      </c>
      <c r="O715" t="s">
        <v>28</v>
      </c>
      <c r="P715">
        <f>FlipkartSales[[#This Row],[Price (INR)]]*FlipkartSales[[#This Row],[Quantity Sold]]</f>
        <v>22315.58</v>
      </c>
      <c r="Q715">
        <f>FlipkartSales[[#This Row],[Total Sales (INR)]]-FlipkartSales[[#This Row],[Calculated Sales]]</f>
        <v>0</v>
      </c>
      <c r="R715" s="9">
        <f t="shared" si="88"/>
        <v>0.2</v>
      </c>
      <c r="S715">
        <f t="shared" si="89"/>
        <v>22315.58</v>
      </c>
      <c r="T715">
        <f t="shared" si="90"/>
        <v>4463.1160000000009</v>
      </c>
      <c r="U715">
        <f t="shared" si="91"/>
        <v>9</v>
      </c>
      <c r="V715" t="str">
        <f t="shared" si="92"/>
        <v>Q3</v>
      </c>
      <c r="W715" t="str">
        <f t="shared" si="93"/>
        <v>Sep-2024</v>
      </c>
      <c r="X715">
        <f t="shared" si="94"/>
        <v>3124.1812</v>
      </c>
      <c r="Y715" s="5">
        <f t="shared" si="95"/>
        <v>19191.398800000003</v>
      </c>
      <c r="Z715" s="21">
        <f>DATE(K715,MATCH(J715,{"January","February","March","April","May","June","July","August","September","October","November","December"},0),1)</f>
        <v>45536</v>
      </c>
    </row>
    <row r="716" spans="1:26" x14ac:dyDescent="0.3">
      <c r="A716" s="4" t="s">
        <v>784</v>
      </c>
      <c r="B716" s="4" t="s">
        <v>23</v>
      </c>
      <c r="C716" s="4" t="s">
        <v>24</v>
      </c>
      <c r="D716" s="5">
        <v>47608.93</v>
      </c>
      <c r="E716" s="6">
        <v>1</v>
      </c>
      <c r="F716" s="5">
        <v>47608.93</v>
      </c>
      <c r="G716" s="1">
        <v>45347</v>
      </c>
      <c r="H716" t="s">
        <v>25</v>
      </c>
      <c r="I716">
        <v>4.2</v>
      </c>
      <c r="J716" t="s">
        <v>59</v>
      </c>
      <c r="K716">
        <v>2024</v>
      </c>
      <c r="L716">
        <v>9521.7860000000001</v>
      </c>
      <c r="M716">
        <v>30</v>
      </c>
      <c r="N716" t="s">
        <v>20</v>
      </c>
      <c r="O716" t="s">
        <v>28</v>
      </c>
      <c r="P716">
        <f>FlipkartSales[[#This Row],[Price (INR)]]*FlipkartSales[[#This Row],[Quantity Sold]]</f>
        <v>47608.93</v>
      </c>
      <c r="Q716">
        <f>FlipkartSales[[#This Row],[Total Sales (INR)]]-FlipkartSales[[#This Row],[Calculated Sales]]</f>
        <v>0</v>
      </c>
      <c r="R716" s="9">
        <f t="shared" si="88"/>
        <v>0.2</v>
      </c>
      <c r="S716">
        <f t="shared" si="89"/>
        <v>47608.93</v>
      </c>
      <c r="T716">
        <f t="shared" si="90"/>
        <v>9521.7860000000001</v>
      </c>
      <c r="U716">
        <f t="shared" si="91"/>
        <v>2</v>
      </c>
      <c r="V716" t="str">
        <f t="shared" si="92"/>
        <v>Q1</v>
      </c>
      <c r="W716" t="str">
        <f t="shared" si="93"/>
        <v>Feb-2024</v>
      </c>
      <c r="X716">
        <f t="shared" si="94"/>
        <v>14282.678999999998</v>
      </c>
      <c r="Y716" s="5">
        <f t="shared" si="95"/>
        <v>33326.251000000004</v>
      </c>
      <c r="Z716" s="21">
        <f>DATE(K716,MATCH(J716,{"January","February","March","April","May","June","July","August","September","October","November","December"},0),1)</f>
        <v>45323</v>
      </c>
    </row>
    <row r="717" spans="1:26" x14ac:dyDescent="0.3">
      <c r="A717" s="4" t="s">
        <v>785</v>
      </c>
      <c r="B717" s="4" t="s">
        <v>52</v>
      </c>
      <c r="C717" s="4" t="s">
        <v>24</v>
      </c>
      <c r="D717" s="5">
        <v>19846.64</v>
      </c>
      <c r="E717" s="6">
        <v>1</v>
      </c>
      <c r="F717" s="5">
        <v>19846.64</v>
      </c>
      <c r="G717" s="1">
        <v>45513</v>
      </c>
      <c r="H717" t="s">
        <v>80</v>
      </c>
      <c r="I717">
        <v>3.3</v>
      </c>
      <c r="J717" t="s">
        <v>88</v>
      </c>
      <c r="K717">
        <v>2024</v>
      </c>
      <c r="L717">
        <v>3969.328</v>
      </c>
      <c r="M717">
        <v>23</v>
      </c>
      <c r="N717" t="s">
        <v>27</v>
      </c>
      <c r="O717" t="s">
        <v>33</v>
      </c>
      <c r="P717">
        <f>FlipkartSales[[#This Row],[Price (INR)]]*FlipkartSales[[#This Row],[Quantity Sold]]</f>
        <v>19846.64</v>
      </c>
      <c r="Q717">
        <f>FlipkartSales[[#This Row],[Total Sales (INR)]]-FlipkartSales[[#This Row],[Calculated Sales]]</f>
        <v>0</v>
      </c>
      <c r="R717" s="9">
        <f t="shared" si="88"/>
        <v>0.2</v>
      </c>
      <c r="S717">
        <f t="shared" si="89"/>
        <v>19846.64</v>
      </c>
      <c r="T717">
        <f t="shared" si="90"/>
        <v>3969.328</v>
      </c>
      <c r="U717">
        <f t="shared" si="91"/>
        <v>8</v>
      </c>
      <c r="V717" t="str">
        <f t="shared" si="92"/>
        <v>Q3</v>
      </c>
      <c r="W717" t="str">
        <f t="shared" si="93"/>
        <v>Aug-2024</v>
      </c>
      <c r="X717">
        <f t="shared" si="94"/>
        <v>4564.7271999999994</v>
      </c>
      <c r="Y717" s="5">
        <f t="shared" si="95"/>
        <v>15281.9128</v>
      </c>
      <c r="Z717" s="21">
        <f>DATE(K717,MATCH(J717,{"January","February","March","April","May","June","July","August","September","October","November","December"},0),1)</f>
        <v>45505</v>
      </c>
    </row>
    <row r="718" spans="1:26" x14ac:dyDescent="0.3">
      <c r="A718" s="4" t="s">
        <v>786</v>
      </c>
      <c r="B718" s="4" t="s">
        <v>118</v>
      </c>
      <c r="C718" s="4" t="s">
        <v>17</v>
      </c>
      <c r="D718" s="5">
        <v>5975.89</v>
      </c>
      <c r="E718" s="6">
        <v>3</v>
      </c>
      <c r="F718" s="5">
        <v>17927.669999999998</v>
      </c>
      <c r="G718" s="1">
        <v>45536</v>
      </c>
      <c r="H718" t="s">
        <v>25</v>
      </c>
      <c r="I718">
        <v>4.8</v>
      </c>
      <c r="J718" t="s">
        <v>19</v>
      </c>
      <c r="K718">
        <v>2024</v>
      </c>
      <c r="L718">
        <v>3585.5339999999997</v>
      </c>
      <c r="M718">
        <v>11</v>
      </c>
      <c r="N718" t="s">
        <v>41</v>
      </c>
      <c r="O718" t="s">
        <v>28</v>
      </c>
      <c r="P718">
        <f>FlipkartSales[[#This Row],[Price (INR)]]*FlipkartSales[[#This Row],[Quantity Sold]]</f>
        <v>17927.670000000002</v>
      </c>
      <c r="Q718">
        <f>FlipkartSales[[#This Row],[Total Sales (INR)]]-FlipkartSales[[#This Row],[Calculated Sales]]</f>
        <v>0</v>
      </c>
      <c r="R718" s="9">
        <f t="shared" si="88"/>
        <v>0.2</v>
      </c>
      <c r="S718">
        <f t="shared" si="89"/>
        <v>5975.8899999999994</v>
      </c>
      <c r="T718">
        <f t="shared" si="90"/>
        <v>1195.1779999999999</v>
      </c>
      <c r="U718">
        <f t="shared" si="91"/>
        <v>9</v>
      </c>
      <c r="V718" t="str">
        <f t="shared" si="92"/>
        <v>Q3</v>
      </c>
      <c r="W718" t="str">
        <f t="shared" si="93"/>
        <v>Sep-2024</v>
      </c>
      <c r="X718">
        <f t="shared" si="94"/>
        <v>1972.0436999999999</v>
      </c>
      <c r="Y718" s="5">
        <f t="shared" si="95"/>
        <v>15955.626299999998</v>
      </c>
      <c r="Z718" s="21">
        <f>DATE(K718,MATCH(J718,{"January","February","March","April","May","June","July","August","September","October","November","December"},0),1)</f>
        <v>45536</v>
      </c>
    </row>
    <row r="719" spans="1:26" x14ac:dyDescent="0.3">
      <c r="A719" s="4" t="s">
        <v>787</v>
      </c>
      <c r="B719" s="4" t="s">
        <v>118</v>
      </c>
      <c r="C719" s="4" t="s">
        <v>17</v>
      </c>
      <c r="D719" s="5">
        <v>49409.89</v>
      </c>
      <c r="E719" s="6">
        <v>4</v>
      </c>
      <c r="F719" s="5">
        <v>197639.56</v>
      </c>
      <c r="G719" s="1">
        <v>45561</v>
      </c>
      <c r="H719" t="s">
        <v>80</v>
      </c>
      <c r="I719">
        <v>4.0999999999999996</v>
      </c>
      <c r="J719" t="s">
        <v>19</v>
      </c>
      <c r="K719">
        <v>2024</v>
      </c>
      <c r="L719">
        <v>39527.912000000004</v>
      </c>
      <c r="M719">
        <v>7</v>
      </c>
      <c r="N719" t="s">
        <v>20</v>
      </c>
      <c r="O719" t="s">
        <v>21</v>
      </c>
      <c r="P719">
        <f>FlipkartSales[[#This Row],[Price (INR)]]*FlipkartSales[[#This Row],[Quantity Sold]]</f>
        <v>197639.56</v>
      </c>
      <c r="Q719">
        <f>FlipkartSales[[#This Row],[Total Sales (INR)]]-FlipkartSales[[#This Row],[Calculated Sales]]</f>
        <v>0</v>
      </c>
      <c r="R719" s="9">
        <f t="shared" si="88"/>
        <v>0.2</v>
      </c>
      <c r="S719">
        <f t="shared" si="89"/>
        <v>49409.89</v>
      </c>
      <c r="T719">
        <f t="shared" si="90"/>
        <v>9881.978000000001</v>
      </c>
      <c r="U719">
        <f t="shared" si="91"/>
        <v>9</v>
      </c>
      <c r="V719" t="str">
        <f t="shared" si="92"/>
        <v>Q3</v>
      </c>
      <c r="W719" t="str">
        <f t="shared" si="93"/>
        <v>Sep-2024</v>
      </c>
      <c r="X719">
        <f t="shared" si="94"/>
        <v>13834.769199999999</v>
      </c>
      <c r="Y719" s="5">
        <f t="shared" si="95"/>
        <v>183804.79079999999</v>
      </c>
      <c r="Z719" s="21">
        <f>DATE(K719,MATCH(J719,{"January","February","March","April","May","June","July","August","September","October","November","December"},0),1)</f>
        <v>45536</v>
      </c>
    </row>
    <row r="720" spans="1:26" x14ac:dyDescent="0.3">
      <c r="A720" s="4" t="s">
        <v>788</v>
      </c>
      <c r="B720" s="4" t="s">
        <v>176</v>
      </c>
      <c r="C720" s="4" t="s">
        <v>24</v>
      </c>
      <c r="D720" s="5">
        <v>13885.05</v>
      </c>
      <c r="E720" s="6">
        <v>5</v>
      </c>
      <c r="F720" s="5">
        <v>69425.25</v>
      </c>
      <c r="G720" s="1">
        <v>45577</v>
      </c>
      <c r="H720" t="s">
        <v>71</v>
      </c>
      <c r="I720">
        <v>3.5</v>
      </c>
      <c r="J720" t="s">
        <v>45</v>
      </c>
      <c r="K720">
        <v>2024</v>
      </c>
      <c r="L720">
        <v>13885.050000000001</v>
      </c>
      <c r="M720">
        <v>17</v>
      </c>
      <c r="N720" t="s">
        <v>41</v>
      </c>
      <c r="O720" t="s">
        <v>33</v>
      </c>
      <c r="P720">
        <f>FlipkartSales[[#This Row],[Price (INR)]]*FlipkartSales[[#This Row],[Quantity Sold]]</f>
        <v>69425.25</v>
      </c>
      <c r="Q720">
        <f>FlipkartSales[[#This Row],[Total Sales (INR)]]-FlipkartSales[[#This Row],[Calculated Sales]]</f>
        <v>0</v>
      </c>
      <c r="R720" s="9">
        <f t="shared" si="88"/>
        <v>0.2</v>
      </c>
      <c r="S720">
        <f t="shared" si="89"/>
        <v>13885.05</v>
      </c>
      <c r="T720">
        <f t="shared" si="90"/>
        <v>2777.01</v>
      </c>
      <c r="U720">
        <f t="shared" si="91"/>
        <v>10</v>
      </c>
      <c r="V720" t="str">
        <f t="shared" si="92"/>
        <v>Q4</v>
      </c>
      <c r="W720" t="str">
        <f t="shared" si="93"/>
        <v>Oct-2024</v>
      </c>
      <c r="X720">
        <f t="shared" si="94"/>
        <v>11802.2925</v>
      </c>
      <c r="Y720" s="5">
        <f t="shared" si="95"/>
        <v>57622.957500000004</v>
      </c>
      <c r="Z720" s="21">
        <f>DATE(K720,MATCH(J720,{"January","February","March","April","May","June","July","August","September","October","November","December"},0),1)</f>
        <v>45566</v>
      </c>
    </row>
    <row r="721" spans="1:26" x14ac:dyDescent="0.3">
      <c r="A721" s="4" t="s">
        <v>789</v>
      </c>
      <c r="B721" s="4" t="s">
        <v>100</v>
      </c>
      <c r="C721" s="4" t="s">
        <v>31</v>
      </c>
      <c r="D721" s="5">
        <v>4080.78</v>
      </c>
      <c r="E721" s="6">
        <v>3</v>
      </c>
      <c r="F721" s="5">
        <v>12242.34</v>
      </c>
      <c r="G721" s="1">
        <v>45390</v>
      </c>
      <c r="H721" t="s">
        <v>71</v>
      </c>
      <c r="I721">
        <v>4.9000000000000004</v>
      </c>
      <c r="J721" t="s">
        <v>62</v>
      </c>
      <c r="K721">
        <v>2024</v>
      </c>
      <c r="L721">
        <v>2448.4680000000003</v>
      </c>
      <c r="M721">
        <v>17</v>
      </c>
      <c r="N721" t="s">
        <v>27</v>
      </c>
      <c r="O721" t="s">
        <v>33</v>
      </c>
      <c r="P721">
        <f>FlipkartSales[[#This Row],[Price (INR)]]*FlipkartSales[[#This Row],[Quantity Sold]]</f>
        <v>12242.34</v>
      </c>
      <c r="Q721">
        <f>FlipkartSales[[#This Row],[Total Sales (INR)]]-FlipkartSales[[#This Row],[Calculated Sales]]</f>
        <v>0</v>
      </c>
      <c r="R721" s="9">
        <f t="shared" si="88"/>
        <v>0.2</v>
      </c>
      <c r="S721">
        <f t="shared" si="89"/>
        <v>4080.78</v>
      </c>
      <c r="T721">
        <f t="shared" si="90"/>
        <v>816.15600000000006</v>
      </c>
      <c r="U721">
        <f t="shared" si="91"/>
        <v>4</v>
      </c>
      <c r="V721" t="str">
        <f t="shared" si="92"/>
        <v>Q2</v>
      </c>
      <c r="W721" t="str">
        <f t="shared" si="93"/>
        <v>Apr-2024</v>
      </c>
      <c r="X721">
        <f t="shared" si="94"/>
        <v>2081.1977999999999</v>
      </c>
      <c r="Y721" s="5">
        <f t="shared" si="95"/>
        <v>10161.1422</v>
      </c>
      <c r="Z721" s="21">
        <f>DATE(K721,MATCH(J721,{"January","February","March","April","May","June","July","August","September","October","November","December"},0),1)</f>
        <v>45383</v>
      </c>
    </row>
    <row r="722" spans="1:26" x14ac:dyDescent="0.3">
      <c r="A722" s="4" t="s">
        <v>790</v>
      </c>
      <c r="B722" s="4" t="s">
        <v>107</v>
      </c>
      <c r="C722" s="4" t="s">
        <v>36</v>
      </c>
      <c r="D722" s="5">
        <v>27306.31</v>
      </c>
      <c r="E722" s="6">
        <v>3</v>
      </c>
      <c r="F722" s="5">
        <v>81918.929999999993</v>
      </c>
      <c r="G722" s="1">
        <v>45369</v>
      </c>
      <c r="H722" t="s">
        <v>71</v>
      </c>
      <c r="I722">
        <v>3.8</v>
      </c>
      <c r="J722" t="s">
        <v>56</v>
      </c>
      <c r="K722">
        <v>2024</v>
      </c>
      <c r="L722">
        <v>16383.786</v>
      </c>
      <c r="M722">
        <v>22</v>
      </c>
      <c r="N722" t="s">
        <v>27</v>
      </c>
      <c r="O722" t="s">
        <v>33</v>
      </c>
      <c r="P722">
        <f>FlipkartSales[[#This Row],[Price (INR)]]*FlipkartSales[[#This Row],[Quantity Sold]]</f>
        <v>81918.930000000008</v>
      </c>
      <c r="Q722">
        <f>FlipkartSales[[#This Row],[Total Sales (INR)]]-FlipkartSales[[#This Row],[Calculated Sales]]</f>
        <v>0</v>
      </c>
      <c r="R722" s="9">
        <f t="shared" si="88"/>
        <v>0.2</v>
      </c>
      <c r="S722">
        <f t="shared" si="89"/>
        <v>27306.309999999998</v>
      </c>
      <c r="T722">
        <f t="shared" si="90"/>
        <v>5461.2619999999997</v>
      </c>
      <c r="U722">
        <f t="shared" si="91"/>
        <v>3</v>
      </c>
      <c r="V722" t="str">
        <f t="shared" si="92"/>
        <v>Q1</v>
      </c>
      <c r="W722" t="str">
        <f t="shared" si="93"/>
        <v>Mar-2024</v>
      </c>
      <c r="X722">
        <f t="shared" si="94"/>
        <v>18022.1646</v>
      </c>
      <c r="Y722" s="5">
        <f t="shared" si="95"/>
        <v>63896.765399999989</v>
      </c>
      <c r="Z722" s="21">
        <f>DATE(K722,MATCH(J722,{"January","February","March","April","May","June","July","August","September","October","November","December"},0),1)</f>
        <v>45352</v>
      </c>
    </row>
    <row r="723" spans="1:26" x14ac:dyDescent="0.3">
      <c r="A723" s="4" t="s">
        <v>791</v>
      </c>
      <c r="B723" s="4" t="s">
        <v>39</v>
      </c>
      <c r="C723" s="4" t="s">
        <v>40</v>
      </c>
      <c r="D723" s="5">
        <v>16580.240000000002</v>
      </c>
      <c r="E723" s="6">
        <v>5</v>
      </c>
      <c r="F723" s="5">
        <v>82901.2</v>
      </c>
      <c r="G723" s="1">
        <v>45628</v>
      </c>
      <c r="H723" t="s">
        <v>80</v>
      </c>
      <c r="I723">
        <v>4.5999999999999996</v>
      </c>
      <c r="J723" t="s">
        <v>26</v>
      </c>
      <c r="K723">
        <v>2024</v>
      </c>
      <c r="L723">
        <v>16580.240000000002</v>
      </c>
      <c r="M723">
        <v>30</v>
      </c>
      <c r="N723" t="s">
        <v>20</v>
      </c>
      <c r="O723" t="s">
        <v>21</v>
      </c>
      <c r="P723">
        <f>FlipkartSales[[#This Row],[Price (INR)]]*FlipkartSales[[#This Row],[Quantity Sold]]</f>
        <v>82901.200000000012</v>
      </c>
      <c r="Q723">
        <f>FlipkartSales[[#This Row],[Total Sales (INR)]]-FlipkartSales[[#This Row],[Calculated Sales]]</f>
        <v>0</v>
      </c>
      <c r="R723" s="9">
        <f t="shared" si="88"/>
        <v>0.20000000000000004</v>
      </c>
      <c r="S723">
        <f t="shared" si="89"/>
        <v>16580.239999999998</v>
      </c>
      <c r="T723">
        <f t="shared" si="90"/>
        <v>3316.0480000000002</v>
      </c>
      <c r="U723">
        <f t="shared" si="91"/>
        <v>12</v>
      </c>
      <c r="V723" t="str">
        <f t="shared" si="92"/>
        <v>Q4</v>
      </c>
      <c r="W723" t="str">
        <f t="shared" si="93"/>
        <v>Dec-2024</v>
      </c>
      <c r="X723">
        <f t="shared" si="94"/>
        <v>24870.36</v>
      </c>
      <c r="Y723" s="5">
        <f t="shared" si="95"/>
        <v>58030.84</v>
      </c>
      <c r="Z723" s="21">
        <f>DATE(K723,MATCH(J723,{"January","February","March","April","May","June","July","August","September","October","November","December"},0),1)</f>
        <v>45627</v>
      </c>
    </row>
    <row r="724" spans="1:26" x14ac:dyDescent="0.3">
      <c r="A724" s="4" t="s">
        <v>792</v>
      </c>
      <c r="B724" s="4" t="s">
        <v>70</v>
      </c>
      <c r="C724" s="4" t="s">
        <v>17</v>
      </c>
      <c r="D724" s="5">
        <v>12798.83</v>
      </c>
      <c r="E724" s="6">
        <v>4</v>
      </c>
      <c r="F724" s="5">
        <v>51195.32</v>
      </c>
      <c r="G724" s="1">
        <v>45602</v>
      </c>
      <c r="H724" t="s">
        <v>25</v>
      </c>
      <c r="I724">
        <v>5</v>
      </c>
      <c r="J724" t="s">
        <v>37</v>
      </c>
      <c r="K724">
        <v>2024</v>
      </c>
      <c r="L724">
        <v>10239.064</v>
      </c>
      <c r="M724">
        <v>24</v>
      </c>
      <c r="N724" t="s">
        <v>27</v>
      </c>
      <c r="O724" t="s">
        <v>68</v>
      </c>
      <c r="P724">
        <f>FlipkartSales[[#This Row],[Price (INR)]]*FlipkartSales[[#This Row],[Quantity Sold]]</f>
        <v>51195.32</v>
      </c>
      <c r="Q724">
        <f>FlipkartSales[[#This Row],[Total Sales (INR)]]-FlipkartSales[[#This Row],[Calculated Sales]]</f>
        <v>0</v>
      </c>
      <c r="R724" s="9">
        <f t="shared" si="88"/>
        <v>0.2</v>
      </c>
      <c r="S724">
        <f t="shared" si="89"/>
        <v>12798.83</v>
      </c>
      <c r="T724">
        <f t="shared" si="90"/>
        <v>2559.7660000000001</v>
      </c>
      <c r="U724">
        <f t="shared" si="91"/>
        <v>11</v>
      </c>
      <c r="V724" t="str">
        <f t="shared" si="92"/>
        <v>Q4</v>
      </c>
      <c r="W724" t="str">
        <f t="shared" si="93"/>
        <v>Nov-2024</v>
      </c>
      <c r="X724">
        <f t="shared" si="94"/>
        <v>12286.8768</v>
      </c>
      <c r="Y724" s="5">
        <f t="shared" si="95"/>
        <v>38908.443200000002</v>
      </c>
      <c r="Z724" s="21">
        <f>DATE(K724,MATCH(J724,{"January","February","March","April","May","June","July","August","September","October","November","December"},0),1)</f>
        <v>45597</v>
      </c>
    </row>
    <row r="725" spans="1:26" x14ac:dyDescent="0.3">
      <c r="A725" s="4" t="s">
        <v>793</v>
      </c>
      <c r="B725" s="4" t="s">
        <v>16</v>
      </c>
      <c r="C725" s="4" t="s">
        <v>17</v>
      </c>
      <c r="D725" s="5">
        <v>18574.12</v>
      </c>
      <c r="E725" s="6">
        <v>1</v>
      </c>
      <c r="F725" s="5">
        <v>18574.12</v>
      </c>
      <c r="G725" s="1">
        <v>45579</v>
      </c>
      <c r="H725" t="s">
        <v>44</v>
      </c>
      <c r="I725">
        <v>3.3</v>
      </c>
      <c r="J725" t="s">
        <v>45</v>
      </c>
      <c r="K725">
        <v>2024</v>
      </c>
      <c r="L725">
        <v>3714.8240000000001</v>
      </c>
      <c r="M725">
        <v>12</v>
      </c>
      <c r="N725" t="s">
        <v>41</v>
      </c>
      <c r="O725" t="s">
        <v>21</v>
      </c>
      <c r="P725">
        <f>FlipkartSales[[#This Row],[Price (INR)]]*FlipkartSales[[#This Row],[Quantity Sold]]</f>
        <v>18574.12</v>
      </c>
      <c r="Q725">
        <f>FlipkartSales[[#This Row],[Total Sales (INR)]]-FlipkartSales[[#This Row],[Calculated Sales]]</f>
        <v>0</v>
      </c>
      <c r="R725" s="9">
        <f t="shared" si="88"/>
        <v>0.2</v>
      </c>
      <c r="S725">
        <f t="shared" si="89"/>
        <v>18574.12</v>
      </c>
      <c r="T725">
        <f t="shared" si="90"/>
        <v>3714.8240000000001</v>
      </c>
      <c r="U725">
        <f t="shared" si="91"/>
        <v>10</v>
      </c>
      <c r="V725" t="str">
        <f t="shared" si="92"/>
        <v>Q4</v>
      </c>
      <c r="W725" t="str">
        <f t="shared" si="93"/>
        <v>Oct-2024</v>
      </c>
      <c r="X725">
        <f t="shared" si="94"/>
        <v>2228.8944000000001</v>
      </c>
      <c r="Y725" s="5">
        <f t="shared" si="95"/>
        <v>16345.225599999998</v>
      </c>
      <c r="Z725" s="21">
        <f>DATE(K725,MATCH(J725,{"January","February","March","April","May","June","July","August","September","October","November","December"},0),1)</f>
        <v>45566</v>
      </c>
    </row>
    <row r="726" spans="1:26" x14ac:dyDescent="0.3">
      <c r="A726" s="4" t="s">
        <v>794</v>
      </c>
      <c r="B726" s="4" t="s">
        <v>39</v>
      </c>
      <c r="C726" s="4" t="s">
        <v>40</v>
      </c>
      <c r="D726" s="5">
        <v>30836.98</v>
      </c>
      <c r="E726" s="6">
        <v>4</v>
      </c>
      <c r="F726" s="5">
        <v>123347.92</v>
      </c>
      <c r="G726" s="1">
        <v>45336</v>
      </c>
      <c r="H726" t="s">
        <v>44</v>
      </c>
      <c r="I726">
        <v>1.1000000000000001</v>
      </c>
      <c r="J726" t="s">
        <v>59</v>
      </c>
      <c r="K726">
        <v>2024</v>
      </c>
      <c r="L726">
        <v>24669.584000000003</v>
      </c>
      <c r="M726">
        <v>13</v>
      </c>
      <c r="N726" t="s">
        <v>27</v>
      </c>
      <c r="O726" t="s">
        <v>28</v>
      </c>
      <c r="P726">
        <f>FlipkartSales[[#This Row],[Price (INR)]]*FlipkartSales[[#This Row],[Quantity Sold]]</f>
        <v>123347.92</v>
      </c>
      <c r="Q726">
        <f>FlipkartSales[[#This Row],[Total Sales (INR)]]-FlipkartSales[[#This Row],[Calculated Sales]]</f>
        <v>0</v>
      </c>
      <c r="R726" s="9">
        <f t="shared" si="88"/>
        <v>0.2</v>
      </c>
      <c r="S726">
        <f t="shared" si="89"/>
        <v>30836.98</v>
      </c>
      <c r="T726">
        <f t="shared" si="90"/>
        <v>6167.3960000000006</v>
      </c>
      <c r="U726">
        <f t="shared" si="91"/>
        <v>2</v>
      </c>
      <c r="V726" t="str">
        <f t="shared" si="92"/>
        <v>Q1</v>
      </c>
      <c r="W726" t="str">
        <f t="shared" si="93"/>
        <v>Feb-2024</v>
      </c>
      <c r="X726">
        <f t="shared" si="94"/>
        <v>16035.229599999999</v>
      </c>
      <c r="Y726" s="5">
        <f t="shared" si="95"/>
        <v>107312.69039999999</v>
      </c>
      <c r="Z726" s="21">
        <f>DATE(K726,MATCH(J726,{"January","February","March","April","May","June","July","August","September","October","November","December"},0),1)</f>
        <v>45323</v>
      </c>
    </row>
    <row r="727" spans="1:26" x14ac:dyDescent="0.3">
      <c r="A727" s="4" t="s">
        <v>795</v>
      </c>
      <c r="B727" s="4" t="s">
        <v>47</v>
      </c>
      <c r="C727" s="4" t="s">
        <v>24</v>
      </c>
      <c r="D727" s="5">
        <v>48620.13</v>
      </c>
      <c r="E727" s="6">
        <v>4</v>
      </c>
      <c r="F727" s="5">
        <v>194480.52</v>
      </c>
      <c r="G727" s="1">
        <v>45494</v>
      </c>
      <c r="H727" t="s">
        <v>18</v>
      </c>
      <c r="I727">
        <v>1.9</v>
      </c>
      <c r="J727" t="s">
        <v>48</v>
      </c>
      <c r="K727">
        <v>2024</v>
      </c>
      <c r="L727">
        <v>38896.103999999999</v>
      </c>
      <c r="M727">
        <v>11</v>
      </c>
      <c r="N727" t="s">
        <v>41</v>
      </c>
      <c r="O727" t="s">
        <v>28</v>
      </c>
      <c r="P727">
        <f>FlipkartSales[[#This Row],[Price (INR)]]*FlipkartSales[[#This Row],[Quantity Sold]]</f>
        <v>194480.52</v>
      </c>
      <c r="Q727">
        <f>FlipkartSales[[#This Row],[Total Sales (INR)]]-FlipkartSales[[#This Row],[Calculated Sales]]</f>
        <v>0</v>
      </c>
      <c r="R727" s="9">
        <f t="shared" si="88"/>
        <v>0.2</v>
      </c>
      <c r="S727">
        <f t="shared" si="89"/>
        <v>48620.13</v>
      </c>
      <c r="T727">
        <f t="shared" si="90"/>
        <v>9724.0259999999998</v>
      </c>
      <c r="U727">
        <f t="shared" si="91"/>
        <v>7</v>
      </c>
      <c r="V727" t="str">
        <f t="shared" si="92"/>
        <v>Q3</v>
      </c>
      <c r="W727" t="str">
        <f t="shared" si="93"/>
        <v>Jul-2024</v>
      </c>
      <c r="X727">
        <f t="shared" si="94"/>
        <v>21392.857199999999</v>
      </c>
      <c r="Y727" s="5">
        <f t="shared" si="95"/>
        <v>173087.66279999999</v>
      </c>
      <c r="Z727" s="21">
        <f>DATE(K727,MATCH(J727,{"January","February","March","April","May","June","July","August","September","October","November","December"},0),1)</f>
        <v>45474</v>
      </c>
    </row>
    <row r="728" spans="1:26" x14ac:dyDescent="0.3">
      <c r="A728" s="4" t="s">
        <v>796</v>
      </c>
      <c r="B728" s="4" t="s">
        <v>74</v>
      </c>
      <c r="C728" s="4" t="s">
        <v>17</v>
      </c>
      <c r="D728" s="5">
        <v>16390.439999999999</v>
      </c>
      <c r="E728" s="6">
        <v>2</v>
      </c>
      <c r="F728" s="5">
        <v>32780.879999999997</v>
      </c>
      <c r="G728" s="1">
        <v>45516</v>
      </c>
      <c r="H728" t="s">
        <v>71</v>
      </c>
      <c r="I728">
        <v>4.2</v>
      </c>
      <c r="J728" t="s">
        <v>88</v>
      </c>
      <c r="K728">
        <v>2024</v>
      </c>
      <c r="L728">
        <v>6556.1759999999995</v>
      </c>
      <c r="M728">
        <v>5</v>
      </c>
      <c r="N728" t="s">
        <v>41</v>
      </c>
      <c r="O728" t="s">
        <v>21</v>
      </c>
      <c r="P728">
        <f>FlipkartSales[[#This Row],[Price (INR)]]*FlipkartSales[[#This Row],[Quantity Sold]]</f>
        <v>32780.879999999997</v>
      </c>
      <c r="Q728">
        <f>FlipkartSales[[#This Row],[Total Sales (INR)]]-FlipkartSales[[#This Row],[Calculated Sales]]</f>
        <v>0</v>
      </c>
      <c r="R728" s="9">
        <f t="shared" si="88"/>
        <v>0.2</v>
      </c>
      <c r="S728">
        <f t="shared" si="89"/>
        <v>16390.439999999999</v>
      </c>
      <c r="T728">
        <f t="shared" si="90"/>
        <v>3278.0879999999997</v>
      </c>
      <c r="U728">
        <f t="shared" si="91"/>
        <v>8</v>
      </c>
      <c r="V728" t="str">
        <f t="shared" si="92"/>
        <v>Q3</v>
      </c>
      <c r="W728" t="str">
        <f t="shared" si="93"/>
        <v>Aug-2024</v>
      </c>
      <c r="X728">
        <f t="shared" si="94"/>
        <v>1639.0439999999999</v>
      </c>
      <c r="Y728" s="5">
        <f t="shared" si="95"/>
        <v>31141.835999999996</v>
      </c>
      <c r="Z728" s="21">
        <f>DATE(K728,MATCH(J728,{"January","February","March","April","May","June","July","August","September","October","November","December"},0),1)</f>
        <v>45505</v>
      </c>
    </row>
    <row r="729" spans="1:26" x14ac:dyDescent="0.3">
      <c r="A729" s="4" t="s">
        <v>797</v>
      </c>
      <c r="B729" s="4" t="s">
        <v>30</v>
      </c>
      <c r="C729" s="4" t="s">
        <v>31</v>
      </c>
      <c r="D729" s="5">
        <v>18862.009999999998</v>
      </c>
      <c r="E729" s="6">
        <v>3</v>
      </c>
      <c r="F729" s="5">
        <v>56586.03</v>
      </c>
      <c r="G729" s="1">
        <v>45636</v>
      </c>
      <c r="H729" t="s">
        <v>44</v>
      </c>
      <c r="I729">
        <v>3</v>
      </c>
      <c r="J729" t="s">
        <v>26</v>
      </c>
      <c r="K729">
        <v>2024</v>
      </c>
      <c r="L729">
        <v>11317.206</v>
      </c>
      <c r="M729">
        <v>7</v>
      </c>
      <c r="N729" t="s">
        <v>27</v>
      </c>
      <c r="O729" t="s">
        <v>21</v>
      </c>
      <c r="P729">
        <f>FlipkartSales[[#This Row],[Price (INR)]]*FlipkartSales[[#This Row],[Quantity Sold]]</f>
        <v>56586.03</v>
      </c>
      <c r="Q729">
        <f>FlipkartSales[[#This Row],[Total Sales (INR)]]-FlipkartSales[[#This Row],[Calculated Sales]]</f>
        <v>0</v>
      </c>
      <c r="R729" s="9">
        <f t="shared" si="88"/>
        <v>0.2</v>
      </c>
      <c r="S729">
        <f t="shared" si="89"/>
        <v>18862.009999999998</v>
      </c>
      <c r="T729">
        <f t="shared" si="90"/>
        <v>3772.402</v>
      </c>
      <c r="U729">
        <f t="shared" si="91"/>
        <v>12</v>
      </c>
      <c r="V729" t="str">
        <f t="shared" si="92"/>
        <v>Q4</v>
      </c>
      <c r="W729" t="str">
        <f t="shared" si="93"/>
        <v>Dec-2024</v>
      </c>
      <c r="X729">
        <f t="shared" si="94"/>
        <v>3961.0220999999997</v>
      </c>
      <c r="Y729" s="5">
        <f t="shared" si="95"/>
        <v>52625.007899999997</v>
      </c>
      <c r="Z729" s="21">
        <f>DATE(K729,MATCH(J729,{"January","February","March","April","May","June","July","August","September","October","November","December"},0),1)</f>
        <v>45627</v>
      </c>
    </row>
    <row r="730" spans="1:26" x14ac:dyDescent="0.3">
      <c r="A730" s="4" t="s">
        <v>798</v>
      </c>
      <c r="B730" s="4" t="s">
        <v>35</v>
      </c>
      <c r="C730" s="4" t="s">
        <v>36</v>
      </c>
      <c r="D730" s="5">
        <v>11448.28</v>
      </c>
      <c r="E730" s="6">
        <v>1</v>
      </c>
      <c r="F730" s="5">
        <v>11448.28</v>
      </c>
      <c r="G730" s="1">
        <v>45508</v>
      </c>
      <c r="H730" t="s">
        <v>80</v>
      </c>
      <c r="I730">
        <v>3.6</v>
      </c>
      <c r="J730" t="s">
        <v>88</v>
      </c>
      <c r="K730">
        <v>2024</v>
      </c>
      <c r="L730">
        <v>2289.6560000000004</v>
      </c>
      <c r="M730">
        <v>17</v>
      </c>
      <c r="N730" t="s">
        <v>20</v>
      </c>
      <c r="O730" t="s">
        <v>33</v>
      </c>
      <c r="P730">
        <f>FlipkartSales[[#This Row],[Price (INR)]]*FlipkartSales[[#This Row],[Quantity Sold]]</f>
        <v>11448.28</v>
      </c>
      <c r="Q730">
        <f>FlipkartSales[[#This Row],[Total Sales (INR)]]-FlipkartSales[[#This Row],[Calculated Sales]]</f>
        <v>0</v>
      </c>
      <c r="R730" s="9">
        <f t="shared" si="88"/>
        <v>0.2</v>
      </c>
      <c r="S730">
        <f t="shared" si="89"/>
        <v>11448.28</v>
      </c>
      <c r="T730">
        <f t="shared" si="90"/>
        <v>2289.6560000000004</v>
      </c>
      <c r="U730">
        <f t="shared" si="91"/>
        <v>8</v>
      </c>
      <c r="V730" t="str">
        <f t="shared" si="92"/>
        <v>Q3</v>
      </c>
      <c r="W730" t="str">
        <f t="shared" si="93"/>
        <v>Aug-2024</v>
      </c>
      <c r="X730">
        <f t="shared" si="94"/>
        <v>1946.2076000000002</v>
      </c>
      <c r="Y730" s="5">
        <f t="shared" si="95"/>
        <v>9502.0724000000009</v>
      </c>
      <c r="Z730" s="21">
        <f>DATE(K730,MATCH(J730,{"January","February","March","April","May","June","July","August","September","October","November","December"},0),1)</f>
        <v>45505</v>
      </c>
    </row>
    <row r="731" spans="1:26" x14ac:dyDescent="0.3">
      <c r="A731" s="4" t="s">
        <v>799</v>
      </c>
      <c r="B731" s="4" t="s">
        <v>94</v>
      </c>
      <c r="C731" s="4" t="s">
        <v>31</v>
      </c>
      <c r="D731" s="5">
        <v>24384.05</v>
      </c>
      <c r="E731" s="6">
        <v>2</v>
      </c>
      <c r="F731" s="5">
        <v>48768.1</v>
      </c>
      <c r="G731" s="1">
        <v>45499</v>
      </c>
      <c r="H731" t="s">
        <v>18</v>
      </c>
      <c r="I731">
        <v>3</v>
      </c>
      <c r="J731" t="s">
        <v>48</v>
      </c>
      <c r="K731">
        <v>2024</v>
      </c>
      <c r="L731">
        <v>9753.6200000000008</v>
      </c>
      <c r="M731">
        <v>29</v>
      </c>
      <c r="N731" t="s">
        <v>27</v>
      </c>
      <c r="O731" t="s">
        <v>21</v>
      </c>
      <c r="P731">
        <f>FlipkartSales[[#This Row],[Price (INR)]]*FlipkartSales[[#This Row],[Quantity Sold]]</f>
        <v>48768.1</v>
      </c>
      <c r="Q731">
        <f>FlipkartSales[[#This Row],[Total Sales (INR)]]-FlipkartSales[[#This Row],[Calculated Sales]]</f>
        <v>0</v>
      </c>
      <c r="R731" s="9">
        <f t="shared" si="88"/>
        <v>0.2</v>
      </c>
      <c r="S731">
        <f t="shared" si="89"/>
        <v>24384.05</v>
      </c>
      <c r="T731">
        <f t="shared" si="90"/>
        <v>4876.8100000000004</v>
      </c>
      <c r="U731">
        <f t="shared" si="91"/>
        <v>7</v>
      </c>
      <c r="V731" t="str">
        <f t="shared" si="92"/>
        <v>Q3</v>
      </c>
      <c r="W731" t="str">
        <f t="shared" si="93"/>
        <v>Jul-2024</v>
      </c>
      <c r="X731">
        <f t="shared" si="94"/>
        <v>14142.749</v>
      </c>
      <c r="Y731" s="5">
        <f t="shared" si="95"/>
        <v>34625.350999999995</v>
      </c>
      <c r="Z731" s="21">
        <f>DATE(K731,MATCH(J731,{"January","February","March","April","May","June","July","August","September","October","November","December"},0),1)</f>
        <v>45474</v>
      </c>
    </row>
    <row r="732" spans="1:26" x14ac:dyDescent="0.3">
      <c r="A732" s="4" t="s">
        <v>800</v>
      </c>
      <c r="B732" s="4" t="s">
        <v>58</v>
      </c>
      <c r="C732" s="4" t="s">
        <v>31</v>
      </c>
      <c r="D732" s="5">
        <v>18179.43</v>
      </c>
      <c r="E732" s="6">
        <v>1</v>
      </c>
      <c r="F732" s="5">
        <v>18179.43</v>
      </c>
      <c r="G732" s="1">
        <v>45371</v>
      </c>
      <c r="H732" t="s">
        <v>44</v>
      </c>
      <c r="I732">
        <v>4.3</v>
      </c>
      <c r="J732" t="s">
        <v>56</v>
      </c>
      <c r="K732">
        <v>2024</v>
      </c>
      <c r="L732">
        <v>3635.8860000000004</v>
      </c>
      <c r="M732">
        <v>21</v>
      </c>
      <c r="N732" t="s">
        <v>41</v>
      </c>
      <c r="O732" t="s">
        <v>33</v>
      </c>
      <c r="P732">
        <f>FlipkartSales[[#This Row],[Price (INR)]]*FlipkartSales[[#This Row],[Quantity Sold]]</f>
        <v>18179.43</v>
      </c>
      <c r="Q732">
        <f>FlipkartSales[[#This Row],[Total Sales (INR)]]-FlipkartSales[[#This Row],[Calculated Sales]]</f>
        <v>0</v>
      </c>
      <c r="R732" s="9">
        <f t="shared" si="88"/>
        <v>0.2</v>
      </c>
      <c r="S732">
        <f t="shared" si="89"/>
        <v>18179.43</v>
      </c>
      <c r="T732">
        <f t="shared" si="90"/>
        <v>3635.8860000000004</v>
      </c>
      <c r="U732">
        <f t="shared" si="91"/>
        <v>3</v>
      </c>
      <c r="V732" t="str">
        <f t="shared" si="92"/>
        <v>Q1</v>
      </c>
      <c r="W732" t="str">
        <f t="shared" si="93"/>
        <v>Mar-2024</v>
      </c>
      <c r="X732">
        <f t="shared" si="94"/>
        <v>3817.6803000000004</v>
      </c>
      <c r="Y732" s="5">
        <f t="shared" si="95"/>
        <v>14361.7497</v>
      </c>
      <c r="Z732" s="21">
        <f>DATE(K732,MATCH(J732,{"January","February","March","April","May","June","July","August","September","October","November","December"},0),1)</f>
        <v>45352</v>
      </c>
    </row>
    <row r="733" spans="1:26" x14ac:dyDescent="0.3">
      <c r="A733" s="4" t="s">
        <v>801</v>
      </c>
      <c r="B733" s="4" t="s">
        <v>39</v>
      </c>
      <c r="C733" s="4" t="s">
        <v>40</v>
      </c>
      <c r="D733" s="5">
        <v>22430.51</v>
      </c>
      <c r="E733" s="6">
        <v>1</v>
      </c>
      <c r="F733" s="5">
        <v>22430.51</v>
      </c>
      <c r="G733" s="1">
        <v>45554</v>
      </c>
      <c r="H733" t="s">
        <v>71</v>
      </c>
      <c r="I733">
        <v>4.5</v>
      </c>
      <c r="J733" t="s">
        <v>19</v>
      </c>
      <c r="K733">
        <v>2024</v>
      </c>
      <c r="L733">
        <v>4486.1019999999999</v>
      </c>
      <c r="M733">
        <v>29</v>
      </c>
      <c r="N733" t="s">
        <v>41</v>
      </c>
      <c r="O733" t="s">
        <v>28</v>
      </c>
      <c r="P733">
        <f>FlipkartSales[[#This Row],[Price (INR)]]*FlipkartSales[[#This Row],[Quantity Sold]]</f>
        <v>22430.51</v>
      </c>
      <c r="Q733">
        <f>FlipkartSales[[#This Row],[Total Sales (INR)]]-FlipkartSales[[#This Row],[Calculated Sales]]</f>
        <v>0</v>
      </c>
      <c r="R733" s="9">
        <f t="shared" si="88"/>
        <v>0.2</v>
      </c>
      <c r="S733">
        <f t="shared" si="89"/>
        <v>22430.51</v>
      </c>
      <c r="T733">
        <f t="shared" si="90"/>
        <v>4486.1019999999999</v>
      </c>
      <c r="U733">
        <f t="shared" si="91"/>
        <v>9</v>
      </c>
      <c r="V733" t="str">
        <f t="shared" si="92"/>
        <v>Q3</v>
      </c>
      <c r="W733" t="str">
        <f t="shared" si="93"/>
        <v>Sep-2024</v>
      </c>
      <c r="X733">
        <f t="shared" si="94"/>
        <v>6504.8478999999988</v>
      </c>
      <c r="Y733" s="5">
        <f t="shared" si="95"/>
        <v>15925.6621</v>
      </c>
      <c r="Z733" s="21">
        <f>DATE(K733,MATCH(J733,{"January","February","March","April","May","June","July","August","September","October","November","December"},0),1)</f>
        <v>45536</v>
      </c>
    </row>
    <row r="734" spans="1:26" x14ac:dyDescent="0.3">
      <c r="A734" s="4" t="s">
        <v>802</v>
      </c>
      <c r="B734" s="4" t="s">
        <v>145</v>
      </c>
      <c r="C734" s="4" t="s">
        <v>40</v>
      </c>
      <c r="D734" s="5">
        <v>10241.780000000001</v>
      </c>
      <c r="E734" s="6">
        <v>2</v>
      </c>
      <c r="F734" s="5">
        <v>20483.560000000001</v>
      </c>
      <c r="G734" s="1">
        <v>45672</v>
      </c>
      <c r="H734" t="s">
        <v>44</v>
      </c>
      <c r="I734">
        <v>3.7</v>
      </c>
      <c r="J734" t="s">
        <v>53</v>
      </c>
      <c r="K734">
        <v>2025</v>
      </c>
      <c r="L734">
        <v>4096.7120000000004</v>
      </c>
      <c r="M734">
        <v>28</v>
      </c>
      <c r="N734" t="s">
        <v>27</v>
      </c>
      <c r="O734" t="s">
        <v>33</v>
      </c>
      <c r="P734">
        <f>FlipkartSales[[#This Row],[Price (INR)]]*FlipkartSales[[#This Row],[Quantity Sold]]</f>
        <v>20483.560000000001</v>
      </c>
      <c r="Q734">
        <f>FlipkartSales[[#This Row],[Total Sales (INR)]]-FlipkartSales[[#This Row],[Calculated Sales]]</f>
        <v>0</v>
      </c>
      <c r="R734" s="9">
        <f t="shared" si="88"/>
        <v>0.2</v>
      </c>
      <c r="S734">
        <f t="shared" si="89"/>
        <v>10241.780000000001</v>
      </c>
      <c r="T734">
        <f t="shared" si="90"/>
        <v>2048.3560000000002</v>
      </c>
      <c r="U734">
        <f t="shared" si="91"/>
        <v>1</v>
      </c>
      <c r="V734" t="str">
        <f t="shared" si="92"/>
        <v>Q1</v>
      </c>
      <c r="W734" t="str">
        <f t="shared" si="93"/>
        <v>Jan-2025</v>
      </c>
      <c r="X734">
        <f t="shared" si="94"/>
        <v>5735.3968000000004</v>
      </c>
      <c r="Y734" s="5">
        <f t="shared" si="95"/>
        <v>14748.163200000001</v>
      </c>
      <c r="Z734" s="21">
        <f>DATE(K734,MATCH(J734,{"January","February","March","April","May","June","July","August","September","October","November","December"},0),1)</f>
        <v>45658</v>
      </c>
    </row>
    <row r="735" spans="1:26" x14ac:dyDescent="0.3">
      <c r="A735" s="4" t="s">
        <v>803</v>
      </c>
      <c r="B735" s="4" t="s">
        <v>176</v>
      </c>
      <c r="C735" s="4" t="s">
        <v>24</v>
      </c>
      <c r="D735" s="5">
        <v>17800.740000000002</v>
      </c>
      <c r="E735" s="6">
        <v>3</v>
      </c>
      <c r="F735" s="5">
        <v>53402.22</v>
      </c>
      <c r="G735" s="1">
        <v>45601</v>
      </c>
      <c r="H735" t="s">
        <v>44</v>
      </c>
      <c r="I735">
        <v>2.9</v>
      </c>
      <c r="J735" t="s">
        <v>37</v>
      </c>
      <c r="K735">
        <v>2024</v>
      </c>
      <c r="L735">
        <v>10680.444000000001</v>
      </c>
      <c r="M735">
        <v>5</v>
      </c>
      <c r="N735" t="s">
        <v>20</v>
      </c>
      <c r="O735" t="s">
        <v>21</v>
      </c>
      <c r="P735">
        <f>FlipkartSales[[#This Row],[Price (INR)]]*FlipkartSales[[#This Row],[Quantity Sold]]</f>
        <v>53402.22</v>
      </c>
      <c r="Q735">
        <f>FlipkartSales[[#This Row],[Total Sales (INR)]]-FlipkartSales[[#This Row],[Calculated Sales]]</f>
        <v>0</v>
      </c>
      <c r="R735" s="9">
        <f t="shared" si="88"/>
        <v>0.2</v>
      </c>
      <c r="S735">
        <f t="shared" si="89"/>
        <v>17800.740000000002</v>
      </c>
      <c r="T735">
        <f t="shared" si="90"/>
        <v>3560.1480000000006</v>
      </c>
      <c r="U735">
        <f t="shared" si="91"/>
        <v>11</v>
      </c>
      <c r="V735" t="str">
        <f t="shared" si="92"/>
        <v>Q4</v>
      </c>
      <c r="W735" t="str">
        <f t="shared" si="93"/>
        <v>Nov-2024</v>
      </c>
      <c r="X735">
        <f t="shared" si="94"/>
        <v>2670.1109999999999</v>
      </c>
      <c r="Y735" s="5">
        <f t="shared" si="95"/>
        <v>50732.109000000004</v>
      </c>
      <c r="Z735" s="21">
        <f>DATE(K735,MATCH(J735,{"January","February","March","April","May","June","July","August","September","October","November","December"},0),1)</f>
        <v>45597</v>
      </c>
    </row>
    <row r="736" spans="1:26" x14ac:dyDescent="0.3">
      <c r="A736" s="4" t="s">
        <v>804</v>
      </c>
      <c r="B736" s="4" t="s">
        <v>70</v>
      </c>
      <c r="C736" s="4" t="s">
        <v>17</v>
      </c>
      <c r="D736" s="5">
        <v>16174.96</v>
      </c>
      <c r="E736" s="6">
        <v>5</v>
      </c>
      <c r="F736" s="5">
        <v>80874.8</v>
      </c>
      <c r="G736" s="1">
        <v>45341</v>
      </c>
      <c r="H736" t="s">
        <v>71</v>
      </c>
      <c r="I736">
        <v>4.9000000000000004</v>
      </c>
      <c r="J736" t="s">
        <v>59</v>
      </c>
      <c r="K736">
        <v>2024</v>
      </c>
      <c r="L736">
        <v>16174.960000000001</v>
      </c>
      <c r="M736">
        <v>10</v>
      </c>
      <c r="N736" t="s">
        <v>20</v>
      </c>
      <c r="O736" t="s">
        <v>28</v>
      </c>
      <c r="P736">
        <f>FlipkartSales[[#This Row],[Price (INR)]]*FlipkartSales[[#This Row],[Quantity Sold]]</f>
        <v>80874.799999999988</v>
      </c>
      <c r="Q736">
        <f>FlipkartSales[[#This Row],[Total Sales (INR)]]-FlipkartSales[[#This Row],[Calculated Sales]]</f>
        <v>0</v>
      </c>
      <c r="R736" s="9">
        <f t="shared" si="88"/>
        <v>0.2</v>
      </c>
      <c r="S736">
        <f t="shared" si="89"/>
        <v>16174.960000000001</v>
      </c>
      <c r="T736">
        <f t="shared" si="90"/>
        <v>3234.9920000000002</v>
      </c>
      <c r="U736">
        <f t="shared" si="91"/>
        <v>2</v>
      </c>
      <c r="V736" t="str">
        <f t="shared" si="92"/>
        <v>Q1</v>
      </c>
      <c r="W736" t="str">
        <f t="shared" si="93"/>
        <v>Feb-2024</v>
      </c>
      <c r="X736">
        <f t="shared" si="94"/>
        <v>8087.48</v>
      </c>
      <c r="Y736" s="5">
        <f t="shared" si="95"/>
        <v>72787.320000000007</v>
      </c>
      <c r="Z736" s="21">
        <f>DATE(K736,MATCH(J736,{"January","February","March","April","May","June","July","August","September","October","November","December"},0),1)</f>
        <v>45323</v>
      </c>
    </row>
    <row r="737" spans="1:26" x14ac:dyDescent="0.3">
      <c r="A737" s="4" t="s">
        <v>805</v>
      </c>
      <c r="B737" s="4" t="s">
        <v>39</v>
      </c>
      <c r="C737" s="4" t="s">
        <v>40</v>
      </c>
      <c r="D737" s="5">
        <v>2370.61</v>
      </c>
      <c r="E737" s="6">
        <v>5</v>
      </c>
      <c r="F737" s="5">
        <v>11853.05</v>
      </c>
      <c r="G737" s="1">
        <v>45451</v>
      </c>
      <c r="H737" t="s">
        <v>18</v>
      </c>
      <c r="I737">
        <v>3.1</v>
      </c>
      <c r="J737" t="s">
        <v>67</v>
      </c>
      <c r="K737">
        <v>2024</v>
      </c>
      <c r="L737">
        <v>2370.61</v>
      </c>
      <c r="M737">
        <v>25</v>
      </c>
      <c r="N737" t="s">
        <v>41</v>
      </c>
      <c r="O737" t="s">
        <v>68</v>
      </c>
      <c r="P737">
        <f>FlipkartSales[[#This Row],[Price (INR)]]*FlipkartSales[[#This Row],[Quantity Sold]]</f>
        <v>11853.050000000001</v>
      </c>
      <c r="Q737">
        <f>FlipkartSales[[#This Row],[Total Sales (INR)]]-FlipkartSales[[#This Row],[Calculated Sales]]</f>
        <v>0</v>
      </c>
      <c r="R737" s="9">
        <f t="shared" si="88"/>
        <v>0.2</v>
      </c>
      <c r="S737">
        <f t="shared" si="89"/>
        <v>2370.6099999999997</v>
      </c>
      <c r="T737">
        <f t="shared" si="90"/>
        <v>474.12200000000001</v>
      </c>
      <c r="U737">
        <f t="shared" si="91"/>
        <v>6</v>
      </c>
      <c r="V737" t="str">
        <f t="shared" si="92"/>
        <v>Q2</v>
      </c>
      <c r="W737" t="str">
        <f t="shared" si="93"/>
        <v>Jun-2024</v>
      </c>
      <c r="X737">
        <f t="shared" si="94"/>
        <v>2963.2624999999998</v>
      </c>
      <c r="Y737" s="5">
        <f t="shared" si="95"/>
        <v>8889.7874999999985</v>
      </c>
      <c r="Z737" s="21">
        <f>DATE(K737,MATCH(J737,{"January","February","March","April","May","June","July","August","September","October","November","December"},0),1)</f>
        <v>45444</v>
      </c>
    </row>
    <row r="738" spans="1:26" x14ac:dyDescent="0.3">
      <c r="A738" s="4" t="s">
        <v>806</v>
      </c>
      <c r="B738" s="4" t="s">
        <v>94</v>
      </c>
      <c r="C738" s="4" t="s">
        <v>31</v>
      </c>
      <c r="D738" s="5">
        <v>139.85</v>
      </c>
      <c r="E738" s="6">
        <v>3</v>
      </c>
      <c r="F738" s="5">
        <v>419.55</v>
      </c>
      <c r="G738" s="1">
        <v>45549</v>
      </c>
      <c r="H738" t="s">
        <v>25</v>
      </c>
      <c r="I738">
        <v>2</v>
      </c>
      <c r="J738" t="s">
        <v>19</v>
      </c>
      <c r="K738">
        <v>2024</v>
      </c>
      <c r="L738">
        <v>83.910000000000011</v>
      </c>
      <c r="M738">
        <v>10</v>
      </c>
      <c r="N738" t="s">
        <v>41</v>
      </c>
      <c r="O738" t="s">
        <v>33</v>
      </c>
      <c r="P738">
        <f>FlipkartSales[[#This Row],[Price (INR)]]*FlipkartSales[[#This Row],[Quantity Sold]]</f>
        <v>419.54999999999995</v>
      </c>
      <c r="Q738">
        <f>FlipkartSales[[#This Row],[Total Sales (INR)]]-FlipkartSales[[#This Row],[Calculated Sales]]</f>
        <v>0</v>
      </c>
      <c r="R738" s="9">
        <f t="shared" si="88"/>
        <v>0.2</v>
      </c>
      <c r="S738">
        <f t="shared" si="89"/>
        <v>139.85</v>
      </c>
      <c r="T738">
        <f t="shared" si="90"/>
        <v>27.970000000000002</v>
      </c>
      <c r="U738">
        <f t="shared" si="91"/>
        <v>9</v>
      </c>
      <c r="V738" t="str">
        <f t="shared" si="92"/>
        <v>Q3</v>
      </c>
      <c r="W738" t="str">
        <f t="shared" si="93"/>
        <v>Sep-2024</v>
      </c>
      <c r="X738">
        <f t="shared" si="94"/>
        <v>41.954999999999998</v>
      </c>
      <c r="Y738" s="5">
        <f t="shared" si="95"/>
        <v>377.59500000000003</v>
      </c>
      <c r="Z738" s="21">
        <f>DATE(K738,MATCH(J738,{"January","February","March","April","May","June","July","August","September","October","November","December"},0),1)</f>
        <v>45536</v>
      </c>
    </row>
    <row r="739" spans="1:26" x14ac:dyDescent="0.3">
      <c r="A739" s="4" t="s">
        <v>807</v>
      </c>
      <c r="B739" s="4" t="s">
        <v>35</v>
      </c>
      <c r="C739" s="4" t="s">
        <v>36</v>
      </c>
      <c r="D739" s="5">
        <v>2519.1799999999998</v>
      </c>
      <c r="E739" s="6">
        <v>1</v>
      </c>
      <c r="F739" s="5">
        <v>2519.1799999999998</v>
      </c>
      <c r="G739" s="1">
        <v>45627</v>
      </c>
      <c r="H739" t="s">
        <v>80</v>
      </c>
      <c r="I739">
        <v>2.4</v>
      </c>
      <c r="J739" t="s">
        <v>26</v>
      </c>
      <c r="K739">
        <v>2024</v>
      </c>
      <c r="L739">
        <v>503.83600000000001</v>
      </c>
      <c r="M739">
        <v>30</v>
      </c>
      <c r="N739" t="s">
        <v>20</v>
      </c>
      <c r="O739" t="s">
        <v>28</v>
      </c>
      <c r="P739">
        <f>FlipkartSales[[#This Row],[Price (INR)]]*FlipkartSales[[#This Row],[Quantity Sold]]</f>
        <v>2519.1799999999998</v>
      </c>
      <c r="Q739">
        <f>FlipkartSales[[#This Row],[Total Sales (INR)]]-FlipkartSales[[#This Row],[Calculated Sales]]</f>
        <v>0</v>
      </c>
      <c r="R739" s="9">
        <f t="shared" si="88"/>
        <v>0.2</v>
      </c>
      <c r="S739">
        <f t="shared" si="89"/>
        <v>2519.1799999999998</v>
      </c>
      <c r="T739">
        <f t="shared" si="90"/>
        <v>503.83600000000001</v>
      </c>
      <c r="U739">
        <f t="shared" si="91"/>
        <v>12</v>
      </c>
      <c r="V739" t="str">
        <f t="shared" si="92"/>
        <v>Q4</v>
      </c>
      <c r="W739" t="str">
        <f t="shared" si="93"/>
        <v>Dec-2024</v>
      </c>
      <c r="X739">
        <f t="shared" si="94"/>
        <v>755.75399999999991</v>
      </c>
      <c r="Y739" s="5">
        <f t="shared" si="95"/>
        <v>1763.4259999999999</v>
      </c>
      <c r="Z739" s="21">
        <f>DATE(K739,MATCH(J739,{"January","February","March","April","May","June","July","August","September","October","November","December"},0),1)</f>
        <v>45627</v>
      </c>
    </row>
    <row r="740" spans="1:26" x14ac:dyDescent="0.3">
      <c r="A740" s="4" t="s">
        <v>808</v>
      </c>
      <c r="B740" s="4" t="s">
        <v>94</v>
      </c>
      <c r="C740" s="4" t="s">
        <v>31</v>
      </c>
      <c r="D740" s="5">
        <v>32626.32</v>
      </c>
      <c r="E740" s="6">
        <v>4</v>
      </c>
      <c r="F740" s="5">
        <v>130505.28</v>
      </c>
      <c r="G740" s="1">
        <v>45586</v>
      </c>
      <c r="H740" t="s">
        <v>25</v>
      </c>
      <c r="I740">
        <v>2.9</v>
      </c>
      <c r="J740" t="s">
        <v>45</v>
      </c>
      <c r="K740">
        <v>2024</v>
      </c>
      <c r="L740">
        <v>26101.056</v>
      </c>
      <c r="M740">
        <v>16</v>
      </c>
      <c r="N740" t="s">
        <v>27</v>
      </c>
      <c r="O740" t="s">
        <v>33</v>
      </c>
      <c r="P740">
        <f>FlipkartSales[[#This Row],[Price (INR)]]*FlipkartSales[[#This Row],[Quantity Sold]]</f>
        <v>130505.28</v>
      </c>
      <c r="Q740">
        <f>FlipkartSales[[#This Row],[Total Sales (INR)]]-FlipkartSales[[#This Row],[Calculated Sales]]</f>
        <v>0</v>
      </c>
      <c r="R740" s="9">
        <f t="shared" si="88"/>
        <v>0.2</v>
      </c>
      <c r="S740">
        <f t="shared" si="89"/>
        <v>32626.32</v>
      </c>
      <c r="T740">
        <f t="shared" si="90"/>
        <v>6525.2640000000001</v>
      </c>
      <c r="U740">
        <f t="shared" si="91"/>
        <v>10</v>
      </c>
      <c r="V740" t="str">
        <f t="shared" si="92"/>
        <v>Q4</v>
      </c>
      <c r="W740" t="str">
        <f t="shared" si="93"/>
        <v>Oct-2024</v>
      </c>
      <c r="X740">
        <f t="shared" si="94"/>
        <v>20880.844799999999</v>
      </c>
      <c r="Y740" s="5">
        <f t="shared" si="95"/>
        <v>109624.43520000001</v>
      </c>
      <c r="Z740" s="21">
        <f>DATE(K740,MATCH(J740,{"January","February","March","April","May","June","July","August","September","October","November","December"},0),1)</f>
        <v>45566</v>
      </c>
    </row>
    <row r="741" spans="1:26" x14ac:dyDescent="0.3">
      <c r="A741" s="4" t="s">
        <v>809</v>
      </c>
      <c r="B741" s="4" t="s">
        <v>66</v>
      </c>
      <c r="C741" s="4" t="s">
        <v>36</v>
      </c>
      <c r="D741" s="5">
        <v>14636.55</v>
      </c>
      <c r="E741" s="6">
        <v>3</v>
      </c>
      <c r="F741" s="5">
        <v>43909.65</v>
      </c>
      <c r="G741" s="1">
        <v>45421</v>
      </c>
      <c r="H741" t="s">
        <v>71</v>
      </c>
      <c r="I741">
        <v>3.6</v>
      </c>
      <c r="J741" t="s">
        <v>32</v>
      </c>
      <c r="K741">
        <v>2024</v>
      </c>
      <c r="L741">
        <v>8781.93</v>
      </c>
      <c r="M741">
        <v>17</v>
      </c>
      <c r="N741" t="s">
        <v>41</v>
      </c>
      <c r="O741" t="s">
        <v>28</v>
      </c>
      <c r="P741">
        <f>FlipkartSales[[#This Row],[Price (INR)]]*FlipkartSales[[#This Row],[Quantity Sold]]</f>
        <v>43909.649999999994</v>
      </c>
      <c r="Q741">
        <f>FlipkartSales[[#This Row],[Total Sales (INR)]]-FlipkartSales[[#This Row],[Calculated Sales]]</f>
        <v>0</v>
      </c>
      <c r="R741" s="9">
        <f t="shared" si="88"/>
        <v>0.2</v>
      </c>
      <c r="S741">
        <f t="shared" si="89"/>
        <v>14636.550000000001</v>
      </c>
      <c r="T741">
        <f t="shared" si="90"/>
        <v>2927.31</v>
      </c>
      <c r="U741">
        <f t="shared" si="91"/>
        <v>5</v>
      </c>
      <c r="V741" t="str">
        <f t="shared" si="92"/>
        <v>Q2</v>
      </c>
      <c r="W741" t="str">
        <f t="shared" si="93"/>
        <v>May-2024</v>
      </c>
      <c r="X741">
        <f t="shared" si="94"/>
        <v>7464.6405000000004</v>
      </c>
      <c r="Y741" s="5">
        <f t="shared" si="95"/>
        <v>36445.0095</v>
      </c>
      <c r="Z741" s="21">
        <f>DATE(K741,MATCH(J741,{"January","February","March","April","May","June","July","August","September","October","November","December"},0),1)</f>
        <v>45413</v>
      </c>
    </row>
    <row r="742" spans="1:26" x14ac:dyDescent="0.3">
      <c r="A742" s="4" t="s">
        <v>810</v>
      </c>
      <c r="B742" s="4" t="s">
        <v>30</v>
      </c>
      <c r="C742" s="4" t="s">
        <v>31</v>
      </c>
      <c r="D742" s="5">
        <v>19549.439999999999</v>
      </c>
      <c r="E742" s="6">
        <v>5</v>
      </c>
      <c r="F742" s="5">
        <v>97747.199999999997</v>
      </c>
      <c r="G742" s="1">
        <v>45511</v>
      </c>
      <c r="H742" t="s">
        <v>44</v>
      </c>
      <c r="I742">
        <v>1.7</v>
      </c>
      <c r="J742" t="s">
        <v>88</v>
      </c>
      <c r="K742">
        <v>2024</v>
      </c>
      <c r="L742">
        <v>19549.439999999999</v>
      </c>
      <c r="M742">
        <v>17</v>
      </c>
      <c r="N742" t="s">
        <v>41</v>
      </c>
      <c r="O742" t="s">
        <v>28</v>
      </c>
      <c r="P742">
        <f>FlipkartSales[[#This Row],[Price (INR)]]*FlipkartSales[[#This Row],[Quantity Sold]]</f>
        <v>97747.199999999997</v>
      </c>
      <c r="Q742">
        <f>FlipkartSales[[#This Row],[Total Sales (INR)]]-FlipkartSales[[#This Row],[Calculated Sales]]</f>
        <v>0</v>
      </c>
      <c r="R742" s="9">
        <f t="shared" si="88"/>
        <v>0.19999999999999998</v>
      </c>
      <c r="S742">
        <f t="shared" si="89"/>
        <v>19549.439999999999</v>
      </c>
      <c r="T742">
        <f t="shared" si="90"/>
        <v>3909.8879999999999</v>
      </c>
      <c r="U742">
        <f t="shared" si="91"/>
        <v>8</v>
      </c>
      <c r="V742" t="str">
        <f t="shared" si="92"/>
        <v>Q3</v>
      </c>
      <c r="W742" t="str">
        <f t="shared" si="93"/>
        <v>Aug-2024</v>
      </c>
      <c r="X742">
        <f t="shared" si="94"/>
        <v>16617.023999999998</v>
      </c>
      <c r="Y742" s="5">
        <f t="shared" si="95"/>
        <v>81130.176000000007</v>
      </c>
      <c r="Z742" s="21">
        <f>DATE(K742,MATCH(J742,{"January","February","March","April","May","June","July","August","September","October","November","December"},0),1)</f>
        <v>45505</v>
      </c>
    </row>
    <row r="743" spans="1:26" x14ac:dyDescent="0.3">
      <c r="A743" s="4" t="s">
        <v>811</v>
      </c>
      <c r="B743" s="4" t="s">
        <v>107</v>
      </c>
      <c r="C743" s="4" t="s">
        <v>36</v>
      </c>
      <c r="D743" s="5">
        <v>37195.730000000003</v>
      </c>
      <c r="E743" s="6">
        <v>2</v>
      </c>
      <c r="F743" s="5">
        <v>74391.460000000006</v>
      </c>
      <c r="G743" s="1">
        <v>45624</v>
      </c>
      <c r="H743" t="s">
        <v>25</v>
      </c>
      <c r="I743">
        <v>2.7</v>
      </c>
      <c r="J743" t="s">
        <v>37</v>
      </c>
      <c r="K743">
        <v>2024</v>
      </c>
      <c r="L743">
        <v>14878.292000000001</v>
      </c>
      <c r="M743">
        <v>19</v>
      </c>
      <c r="N743" t="s">
        <v>20</v>
      </c>
      <c r="O743" t="s">
        <v>33</v>
      </c>
      <c r="P743">
        <f>FlipkartSales[[#This Row],[Price (INR)]]*FlipkartSales[[#This Row],[Quantity Sold]]</f>
        <v>74391.460000000006</v>
      </c>
      <c r="Q743">
        <f>FlipkartSales[[#This Row],[Total Sales (INR)]]-FlipkartSales[[#This Row],[Calculated Sales]]</f>
        <v>0</v>
      </c>
      <c r="R743" s="9">
        <f t="shared" si="88"/>
        <v>0.2</v>
      </c>
      <c r="S743">
        <f t="shared" si="89"/>
        <v>37195.730000000003</v>
      </c>
      <c r="T743">
        <f t="shared" si="90"/>
        <v>7439.1460000000006</v>
      </c>
      <c r="U743">
        <f t="shared" si="91"/>
        <v>11</v>
      </c>
      <c r="V743" t="str">
        <f t="shared" si="92"/>
        <v>Q4</v>
      </c>
      <c r="W743" t="str">
        <f t="shared" si="93"/>
        <v>Nov-2024</v>
      </c>
      <c r="X743">
        <f t="shared" si="94"/>
        <v>14134.377400000003</v>
      </c>
      <c r="Y743" s="5">
        <f t="shared" si="95"/>
        <v>60257.082600000002</v>
      </c>
      <c r="Z743" s="21">
        <f>DATE(K743,MATCH(J743,{"January","February","March","April","May","June","July","August","September","October","November","December"},0),1)</f>
        <v>45597</v>
      </c>
    </row>
    <row r="744" spans="1:26" x14ac:dyDescent="0.3">
      <c r="A744" s="4" t="s">
        <v>812</v>
      </c>
      <c r="B744" s="4" t="s">
        <v>145</v>
      </c>
      <c r="C744" s="4" t="s">
        <v>40</v>
      </c>
      <c r="D744" s="5">
        <v>34821.93</v>
      </c>
      <c r="E744" s="6">
        <v>3</v>
      </c>
      <c r="F744" s="5">
        <v>104465.79</v>
      </c>
      <c r="G744" s="1">
        <v>45585</v>
      </c>
      <c r="H744" t="s">
        <v>71</v>
      </c>
      <c r="I744">
        <v>4.4000000000000004</v>
      </c>
      <c r="J744" t="s">
        <v>45</v>
      </c>
      <c r="K744">
        <v>2024</v>
      </c>
      <c r="L744">
        <v>20893.157999999999</v>
      </c>
      <c r="M744">
        <v>25</v>
      </c>
      <c r="N744" t="s">
        <v>27</v>
      </c>
      <c r="O744" t="s">
        <v>68</v>
      </c>
      <c r="P744">
        <f>FlipkartSales[[#This Row],[Price (INR)]]*FlipkartSales[[#This Row],[Quantity Sold]]</f>
        <v>104465.79000000001</v>
      </c>
      <c r="Q744">
        <f>FlipkartSales[[#This Row],[Total Sales (INR)]]-FlipkartSales[[#This Row],[Calculated Sales]]</f>
        <v>0</v>
      </c>
      <c r="R744" s="9">
        <f t="shared" si="88"/>
        <v>0.2</v>
      </c>
      <c r="S744">
        <f t="shared" si="89"/>
        <v>34821.93</v>
      </c>
      <c r="T744">
        <f t="shared" si="90"/>
        <v>6964.3859999999995</v>
      </c>
      <c r="U744">
        <f t="shared" si="91"/>
        <v>10</v>
      </c>
      <c r="V744" t="str">
        <f t="shared" si="92"/>
        <v>Q4</v>
      </c>
      <c r="W744" t="str">
        <f t="shared" si="93"/>
        <v>Oct-2024</v>
      </c>
      <c r="X744">
        <f t="shared" si="94"/>
        <v>26116.447499999998</v>
      </c>
      <c r="Y744" s="5">
        <f t="shared" si="95"/>
        <v>78349.342499999999</v>
      </c>
      <c r="Z744" s="21">
        <f>DATE(K744,MATCH(J744,{"January","February","March","April","May","June","July","August","September","October","November","December"},0),1)</f>
        <v>45566</v>
      </c>
    </row>
    <row r="745" spans="1:26" x14ac:dyDescent="0.3">
      <c r="A745" s="4" t="s">
        <v>813</v>
      </c>
      <c r="B745" s="4" t="s">
        <v>61</v>
      </c>
      <c r="C745" s="4" t="s">
        <v>31</v>
      </c>
      <c r="D745" s="5">
        <v>28630.92</v>
      </c>
      <c r="E745" s="6">
        <v>4</v>
      </c>
      <c r="F745" s="5">
        <v>114523.68</v>
      </c>
      <c r="G745" s="1">
        <v>45675</v>
      </c>
      <c r="H745" t="s">
        <v>71</v>
      </c>
      <c r="I745">
        <v>4.2</v>
      </c>
      <c r="J745" t="s">
        <v>53</v>
      </c>
      <c r="K745">
        <v>2025</v>
      </c>
      <c r="L745">
        <v>22904.736000000001</v>
      </c>
      <c r="M745">
        <v>20</v>
      </c>
      <c r="N745" t="s">
        <v>20</v>
      </c>
      <c r="O745" t="s">
        <v>28</v>
      </c>
      <c r="P745">
        <f>FlipkartSales[[#This Row],[Price (INR)]]*FlipkartSales[[#This Row],[Quantity Sold]]</f>
        <v>114523.68</v>
      </c>
      <c r="Q745">
        <f>FlipkartSales[[#This Row],[Total Sales (INR)]]-FlipkartSales[[#This Row],[Calculated Sales]]</f>
        <v>0</v>
      </c>
      <c r="R745" s="9">
        <f t="shared" si="88"/>
        <v>0.2</v>
      </c>
      <c r="S745">
        <f t="shared" si="89"/>
        <v>28630.92</v>
      </c>
      <c r="T745">
        <f t="shared" si="90"/>
        <v>5726.1840000000002</v>
      </c>
      <c r="U745">
        <f t="shared" si="91"/>
        <v>1</v>
      </c>
      <c r="V745" t="str">
        <f t="shared" si="92"/>
        <v>Q1</v>
      </c>
      <c r="W745" t="str">
        <f t="shared" si="93"/>
        <v>Jan-2025</v>
      </c>
      <c r="X745">
        <f t="shared" si="94"/>
        <v>22904.735999999997</v>
      </c>
      <c r="Y745" s="5">
        <f t="shared" si="95"/>
        <v>91618.943999999989</v>
      </c>
      <c r="Z745" s="21">
        <f>DATE(K745,MATCH(J745,{"January","February","March","April","May","June","July","August","September","October","November","December"},0),1)</f>
        <v>45658</v>
      </c>
    </row>
    <row r="746" spans="1:26" x14ac:dyDescent="0.3">
      <c r="A746" s="4" t="s">
        <v>814</v>
      </c>
      <c r="B746" s="4" t="s">
        <v>78</v>
      </c>
      <c r="C746" s="4" t="s">
        <v>24</v>
      </c>
      <c r="D746" s="5">
        <v>25059.360000000001</v>
      </c>
      <c r="E746" s="6">
        <v>5</v>
      </c>
      <c r="F746" s="5">
        <v>125296.8</v>
      </c>
      <c r="G746" s="1">
        <v>45358</v>
      </c>
      <c r="H746" t="s">
        <v>25</v>
      </c>
      <c r="I746">
        <v>2.4</v>
      </c>
      <c r="J746" t="s">
        <v>56</v>
      </c>
      <c r="K746">
        <v>2024</v>
      </c>
      <c r="L746">
        <v>25059.360000000001</v>
      </c>
      <c r="M746">
        <v>26</v>
      </c>
      <c r="N746" t="s">
        <v>27</v>
      </c>
      <c r="O746" t="s">
        <v>28</v>
      </c>
      <c r="P746">
        <f>FlipkartSales[[#This Row],[Price (INR)]]*FlipkartSales[[#This Row],[Quantity Sold]]</f>
        <v>125296.8</v>
      </c>
      <c r="Q746">
        <f>FlipkartSales[[#This Row],[Total Sales (INR)]]-FlipkartSales[[#This Row],[Calculated Sales]]</f>
        <v>0</v>
      </c>
      <c r="R746" s="9">
        <f t="shared" si="88"/>
        <v>0.2</v>
      </c>
      <c r="S746">
        <f t="shared" si="89"/>
        <v>25059.360000000001</v>
      </c>
      <c r="T746">
        <f t="shared" si="90"/>
        <v>5011.8720000000003</v>
      </c>
      <c r="U746">
        <f t="shared" si="91"/>
        <v>3</v>
      </c>
      <c r="V746" t="str">
        <f t="shared" si="92"/>
        <v>Q1</v>
      </c>
      <c r="W746" t="str">
        <f t="shared" si="93"/>
        <v>Mar-2024</v>
      </c>
      <c r="X746">
        <f t="shared" si="94"/>
        <v>32577.168000000001</v>
      </c>
      <c r="Y746" s="5">
        <f t="shared" si="95"/>
        <v>92719.631999999998</v>
      </c>
      <c r="Z746" s="21">
        <f>DATE(K746,MATCH(J746,{"January","February","March","April","May","June","July","August","September","October","November","December"},0),1)</f>
        <v>45352</v>
      </c>
    </row>
    <row r="747" spans="1:26" x14ac:dyDescent="0.3">
      <c r="A747" s="4" t="s">
        <v>815</v>
      </c>
      <c r="B747" s="4" t="s">
        <v>145</v>
      </c>
      <c r="C747" s="4" t="s">
        <v>40</v>
      </c>
      <c r="D747" s="5">
        <v>47795.34</v>
      </c>
      <c r="E747" s="6">
        <v>1</v>
      </c>
      <c r="F747" s="5">
        <v>47795.34</v>
      </c>
      <c r="G747" s="1">
        <v>45639</v>
      </c>
      <c r="H747" t="s">
        <v>64</v>
      </c>
      <c r="I747">
        <v>2.2999999999999998</v>
      </c>
      <c r="J747" t="s">
        <v>26</v>
      </c>
      <c r="K747">
        <v>2024</v>
      </c>
      <c r="L747">
        <v>9559.0679999999993</v>
      </c>
      <c r="M747">
        <v>25</v>
      </c>
      <c r="N747" t="s">
        <v>27</v>
      </c>
      <c r="O747" t="s">
        <v>28</v>
      </c>
      <c r="P747">
        <f>FlipkartSales[[#This Row],[Price (INR)]]*FlipkartSales[[#This Row],[Quantity Sold]]</f>
        <v>47795.34</v>
      </c>
      <c r="Q747">
        <f>FlipkartSales[[#This Row],[Total Sales (INR)]]-FlipkartSales[[#This Row],[Calculated Sales]]</f>
        <v>0</v>
      </c>
      <c r="R747" s="9">
        <f t="shared" si="88"/>
        <v>0.2</v>
      </c>
      <c r="S747">
        <f t="shared" si="89"/>
        <v>47795.34</v>
      </c>
      <c r="T747">
        <f t="shared" si="90"/>
        <v>9559.0679999999993</v>
      </c>
      <c r="U747">
        <f t="shared" si="91"/>
        <v>12</v>
      </c>
      <c r="V747" t="str">
        <f t="shared" si="92"/>
        <v>Q4</v>
      </c>
      <c r="W747" t="str">
        <f t="shared" si="93"/>
        <v>Dec-2024</v>
      </c>
      <c r="X747">
        <f t="shared" si="94"/>
        <v>11948.834999999999</v>
      </c>
      <c r="Y747" s="5">
        <f t="shared" si="95"/>
        <v>35846.504999999997</v>
      </c>
      <c r="Z747" s="21">
        <f>DATE(K747,MATCH(J747,{"January","February","March","April","May","June","July","August","September","October","November","December"},0),1)</f>
        <v>45627</v>
      </c>
    </row>
    <row r="748" spans="1:26" x14ac:dyDescent="0.3">
      <c r="A748" s="4" t="s">
        <v>816</v>
      </c>
      <c r="B748" s="4" t="s">
        <v>47</v>
      </c>
      <c r="C748" s="4" t="s">
        <v>24</v>
      </c>
      <c r="D748" s="5">
        <v>36918.199999999997</v>
      </c>
      <c r="E748" s="6">
        <v>4</v>
      </c>
      <c r="F748" s="5">
        <v>147672.79999999999</v>
      </c>
      <c r="G748" s="1">
        <v>45350</v>
      </c>
      <c r="H748" t="s">
        <v>44</v>
      </c>
      <c r="I748">
        <v>3.2</v>
      </c>
      <c r="J748" t="s">
        <v>59</v>
      </c>
      <c r="K748">
        <v>2024</v>
      </c>
      <c r="L748">
        <v>29534.559999999998</v>
      </c>
      <c r="M748">
        <v>15</v>
      </c>
      <c r="N748" t="s">
        <v>27</v>
      </c>
      <c r="O748" t="s">
        <v>68</v>
      </c>
      <c r="P748">
        <f>FlipkartSales[[#This Row],[Price (INR)]]*FlipkartSales[[#This Row],[Quantity Sold]]</f>
        <v>147672.79999999999</v>
      </c>
      <c r="Q748">
        <f>FlipkartSales[[#This Row],[Total Sales (INR)]]-FlipkartSales[[#This Row],[Calculated Sales]]</f>
        <v>0</v>
      </c>
      <c r="R748" s="9">
        <f t="shared" si="88"/>
        <v>0.2</v>
      </c>
      <c r="S748">
        <f t="shared" si="89"/>
        <v>36918.199999999997</v>
      </c>
      <c r="T748">
        <f t="shared" si="90"/>
        <v>7383.6399999999994</v>
      </c>
      <c r="U748">
        <f t="shared" si="91"/>
        <v>2</v>
      </c>
      <c r="V748" t="str">
        <f t="shared" si="92"/>
        <v>Q1</v>
      </c>
      <c r="W748" t="str">
        <f t="shared" si="93"/>
        <v>Feb-2024</v>
      </c>
      <c r="X748">
        <f t="shared" si="94"/>
        <v>22150.92</v>
      </c>
      <c r="Y748" s="5">
        <f t="shared" si="95"/>
        <v>125521.87999999999</v>
      </c>
      <c r="Z748" s="21">
        <f>DATE(K748,MATCH(J748,{"January","February","March","April","May","June","July","August","September","October","November","December"},0),1)</f>
        <v>45323</v>
      </c>
    </row>
    <row r="749" spans="1:26" x14ac:dyDescent="0.3">
      <c r="A749" s="4" t="s">
        <v>817</v>
      </c>
      <c r="B749" s="4" t="s">
        <v>61</v>
      </c>
      <c r="C749" s="4" t="s">
        <v>31</v>
      </c>
      <c r="D749" s="5">
        <v>3394.38</v>
      </c>
      <c r="E749" s="6">
        <v>3</v>
      </c>
      <c r="F749" s="5">
        <v>10183.14</v>
      </c>
      <c r="G749" s="1">
        <v>45469</v>
      </c>
      <c r="H749" t="s">
        <v>25</v>
      </c>
      <c r="I749">
        <v>3.5</v>
      </c>
      <c r="J749" t="s">
        <v>67</v>
      </c>
      <c r="K749">
        <v>2024</v>
      </c>
      <c r="L749">
        <v>2036.6279999999999</v>
      </c>
      <c r="M749">
        <v>9</v>
      </c>
      <c r="N749" t="s">
        <v>41</v>
      </c>
      <c r="O749" t="s">
        <v>68</v>
      </c>
      <c r="P749">
        <f>FlipkartSales[[#This Row],[Price (INR)]]*FlipkartSales[[#This Row],[Quantity Sold]]</f>
        <v>10183.14</v>
      </c>
      <c r="Q749">
        <f>FlipkartSales[[#This Row],[Total Sales (INR)]]-FlipkartSales[[#This Row],[Calculated Sales]]</f>
        <v>0</v>
      </c>
      <c r="R749" s="9">
        <f t="shared" si="88"/>
        <v>0.2</v>
      </c>
      <c r="S749">
        <f t="shared" si="89"/>
        <v>3394.3799999999997</v>
      </c>
      <c r="T749">
        <f t="shared" si="90"/>
        <v>678.87599999999998</v>
      </c>
      <c r="U749">
        <f t="shared" si="91"/>
        <v>6</v>
      </c>
      <c r="V749" t="str">
        <f t="shared" si="92"/>
        <v>Q2</v>
      </c>
      <c r="W749" t="str">
        <f t="shared" si="93"/>
        <v>Jun-2024</v>
      </c>
      <c r="X749">
        <f t="shared" si="94"/>
        <v>916.48259999999993</v>
      </c>
      <c r="Y749" s="5">
        <f t="shared" si="95"/>
        <v>9266.6574000000001</v>
      </c>
      <c r="Z749" s="21">
        <f>DATE(K749,MATCH(J749,{"January","February","March","April","May","June","July","August","September","October","November","December"},0),1)</f>
        <v>45444</v>
      </c>
    </row>
    <row r="750" spans="1:26" x14ac:dyDescent="0.3">
      <c r="A750" s="4" t="s">
        <v>818</v>
      </c>
      <c r="B750" s="4" t="s">
        <v>66</v>
      </c>
      <c r="C750" s="4" t="s">
        <v>36</v>
      </c>
      <c r="D750" s="5">
        <v>11142.38</v>
      </c>
      <c r="E750" s="6">
        <v>5</v>
      </c>
      <c r="F750" s="5">
        <v>55711.9</v>
      </c>
      <c r="G750" s="1">
        <v>45511</v>
      </c>
      <c r="H750" t="s">
        <v>71</v>
      </c>
      <c r="I750">
        <v>3.3</v>
      </c>
      <c r="J750" t="s">
        <v>88</v>
      </c>
      <c r="K750">
        <v>2024</v>
      </c>
      <c r="L750">
        <v>11142.380000000001</v>
      </c>
      <c r="M750">
        <v>8</v>
      </c>
      <c r="N750" t="s">
        <v>20</v>
      </c>
      <c r="O750" t="s">
        <v>21</v>
      </c>
      <c r="P750">
        <f>FlipkartSales[[#This Row],[Price (INR)]]*FlipkartSales[[#This Row],[Quantity Sold]]</f>
        <v>55711.899999999994</v>
      </c>
      <c r="Q750">
        <f>FlipkartSales[[#This Row],[Total Sales (INR)]]-FlipkartSales[[#This Row],[Calculated Sales]]</f>
        <v>0</v>
      </c>
      <c r="R750" s="9">
        <f t="shared" si="88"/>
        <v>0.2</v>
      </c>
      <c r="S750">
        <f t="shared" si="89"/>
        <v>11142.380000000001</v>
      </c>
      <c r="T750">
        <f t="shared" si="90"/>
        <v>2228.4760000000001</v>
      </c>
      <c r="U750">
        <f t="shared" si="91"/>
        <v>8</v>
      </c>
      <c r="V750" t="str">
        <f t="shared" si="92"/>
        <v>Q3</v>
      </c>
      <c r="W750" t="str">
        <f t="shared" si="93"/>
        <v>Aug-2024</v>
      </c>
      <c r="X750">
        <f t="shared" si="94"/>
        <v>4456.9520000000002</v>
      </c>
      <c r="Y750" s="5">
        <f t="shared" si="95"/>
        <v>51254.948000000004</v>
      </c>
      <c r="Z750" s="21">
        <f>DATE(K750,MATCH(J750,{"January","February","March","April","May","June","July","August","September","October","November","December"},0),1)</f>
        <v>45505</v>
      </c>
    </row>
    <row r="751" spans="1:26" x14ac:dyDescent="0.3">
      <c r="A751" s="4" t="s">
        <v>819</v>
      </c>
      <c r="B751" s="4" t="s">
        <v>39</v>
      </c>
      <c r="C751" s="4" t="s">
        <v>40</v>
      </c>
      <c r="D751" s="5">
        <v>18602.849999999999</v>
      </c>
      <c r="E751" s="6">
        <v>5</v>
      </c>
      <c r="F751" s="5">
        <v>93014.25</v>
      </c>
      <c r="G751" s="1">
        <v>45590</v>
      </c>
      <c r="H751" t="s">
        <v>25</v>
      </c>
      <c r="I751">
        <v>4.3</v>
      </c>
      <c r="J751" t="s">
        <v>45</v>
      </c>
      <c r="K751">
        <v>2024</v>
      </c>
      <c r="L751">
        <v>18602.850000000002</v>
      </c>
      <c r="M751">
        <v>7</v>
      </c>
      <c r="N751" t="s">
        <v>20</v>
      </c>
      <c r="O751" t="s">
        <v>33</v>
      </c>
      <c r="P751">
        <f>FlipkartSales[[#This Row],[Price (INR)]]*FlipkartSales[[#This Row],[Quantity Sold]]</f>
        <v>93014.25</v>
      </c>
      <c r="Q751">
        <f>FlipkartSales[[#This Row],[Total Sales (INR)]]-FlipkartSales[[#This Row],[Calculated Sales]]</f>
        <v>0</v>
      </c>
      <c r="R751" s="9">
        <f t="shared" si="88"/>
        <v>0.2</v>
      </c>
      <c r="S751">
        <f t="shared" si="89"/>
        <v>18602.849999999999</v>
      </c>
      <c r="T751">
        <f t="shared" si="90"/>
        <v>3720.5700000000006</v>
      </c>
      <c r="U751">
        <f t="shared" si="91"/>
        <v>10</v>
      </c>
      <c r="V751" t="str">
        <f t="shared" si="92"/>
        <v>Q4</v>
      </c>
      <c r="W751" t="str">
        <f t="shared" si="93"/>
        <v>Oct-2024</v>
      </c>
      <c r="X751">
        <f t="shared" si="94"/>
        <v>6510.9975000000004</v>
      </c>
      <c r="Y751" s="5">
        <f t="shared" si="95"/>
        <v>86503.252500000002</v>
      </c>
      <c r="Z751" s="21">
        <f>DATE(K751,MATCH(J751,{"January","February","March","April","May","June","July","August","September","October","November","December"},0),1)</f>
        <v>45566</v>
      </c>
    </row>
    <row r="752" spans="1:26" x14ac:dyDescent="0.3">
      <c r="A752" s="4" t="s">
        <v>820</v>
      </c>
      <c r="B752" s="4" t="s">
        <v>52</v>
      </c>
      <c r="C752" s="4" t="s">
        <v>24</v>
      </c>
      <c r="D752" s="5">
        <v>13557.11</v>
      </c>
      <c r="E752" s="6">
        <v>5</v>
      </c>
      <c r="F752" s="5">
        <v>67785.55</v>
      </c>
      <c r="G752" s="1">
        <v>45437</v>
      </c>
      <c r="H752" t="s">
        <v>80</v>
      </c>
      <c r="I752">
        <v>1.3</v>
      </c>
      <c r="J752" t="s">
        <v>32</v>
      </c>
      <c r="K752">
        <v>2024</v>
      </c>
      <c r="L752">
        <v>13557.11</v>
      </c>
      <c r="M752">
        <v>23</v>
      </c>
      <c r="N752" t="s">
        <v>27</v>
      </c>
      <c r="O752" t="s">
        <v>68</v>
      </c>
      <c r="P752">
        <f>FlipkartSales[[#This Row],[Price (INR)]]*FlipkartSales[[#This Row],[Quantity Sold]]</f>
        <v>67785.55</v>
      </c>
      <c r="Q752">
        <f>FlipkartSales[[#This Row],[Total Sales (INR)]]-FlipkartSales[[#This Row],[Calculated Sales]]</f>
        <v>0</v>
      </c>
      <c r="R752" s="9">
        <f t="shared" si="88"/>
        <v>0.2</v>
      </c>
      <c r="S752">
        <f t="shared" si="89"/>
        <v>13557.11</v>
      </c>
      <c r="T752">
        <f t="shared" si="90"/>
        <v>2711.422</v>
      </c>
      <c r="U752">
        <f t="shared" si="91"/>
        <v>5</v>
      </c>
      <c r="V752" t="str">
        <f t="shared" si="92"/>
        <v>Q2</v>
      </c>
      <c r="W752" t="str">
        <f t="shared" si="93"/>
        <v>May-2024</v>
      </c>
      <c r="X752">
        <f t="shared" si="94"/>
        <v>15590.676500000001</v>
      </c>
      <c r="Y752" s="5">
        <f t="shared" si="95"/>
        <v>52194.873500000002</v>
      </c>
      <c r="Z752" s="21">
        <f>DATE(K752,MATCH(J752,{"January","February","March","April","May","June","July","August","September","October","November","December"},0),1)</f>
        <v>45413</v>
      </c>
    </row>
    <row r="753" spans="1:26" x14ac:dyDescent="0.3">
      <c r="A753" s="4" t="s">
        <v>821</v>
      </c>
      <c r="B753" s="4" t="s">
        <v>43</v>
      </c>
      <c r="C753" s="4" t="s">
        <v>40</v>
      </c>
      <c r="D753" s="5">
        <v>13559.18</v>
      </c>
      <c r="E753" s="6">
        <v>1</v>
      </c>
      <c r="F753" s="5">
        <v>13559.18</v>
      </c>
      <c r="G753" s="1">
        <v>45515</v>
      </c>
      <c r="H753" t="s">
        <v>18</v>
      </c>
      <c r="I753">
        <v>1</v>
      </c>
      <c r="J753" t="s">
        <v>88</v>
      </c>
      <c r="K753">
        <v>2024</v>
      </c>
      <c r="L753">
        <v>2711.8360000000002</v>
      </c>
      <c r="M753">
        <v>24</v>
      </c>
      <c r="N753" t="s">
        <v>41</v>
      </c>
      <c r="O753" t="s">
        <v>33</v>
      </c>
      <c r="P753">
        <f>FlipkartSales[[#This Row],[Price (INR)]]*FlipkartSales[[#This Row],[Quantity Sold]]</f>
        <v>13559.18</v>
      </c>
      <c r="Q753">
        <f>FlipkartSales[[#This Row],[Total Sales (INR)]]-FlipkartSales[[#This Row],[Calculated Sales]]</f>
        <v>0</v>
      </c>
      <c r="R753" s="9">
        <f t="shared" si="88"/>
        <v>0.2</v>
      </c>
      <c r="S753">
        <f t="shared" si="89"/>
        <v>13559.18</v>
      </c>
      <c r="T753">
        <f t="shared" si="90"/>
        <v>2711.8360000000002</v>
      </c>
      <c r="U753">
        <f t="shared" si="91"/>
        <v>8</v>
      </c>
      <c r="V753" t="str">
        <f t="shared" si="92"/>
        <v>Q3</v>
      </c>
      <c r="W753" t="str">
        <f t="shared" si="93"/>
        <v>Aug-2024</v>
      </c>
      <c r="X753">
        <f t="shared" si="94"/>
        <v>3254.2031999999999</v>
      </c>
      <c r="Y753" s="5">
        <f t="shared" si="95"/>
        <v>10304.9768</v>
      </c>
      <c r="Z753" s="21">
        <f>DATE(K753,MATCH(J753,{"January","February","March","April","May","June","July","August","September","October","November","December"},0),1)</f>
        <v>45505</v>
      </c>
    </row>
    <row r="754" spans="1:26" x14ac:dyDescent="0.3">
      <c r="A754" s="4" t="s">
        <v>822</v>
      </c>
      <c r="B754" s="4" t="s">
        <v>55</v>
      </c>
      <c r="C754" s="4" t="s">
        <v>36</v>
      </c>
      <c r="D754" s="5">
        <v>41926.03</v>
      </c>
      <c r="E754" s="6">
        <v>2</v>
      </c>
      <c r="F754" s="5">
        <v>83852.06</v>
      </c>
      <c r="G754" s="1">
        <v>45689</v>
      </c>
      <c r="H754" t="s">
        <v>64</v>
      </c>
      <c r="I754">
        <v>3.6</v>
      </c>
      <c r="J754" t="s">
        <v>59</v>
      </c>
      <c r="K754">
        <v>2025</v>
      </c>
      <c r="L754">
        <v>16770.412</v>
      </c>
      <c r="M754">
        <v>29</v>
      </c>
      <c r="N754" t="s">
        <v>41</v>
      </c>
      <c r="O754" t="s">
        <v>21</v>
      </c>
      <c r="P754">
        <f>FlipkartSales[[#This Row],[Price (INR)]]*FlipkartSales[[#This Row],[Quantity Sold]]</f>
        <v>83852.06</v>
      </c>
      <c r="Q754">
        <f>FlipkartSales[[#This Row],[Total Sales (INR)]]-FlipkartSales[[#This Row],[Calculated Sales]]</f>
        <v>0</v>
      </c>
      <c r="R754" s="9">
        <f t="shared" si="88"/>
        <v>0.2</v>
      </c>
      <c r="S754">
        <f t="shared" si="89"/>
        <v>41926.03</v>
      </c>
      <c r="T754">
        <f t="shared" si="90"/>
        <v>8385.2060000000001</v>
      </c>
      <c r="U754">
        <f t="shared" si="91"/>
        <v>2</v>
      </c>
      <c r="V754" t="str">
        <f t="shared" si="92"/>
        <v>Q1</v>
      </c>
      <c r="W754" t="str">
        <f t="shared" si="93"/>
        <v>Feb-2025</v>
      </c>
      <c r="X754">
        <f t="shared" si="94"/>
        <v>24317.097399999999</v>
      </c>
      <c r="Y754" s="5">
        <f t="shared" si="95"/>
        <v>59534.962599999999</v>
      </c>
      <c r="Z754" s="21">
        <f>DATE(K754,MATCH(J754,{"January","February","March","April","May","June","July","August","September","October","November","December"},0),1)</f>
        <v>45689</v>
      </c>
    </row>
    <row r="755" spans="1:26" x14ac:dyDescent="0.3">
      <c r="A755" s="4" t="s">
        <v>823</v>
      </c>
      <c r="B755" s="4" t="s">
        <v>61</v>
      </c>
      <c r="C755" s="4" t="s">
        <v>31</v>
      </c>
      <c r="D755" s="5">
        <v>12930.46</v>
      </c>
      <c r="E755" s="6">
        <v>4</v>
      </c>
      <c r="F755" s="5">
        <v>51721.84</v>
      </c>
      <c r="G755" s="1">
        <v>45656</v>
      </c>
      <c r="H755" t="s">
        <v>80</v>
      </c>
      <c r="I755">
        <v>1.9</v>
      </c>
      <c r="J755" t="s">
        <v>26</v>
      </c>
      <c r="K755">
        <v>2024</v>
      </c>
      <c r="L755">
        <v>10344.368</v>
      </c>
      <c r="M755">
        <v>22</v>
      </c>
      <c r="N755" t="s">
        <v>20</v>
      </c>
      <c r="O755" t="s">
        <v>33</v>
      </c>
      <c r="P755">
        <f>FlipkartSales[[#This Row],[Price (INR)]]*FlipkartSales[[#This Row],[Quantity Sold]]</f>
        <v>51721.84</v>
      </c>
      <c r="Q755">
        <f>FlipkartSales[[#This Row],[Total Sales (INR)]]-FlipkartSales[[#This Row],[Calculated Sales]]</f>
        <v>0</v>
      </c>
      <c r="R755" s="9">
        <f t="shared" si="88"/>
        <v>0.2</v>
      </c>
      <c r="S755">
        <f t="shared" si="89"/>
        <v>12930.46</v>
      </c>
      <c r="T755">
        <f t="shared" si="90"/>
        <v>2586.0920000000001</v>
      </c>
      <c r="U755">
        <f t="shared" si="91"/>
        <v>12</v>
      </c>
      <c r="V755" t="str">
        <f t="shared" si="92"/>
        <v>Q4</v>
      </c>
      <c r="W755" t="str">
        <f t="shared" si="93"/>
        <v>Dec-2024</v>
      </c>
      <c r="X755">
        <f t="shared" si="94"/>
        <v>11378.8048</v>
      </c>
      <c r="Y755" s="5">
        <f t="shared" si="95"/>
        <v>40343.035199999998</v>
      </c>
      <c r="Z755" s="21">
        <f>DATE(K755,MATCH(J755,{"January","February","March","April","May","June","July","August","September","October","November","December"},0),1)</f>
        <v>45627</v>
      </c>
    </row>
    <row r="756" spans="1:26" x14ac:dyDescent="0.3">
      <c r="A756" s="4" t="s">
        <v>824</v>
      </c>
      <c r="B756" s="4" t="s">
        <v>96</v>
      </c>
      <c r="C756" s="4" t="s">
        <v>36</v>
      </c>
      <c r="D756" s="5">
        <v>37355.589999999997</v>
      </c>
      <c r="E756" s="6">
        <v>3</v>
      </c>
      <c r="F756" s="5">
        <v>112066.77</v>
      </c>
      <c r="G756" s="1">
        <v>45481</v>
      </c>
      <c r="H756" t="s">
        <v>44</v>
      </c>
      <c r="I756">
        <v>1.7</v>
      </c>
      <c r="J756" t="s">
        <v>48</v>
      </c>
      <c r="K756">
        <v>2024</v>
      </c>
      <c r="L756">
        <v>22413.354000000003</v>
      </c>
      <c r="M756">
        <v>19</v>
      </c>
      <c r="N756" t="s">
        <v>41</v>
      </c>
      <c r="O756" t="s">
        <v>68</v>
      </c>
      <c r="P756">
        <f>FlipkartSales[[#This Row],[Price (INR)]]*FlipkartSales[[#This Row],[Quantity Sold]]</f>
        <v>112066.76999999999</v>
      </c>
      <c r="Q756">
        <f>FlipkartSales[[#This Row],[Total Sales (INR)]]-FlipkartSales[[#This Row],[Calculated Sales]]</f>
        <v>0</v>
      </c>
      <c r="R756" s="9">
        <f t="shared" si="88"/>
        <v>0.2</v>
      </c>
      <c r="S756">
        <f t="shared" si="89"/>
        <v>37355.590000000004</v>
      </c>
      <c r="T756">
        <f t="shared" si="90"/>
        <v>7471.1180000000013</v>
      </c>
      <c r="U756">
        <f t="shared" si="91"/>
        <v>7</v>
      </c>
      <c r="V756" t="str">
        <f t="shared" si="92"/>
        <v>Q3</v>
      </c>
      <c r="W756" t="str">
        <f t="shared" si="93"/>
        <v>Jul-2024</v>
      </c>
      <c r="X756">
        <f t="shared" si="94"/>
        <v>21292.686299999998</v>
      </c>
      <c r="Y756" s="5">
        <f t="shared" si="95"/>
        <v>90774.083700000003</v>
      </c>
      <c r="Z756" s="21">
        <f>DATE(K756,MATCH(J756,{"January","February","March","April","May","June","July","August","September","October","November","December"},0),1)</f>
        <v>45474</v>
      </c>
    </row>
    <row r="757" spans="1:26" x14ac:dyDescent="0.3">
      <c r="A757" s="4" t="s">
        <v>825</v>
      </c>
      <c r="B757" s="4" t="s">
        <v>61</v>
      </c>
      <c r="C757" s="4" t="s">
        <v>31</v>
      </c>
      <c r="D757" s="5">
        <v>18385.32</v>
      </c>
      <c r="E757" s="6">
        <v>5</v>
      </c>
      <c r="F757" s="5">
        <v>91926.6</v>
      </c>
      <c r="G757" s="1">
        <v>45427</v>
      </c>
      <c r="H757" t="s">
        <v>25</v>
      </c>
      <c r="I757">
        <v>3.8</v>
      </c>
      <c r="J757" t="s">
        <v>32</v>
      </c>
      <c r="K757">
        <v>2024</v>
      </c>
      <c r="L757">
        <v>18385.320000000003</v>
      </c>
      <c r="M757">
        <v>13</v>
      </c>
      <c r="N757" t="s">
        <v>41</v>
      </c>
      <c r="O757" t="s">
        <v>33</v>
      </c>
      <c r="P757">
        <f>FlipkartSales[[#This Row],[Price (INR)]]*FlipkartSales[[#This Row],[Quantity Sold]]</f>
        <v>91926.6</v>
      </c>
      <c r="Q757">
        <f>FlipkartSales[[#This Row],[Total Sales (INR)]]-FlipkartSales[[#This Row],[Calculated Sales]]</f>
        <v>0</v>
      </c>
      <c r="R757" s="9">
        <f t="shared" si="88"/>
        <v>0.2</v>
      </c>
      <c r="S757">
        <f t="shared" si="89"/>
        <v>18385.32</v>
      </c>
      <c r="T757">
        <f t="shared" si="90"/>
        <v>3677.0640000000008</v>
      </c>
      <c r="U757">
        <f t="shared" si="91"/>
        <v>5</v>
      </c>
      <c r="V757" t="str">
        <f t="shared" si="92"/>
        <v>Q2</v>
      </c>
      <c r="W757" t="str">
        <f t="shared" si="93"/>
        <v>May-2024</v>
      </c>
      <c r="X757">
        <f t="shared" si="94"/>
        <v>11950.458000000001</v>
      </c>
      <c r="Y757" s="5">
        <f t="shared" si="95"/>
        <v>79976.142000000007</v>
      </c>
      <c r="Z757" s="21">
        <f>DATE(K757,MATCH(J757,{"January","February","March","April","May","June","July","August","September","October","November","December"},0),1)</f>
        <v>45413</v>
      </c>
    </row>
    <row r="758" spans="1:26" x14ac:dyDescent="0.3">
      <c r="A758" s="4" t="s">
        <v>826</v>
      </c>
      <c r="B758" s="4" t="s">
        <v>74</v>
      </c>
      <c r="C758" s="4" t="s">
        <v>17</v>
      </c>
      <c r="D758" s="5">
        <v>5299.58</v>
      </c>
      <c r="E758" s="6">
        <v>4</v>
      </c>
      <c r="F758" s="5">
        <v>21198.32</v>
      </c>
      <c r="G758" s="1">
        <v>45531</v>
      </c>
      <c r="H758" t="s">
        <v>18</v>
      </c>
      <c r="I758">
        <v>2.8</v>
      </c>
      <c r="J758" t="s">
        <v>88</v>
      </c>
      <c r="K758">
        <v>2024</v>
      </c>
      <c r="L758">
        <v>4239.6639999999998</v>
      </c>
      <c r="M758">
        <v>21</v>
      </c>
      <c r="N758" t="s">
        <v>27</v>
      </c>
      <c r="O758" t="s">
        <v>68</v>
      </c>
      <c r="P758">
        <f>FlipkartSales[[#This Row],[Price (INR)]]*FlipkartSales[[#This Row],[Quantity Sold]]</f>
        <v>21198.32</v>
      </c>
      <c r="Q758">
        <f>FlipkartSales[[#This Row],[Total Sales (INR)]]-FlipkartSales[[#This Row],[Calculated Sales]]</f>
        <v>0</v>
      </c>
      <c r="R758" s="9">
        <f t="shared" si="88"/>
        <v>0.19999999999999998</v>
      </c>
      <c r="S758">
        <f t="shared" si="89"/>
        <v>5299.58</v>
      </c>
      <c r="T758">
        <f t="shared" si="90"/>
        <v>1059.9159999999999</v>
      </c>
      <c r="U758">
        <f t="shared" si="91"/>
        <v>8</v>
      </c>
      <c r="V758" t="str">
        <f t="shared" si="92"/>
        <v>Q3</v>
      </c>
      <c r="W758" t="str">
        <f t="shared" si="93"/>
        <v>Aug-2024</v>
      </c>
      <c r="X758">
        <f t="shared" si="94"/>
        <v>4451.6471999999994</v>
      </c>
      <c r="Y758" s="5">
        <f t="shared" si="95"/>
        <v>16746.6728</v>
      </c>
      <c r="Z758" s="21">
        <f>DATE(K758,MATCH(J758,{"January","February","March","April","May","June","July","August","September","October","November","December"},0),1)</f>
        <v>45505</v>
      </c>
    </row>
    <row r="759" spans="1:26" x14ac:dyDescent="0.3">
      <c r="A759" s="4" t="s">
        <v>827</v>
      </c>
      <c r="B759" s="4" t="s">
        <v>16</v>
      </c>
      <c r="C759" s="4" t="s">
        <v>17</v>
      </c>
      <c r="D759" s="5">
        <v>7649.41</v>
      </c>
      <c r="E759" s="6">
        <v>4</v>
      </c>
      <c r="F759" s="5">
        <v>30597.64</v>
      </c>
      <c r="G759" s="1">
        <v>45398</v>
      </c>
      <c r="H759" t="s">
        <v>25</v>
      </c>
      <c r="I759">
        <v>1.6</v>
      </c>
      <c r="J759" t="s">
        <v>62</v>
      </c>
      <c r="K759">
        <v>2024</v>
      </c>
      <c r="L759">
        <v>6119.5280000000002</v>
      </c>
      <c r="M759">
        <v>18</v>
      </c>
      <c r="N759" t="s">
        <v>41</v>
      </c>
      <c r="O759" t="s">
        <v>33</v>
      </c>
      <c r="P759">
        <f>FlipkartSales[[#This Row],[Price (INR)]]*FlipkartSales[[#This Row],[Quantity Sold]]</f>
        <v>30597.64</v>
      </c>
      <c r="Q759">
        <f>FlipkartSales[[#This Row],[Total Sales (INR)]]-FlipkartSales[[#This Row],[Calculated Sales]]</f>
        <v>0</v>
      </c>
      <c r="R759" s="9">
        <f t="shared" si="88"/>
        <v>0.2</v>
      </c>
      <c r="S759">
        <f t="shared" si="89"/>
        <v>7649.41</v>
      </c>
      <c r="T759">
        <f t="shared" si="90"/>
        <v>1529.8820000000001</v>
      </c>
      <c r="U759">
        <f t="shared" si="91"/>
        <v>4</v>
      </c>
      <c r="V759" t="str">
        <f t="shared" si="92"/>
        <v>Q2</v>
      </c>
      <c r="W759" t="str">
        <f t="shared" si="93"/>
        <v>Apr-2024</v>
      </c>
      <c r="X759">
        <f t="shared" si="94"/>
        <v>5507.5752000000002</v>
      </c>
      <c r="Y759" s="5">
        <f t="shared" si="95"/>
        <v>25090.0648</v>
      </c>
      <c r="Z759" s="21">
        <f>DATE(K759,MATCH(J759,{"January","February","March","April","May","June","July","August","September","October","November","December"},0),1)</f>
        <v>45383</v>
      </c>
    </row>
    <row r="760" spans="1:26" x14ac:dyDescent="0.3">
      <c r="A760" s="4" t="s">
        <v>828</v>
      </c>
      <c r="B760" s="4" t="s">
        <v>43</v>
      </c>
      <c r="C760" s="4" t="s">
        <v>40</v>
      </c>
      <c r="D760" s="5">
        <v>36950.980000000003</v>
      </c>
      <c r="E760" s="6">
        <v>4</v>
      </c>
      <c r="F760" s="5">
        <v>147803.92000000001</v>
      </c>
      <c r="G760" s="1">
        <v>45572</v>
      </c>
      <c r="H760" t="s">
        <v>18</v>
      </c>
      <c r="I760">
        <v>3</v>
      </c>
      <c r="J760" t="s">
        <v>45</v>
      </c>
      <c r="K760">
        <v>2024</v>
      </c>
      <c r="L760">
        <v>29560.784000000003</v>
      </c>
      <c r="M760">
        <v>19</v>
      </c>
      <c r="N760" t="s">
        <v>27</v>
      </c>
      <c r="O760" t="s">
        <v>68</v>
      </c>
      <c r="P760">
        <f>FlipkartSales[[#This Row],[Price (INR)]]*FlipkartSales[[#This Row],[Quantity Sold]]</f>
        <v>147803.92000000001</v>
      </c>
      <c r="Q760">
        <f>FlipkartSales[[#This Row],[Total Sales (INR)]]-FlipkartSales[[#This Row],[Calculated Sales]]</f>
        <v>0</v>
      </c>
      <c r="R760" s="9">
        <f t="shared" si="88"/>
        <v>0.2</v>
      </c>
      <c r="S760">
        <f t="shared" si="89"/>
        <v>36950.980000000003</v>
      </c>
      <c r="T760">
        <f t="shared" si="90"/>
        <v>7390.1960000000008</v>
      </c>
      <c r="U760">
        <f t="shared" si="91"/>
        <v>10</v>
      </c>
      <c r="V760" t="str">
        <f t="shared" si="92"/>
        <v>Q4</v>
      </c>
      <c r="W760" t="str">
        <f t="shared" si="93"/>
        <v>Oct-2024</v>
      </c>
      <c r="X760">
        <f t="shared" si="94"/>
        <v>28082.744800000004</v>
      </c>
      <c r="Y760" s="5">
        <f t="shared" si="95"/>
        <v>119721.17520000001</v>
      </c>
      <c r="Z760" s="21">
        <f>DATE(K760,MATCH(J760,{"January","February","March","April","May","June","July","August","September","October","November","December"},0),1)</f>
        <v>45566</v>
      </c>
    </row>
    <row r="761" spans="1:26" x14ac:dyDescent="0.3">
      <c r="A761" s="4" t="s">
        <v>829</v>
      </c>
      <c r="B761" s="4" t="s">
        <v>70</v>
      </c>
      <c r="C761" s="4" t="s">
        <v>17</v>
      </c>
      <c r="D761" s="5">
        <v>2136.9899999999998</v>
      </c>
      <c r="E761" s="6">
        <v>1</v>
      </c>
      <c r="F761" s="5">
        <v>2136.9899999999998</v>
      </c>
      <c r="G761" s="1">
        <v>45542</v>
      </c>
      <c r="H761" t="s">
        <v>80</v>
      </c>
      <c r="I761">
        <v>2.2000000000000002</v>
      </c>
      <c r="J761" t="s">
        <v>19</v>
      </c>
      <c r="K761">
        <v>2024</v>
      </c>
      <c r="L761">
        <v>427.39799999999997</v>
      </c>
      <c r="M761">
        <v>5</v>
      </c>
      <c r="N761" t="s">
        <v>20</v>
      </c>
      <c r="O761" t="s">
        <v>68</v>
      </c>
      <c r="P761">
        <f>FlipkartSales[[#This Row],[Price (INR)]]*FlipkartSales[[#This Row],[Quantity Sold]]</f>
        <v>2136.9899999999998</v>
      </c>
      <c r="Q761">
        <f>FlipkartSales[[#This Row],[Total Sales (INR)]]-FlipkartSales[[#This Row],[Calculated Sales]]</f>
        <v>0</v>
      </c>
      <c r="R761" s="9">
        <f t="shared" si="88"/>
        <v>0.2</v>
      </c>
      <c r="S761">
        <f t="shared" si="89"/>
        <v>2136.9899999999998</v>
      </c>
      <c r="T761">
        <f t="shared" si="90"/>
        <v>427.39799999999997</v>
      </c>
      <c r="U761">
        <f t="shared" si="91"/>
        <v>9</v>
      </c>
      <c r="V761" t="str">
        <f t="shared" si="92"/>
        <v>Q3</v>
      </c>
      <c r="W761" t="str">
        <f t="shared" si="93"/>
        <v>Sep-2024</v>
      </c>
      <c r="X761">
        <f t="shared" si="94"/>
        <v>106.84949999999999</v>
      </c>
      <c r="Y761" s="5">
        <f t="shared" si="95"/>
        <v>2030.1404999999997</v>
      </c>
      <c r="Z761" s="21">
        <f>DATE(K761,MATCH(J761,{"January","February","March","April","May","June","July","August","September","October","November","December"},0),1)</f>
        <v>45536</v>
      </c>
    </row>
    <row r="762" spans="1:26" x14ac:dyDescent="0.3">
      <c r="A762" s="4" t="s">
        <v>830</v>
      </c>
      <c r="B762" s="4" t="s">
        <v>145</v>
      </c>
      <c r="C762" s="4" t="s">
        <v>40</v>
      </c>
      <c r="D762" s="5">
        <v>19693.93</v>
      </c>
      <c r="E762" s="6">
        <v>5</v>
      </c>
      <c r="F762" s="5">
        <v>98469.65</v>
      </c>
      <c r="G762" s="1">
        <v>45395</v>
      </c>
      <c r="H762" t="s">
        <v>44</v>
      </c>
      <c r="I762">
        <v>1.9</v>
      </c>
      <c r="J762" t="s">
        <v>62</v>
      </c>
      <c r="K762">
        <v>2024</v>
      </c>
      <c r="L762">
        <v>19693.93</v>
      </c>
      <c r="M762">
        <v>25</v>
      </c>
      <c r="N762" t="s">
        <v>41</v>
      </c>
      <c r="O762" t="s">
        <v>33</v>
      </c>
      <c r="P762">
        <f>FlipkartSales[[#This Row],[Price (INR)]]*FlipkartSales[[#This Row],[Quantity Sold]]</f>
        <v>98469.65</v>
      </c>
      <c r="Q762">
        <f>FlipkartSales[[#This Row],[Total Sales (INR)]]-FlipkartSales[[#This Row],[Calculated Sales]]</f>
        <v>0</v>
      </c>
      <c r="R762" s="9">
        <f t="shared" si="88"/>
        <v>0.2</v>
      </c>
      <c r="S762">
        <f t="shared" si="89"/>
        <v>19693.93</v>
      </c>
      <c r="T762">
        <f t="shared" si="90"/>
        <v>3938.7860000000001</v>
      </c>
      <c r="U762">
        <f t="shared" si="91"/>
        <v>4</v>
      </c>
      <c r="V762" t="str">
        <f t="shared" si="92"/>
        <v>Q2</v>
      </c>
      <c r="W762" t="str">
        <f t="shared" si="93"/>
        <v>Apr-2024</v>
      </c>
      <c r="X762">
        <f t="shared" si="94"/>
        <v>24617.412499999999</v>
      </c>
      <c r="Y762" s="5">
        <f t="shared" si="95"/>
        <v>73852.237499999988</v>
      </c>
      <c r="Z762" s="21">
        <f>DATE(K762,MATCH(J762,{"January","February","March","April","May","June","July","August","September","October","November","December"},0),1)</f>
        <v>45383</v>
      </c>
    </row>
    <row r="763" spans="1:26" x14ac:dyDescent="0.3">
      <c r="A763" s="4" t="s">
        <v>831</v>
      </c>
      <c r="B763" s="4" t="s">
        <v>145</v>
      </c>
      <c r="C763" s="4" t="s">
        <v>40</v>
      </c>
      <c r="D763" s="5">
        <v>16179.61</v>
      </c>
      <c r="E763" s="6">
        <v>2</v>
      </c>
      <c r="F763" s="5">
        <v>32359.22</v>
      </c>
      <c r="G763" s="1">
        <v>45607</v>
      </c>
      <c r="H763" t="s">
        <v>18</v>
      </c>
      <c r="I763">
        <v>2.7</v>
      </c>
      <c r="J763" t="s">
        <v>37</v>
      </c>
      <c r="K763">
        <v>2024</v>
      </c>
      <c r="L763">
        <v>6471.844000000001</v>
      </c>
      <c r="M763">
        <v>26</v>
      </c>
      <c r="N763" t="s">
        <v>20</v>
      </c>
      <c r="O763" t="s">
        <v>21</v>
      </c>
      <c r="P763">
        <f>FlipkartSales[[#This Row],[Price (INR)]]*FlipkartSales[[#This Row],[Quantity Sold]]</f>
        <v>32359.22</v>
      </c>
      <c r="Q763">
        <f>FlipkartSales[[#This Row],[Total Sales (INR)]]-FlipkartSales[[#This Row],[Calculated Sales]]</f>
        <v>0</v>
      </c>
      <c r="R763" s="9">
        <f t="shared" si="88"/>
        <v>0.2</v>
      </c>
      <c r="S763">
        <f t="shared" si="89"/>
        <v>16179.61</v>
      </c>
      <c r="T763">
        <f t="shared" si="90"/>
        <v>3235.9220000000005</v>
      </c>
      <c r="U763">
        <f t="shared" si="91"/>
        <v>11</v>
      </c>
      <c r="V763" t="str">
        <f t="shared" si="92"/>
        <v>Q4</v>
      </c>
      <c r="W763" t="str">
        <f t="shared" si="93"/>
        <v>Nov-2024</v>
      </c>
      <c r="X763">
        <f t="shared" si="94"/>
        <v>8413.3971999999994</v>
      </c>
      <c r="Y763" s="5">
        <f t="shared" si="95"/>
        <v>23945.822800000002</v>
      </c>
      <c r="Z763" s="21">
        <f>DATE(K763,MATCH(J763,{"January","February","March","April","May","June","July","August","September","October","November","December"},0),1)</f>
        <v>45597</v>
      </c>
    </row>
    <row r="764" spans="1:26" x14ac:dyDescent="0.3">
      <c r="A764" s="4" t="s">
        <v>832</v>
      </c>
      <c r="B764" s="4" t="s">
        <v>16</v>
      </c>
      <c r="C764" s="4" t="s">
        <v>17</v>
      </c>
      <c r="D764" s="5">
        <v>45910.23</v>
      </c>
      <c r="E764" s="6">
        <v>4</v>
      </c>
      <c r="F764" s="5">
        <v>183640.92</v>
      </c>
      <c r="G764" s="1">
        <v>45652</v>
      </c>
      <c r="H764" t="s">
        <v>80</v>
      </c>
      <c r="I764">
        <v>1.6</v>
      </c>
      <c r="J764" t="s">
        <v>26</v>
      </c>
      <c r="K764">
        <v>2024</v>
      </c>
      <c r="L764">
        <v>36728.184000000001</v>
      </c>
      <c r="M764">
        <v>26</v>
      </c>
      <c r="N764" t="s">
        <v>20</v>
      </c>
      <c r="O764" t="s">
        <v>28</v>
      </c>
      <c r="P764">
        <f>FlipkartSales[[#This Row],[Price (INR)]]*FlipkartSales[[#This Row],[Quantity Sold]]</f>
        <v>183640.92</v>
      </c>
      <c r="Q764">
        <f>FlipkartSales[[#This Row],[Total Sales (INR)]]-FlipkartSales[[#This Row],[Calculated Sales]]</f>
        <v>0</v>
      </c>
      <c r="R764" s="9">
        <f t="shared" si="88"/>
        <v>0.19999999999999998</v>
      </c>
      <c r="S764">
        <f t="shared" si="89"/>
        <v>45910.23</v>
      </c>
      <c r="T764">
        <f t="shared" si="90"/>
        <v>9182.0460000000003</v>
      </c>
      <c r="U764">
        <f t="shared" si="91"/>
        <v>12</v>
      </c>
      <c r="V764" t="str">
        <f t="shared" si="92"/>
        <v>Q4</v>
      </c>
      <c r="W764" t="str">
        <f t="shared" si="93"/>
        <v>Dec-2024</v>
      </c>
      <c r="X764">
        <f t="shared" si="94"/>
        <v>47746.639199999998</v>
      </c>
      <c r="Y764" s="5">
        <f t="shared" si="95"/>
        <v>135894.28080000001</v>
      </c>
      <c r="Z764" s="21">
        <f>DATE(K764,MATCH(J764,{"January","February","March","April","May","June","July","August","September","October","November","December"},0),1)</f>
        <v>45627</v>
      </c>
    </row>
    <row r="765" spans="1:26" x14ac:dyDescent="0.3">
      <c r="A765" s="4" t="s">
        <v>833</v>
      </c>
      <c r="B765" s="4" t="s">
        <v>61</v>
      </c>
      <c r="C765" s="4" t="s">
        <v>31</v>
      </c>
      <c r="D765" s="5">
        <v>6685.9</v>
      </c>
      <c r="E765" s="6">
        <v>2</v>
      </c>
      <c r="F765" s="5">
        <v>13371.8</v>
      </c>
      <c r="G765" s="1">
        <v>45342</v>
      </c>
      <c r="H765" t="s">
        <v>18</v>
      </c>
      <c r="I765">
        <v>2</v>
      </c>
      <c r="J765" t="s">
        <v>59</v>
      </c>
      <c r="K765">
        <v>2024</v>
      </c>
      <c r="L765">
        <v>2674.36</v>
      </c>
      <c r="M765">
        <v>7</v>
      </c>
      <c r="N765" t="s">
        <v>41</v>
      </c>
      <c r="O765" t="s">
        <v>21</v>
      </c>
      <c r="P765">
        <f>FlipkartSales[[#This Row],[Price (INR)]]*FlipkartSales[[#This Row],[Quantity Sold]]</f>
        <v>13371.8</v>
      </c>
      <c r="Q765">
        <f>FlipkartSales[[#This Row],[Total Sales (INR)]]-FlipkartSales[[#This Row],[Calculated Sales]]</f>
        <v>0</v>
      </c>
      <c r="R765" s="9">
        <f t="shared" si="88"/>
        <v>0.2</v>
      </c>
      <c r="S765">
        <f t="shared" si="89"/>
        <v>6685.9</v>
      </c>
      <c r="T765">
        <f t="shared" si="90"/>
        <v>1337.18</v>
      </c>
      <c r="U765">
        <f t="shared" si="91"/>
        <v>2</v>
      </c>
      <c r="V765" t="str">
        <f t="shared" si="92"/>
        <v>Q1</v>
      </c>
      <c r="W765" t="str">
        <f t="shared" si="93"/>
        <v>Feb-2024</v>
      </c>
      <c r="X765">
        <f t="shared" si="94"/>
        <v>936.02599999999995</v>
      </c>
      <c r="Y765" s="5">
        <f t="shared" si="95"/>
        <v>12435.773999999999</v>
      </c>
      <c r="Z765" s="21">
        <f>DATE(K765,MATCH(J765,{"January","February","March","April","May","June","July","August","September","October","November","December"},0),1)</f>
        <v>45323</v>
      </c>
    </row>
    <row r="766" spans="1:26" x14ac:dyDescent="0.3">
      <c r="A766" s="4" t="s">
        <v>834</v>
      </c>
      <c r="B766" s="4" t="s">
        <v>125</v>
      </c>
      <c r="C766" s="4" t="s">
        <v>17</v>
      </c>
      <c r="D766" s="5">
        <v>2258.89</v>
      </c>
      <c r="E766" s="6">
        <v>3</v>
      </c>
      <c r="F766" s="5">
        <v>6776.67</v>
      </c>
      <c r="G766" s="1">
        <v>45547</v>
      </c>
      <c r="H766" t="s">
        <v>44</v>
      </c>
      <c r="I766">
        <v>2</v>
      </c>
      <c r="J766" t="s">
        <v>19</v>
      </c>
      <c r="K766">
        <v>2024</v>
      </c>
      <c r="L766">
        <v>1355.3340000000001</v>
      </c>
      <c r="M766">
        <v>20</v>
      </c>
      <c r="N766" t="s">
        <v>41</v>
      </c>
      <c r="O766" t="s">
        <v>33</v>
      </c>
      <c r="P766">
        <f>FlipkartSales[[#This Row],[Price (INR)]]*FlipkartSales[[#This Row],[Quantity Sold]]</f>
        <v>6776.67</v>
      </c>
      <c r="Q766">
        <f>FlipkartSales[[#This Row],[Total Sales (INR)]]-FlipkartSales[[#This Row],[Calculated Sales]]</f>
        <v>0</v>
      </c>
      <c r="R766" s="9">
        <f t="shared" si="88"/>
        <v>0.2</v>
      </c>
      <c r="S766">
        <f t="shared" si="89"/>
        <v>2258.89</v>
      </c>
      <c r="T766">
        <f t="shared" si="90"/>
        <v>451.77800000000002</v>
      </c>
      <c r="U766">
        <f t="shared" si="91"/>
        <v>9</v>
      </c>
      <c r="V766" t="str">
        <f t="shared" si="92"/>
        <v>Q3</v>
      </c>
      <c r="W766" t="str">
        <f t="shared" si="93"/>
        <v>Sep-2024</v>
      </c>
      <c r="X766">
        <f t="shared" si="94"/>
        <v>1355.3339999999998</v>
      </c>
      <c r="Y766" s="5">
        <f t="shared" si="95"/>
        <v>5421.3360000000002</v>
      </c>
      <c r="Z766" s="21">
        <f>DATE(K766,MATCH(J766,{"January","February","March","April","May","June","July","August","September","October","November","December"},0),1)</f>
        <v>45536</v>
      </c>
    </row>
    <row r="767" spans="1:26" x14ac:dyDescent="0.3">
      <c r="A767" s="4" t="s">
        <v>835</v>
      </c>
      <c r="B767" s="4" t="s">
        <v>16</v>
      </c>
      <c r="C767" s="4" t="s">
        <v>17</v>
      </c>
      <c r="D767" s="5">
        <v>25282.52</v>
      </c>
      <c r="E767" s="6">
        <v>1</v>
      </c>
      <c r="F767" s="5">
        <v>25282.52</v>
      </c>
      <c r="G767" s="1">
        <v>45541</v>
      </c>
      <c r="H767" t="s">
        <v>71</v>
      </c>
      <c r="I767">
        <v>4.5</v>
      </c>
      <c r="J767" t="s">
        <v>19</v>
      </c>
      <c r="K767">
        <v>2024</v>
      </c>
      <c r="L767">
        <v>5056.5040000000008</v>
      </c>
      <c r="M767">
        <v>27</v>
      </c>
      <c r="N767" t="s">
        <v>20</v>
      </c>
      <c r="O767" t="s">
        <v>21</v>
      </c>
      <c r="P767">
        <f>FlipkartSales[[#This Row],[Price (INR)]]*FlipkartSales[[#This Row],[Quantity Sold]]</f>
        <v>25282.52</v>
      </c>
      <c r="Q767">
        <f>FlipkartSales[[#This Row],[Total Sales (INR)]]-FlipkartSales[[#This Row],[Calculated Sales]]</f>
        <v>0</v>
      </c>
      <c r="R767" s="9">
        <f t="shared" si="88"/>
        <v>0.20000000000000004</v>
      </c>
      <c r="S767">
        <f t="shared" si="89"/>
        <v>25282.52</v>
      </c>
      <c r="T767">
        <f t="shared" si="90"/>
        <v>5056.5040000000008</v>
      </c>
      <c r="U767">
        <f t="shared" si="91"/>
        <v>9</v>
      </c>
      <c r="V767" t="str">
        <f t="shared" si="92"/>
        <v>Q3</v>
      </c>
      <c r="W767" t="str">
        <f t="shared" si="93"/>
        <v>Sep-2024</v>
      </c>
      <c r="X767">
        <f t="shared" si="94"/>
        <v>6826.2804000000006</v>
      </c>
      <c r="Y767" s="5">
        <f t="shared" si="95"/>
        <v>18456.239600000001</v>
      </c>
      <c r="Z767" s="21">
        <f>DATE(K767,MATCH(J767,{"January","February","March","April","May","June","July","August","September","October","November","December"},0),1)</f>
        <v>45536</v>
      </c>
    </row>
    <row r="768" spans="1:26" x14ac:dyDescent="0.3">
      <c r="A768" s="4" t="s">
        <v>836</v>
      </c>
      <c r="B768" s="4" t="s">
        <v>100</v>
      </c>
      <c r="C768" s="4" t="s">
        <v>31</v>
      </c>
      <c r="D768" s="5">
        <v>11461.72</v>
      </c>
      <c r="E768" s="6">
        <v>5</v>
      </c>
      <c r="F768" s="5">
        <v>57308.6</v>
      </c>
      <c r="G768" s="1">
        <v>45602</v>
      </c>
      <c r="H768" t="s">
        <v>18</v>
      </c>
      <c r="I768">
        <v>3</v>
      </c>
      <c r="J768" t="s">
        <v>37</v>
      </c>
      <c r="K768">
        <v>2024</v>
      </c>
      <c r="L768">
        <v>11461.720000000001</v>
      </c>
      <c r="M768">
        <v>29</v>
      </c>
      <c r="N768" t="s">
        <v>41</v>
      </c>
      <c r="O768" t="s">
        <v>68</v>
      </c>
      <c r="P768">
        <f>FlipkartSales[[#This Row],[Price (INR)]]*FlipkartSales[[#This Row],[Quantity Sold]]</f>
        <v>57308.6</v>
      </c>
      <c r="Q768">
        <f>FlipkartSales[[#This Row],[Total Sales (INR)]]-FlipkartSales[[#This Row],[Calculated Sales]]</f>
        <v>0</v>
      </c>
      <c r="R768" s="9">
        <f t="shared" si="88"/>
        <v>0.20000000000000004</v>
      </c>
      <c r="S768">
        <f t="shared" si="89"/>
        <v>11461.72</v>
      </c>
      <c r="T768">
        <f t="shared" si="90"/>
        <v>2292.3440000000001</v>
      </c>
      <c r="U768">
        <f t="shared" si="91"/>
        <v>11</v>
      </c>
      <c r="V768" t="str">
        <f t="shared" si="92"/>
        <v>Q4</v>
      </c>
      <c r="W768" t="str">
        <f t="shared" si="93"/>
        <v>Nov-2024</v>
      </c>
      <c r="X768">
        <f t="shared" si="94"/>
        <v>16619.493999999999</v>
      </c>
      <c r="Y768" s="5">
        <f t="shared" si="95"/>
        <v>40689.106</v>
      </c>
      <c r="Z768" s="21">
        <f>DATE(K768,MATCH(J768,{"January","February","March","April","May","June","July","August","September","October","November","December"},0),1)</f>
        <v>45597</v>
      </c>
    </row>
    <row r="769" spans="1:26" x14ac:dyDescent="0.3">
      <c r="A769" s="4" t="s">
        <v>837</v>
      </c>
      <c r="B769" s="4" t="s">
        <v>100</v>
      </c>
      <c r="C769" s="4" t="s">
        <v>31</v>
      </c>
      <c r="D769" s="5">
        <v>17915.599999999999</v>
      </c>
      <c r="E769" s="6">
        <v>4</v>
      </c>
      <c r="F769" s="5">
        <v>71662.399999999994</v>
      </c>
      <c r="G769" s="1">
        <v>45532</v>
      </c>
      <c r="H769" t="s">
        <v>25</v>
      </c>
      <c r="I769">
        <v>1.8</v>
      </c>
      <c r="J769" t="s">
        <v>88</v>
      </c>
      <c r="K769">
        <v>2024</v>
      </c>
      <c r="L769">
        <v>14332.48</v>
      </c>
      <c r="M769">
        <v>15</v>
      </c>
      <c r="N769" t="s">
        <v>27</v>
      </c>
      <c r="O769" t="s">
        <v>28</v>
      </c>
      <c r="P769">
        <f>FlipkartSales[[#This Row],[Price (INR)]]*FlipkartSales[[#This Row],[Quantity Sold]]</f>
        <v>71662.399999999994</v>
      </c>
      <c r="Q769">
        <f>FlipkartSales[[#This Row],[Total Sales (INR)]]-FlipkartSales[[#This Row],[Calculated Sales]]</f>
        <v>0</v>
      </c>
      <c r="R769" s="9">
        <f t="shared" si="88"/>
        <v>0.2</v>
      </c>
      <c r="S769">
        <f t="shared" si="89"/>
        <v>17915.599999999999</v>
      </c>
      <c r="T769">
        <f t="shared" si="90"/>
        <v>3583.12</v>
      </c>
      <c r="U769">
        <f t="shared" si="91"/>
        <v>8</v>
      </c>
      <c r="V769" t="str">
        <f t="shared" si="92"/>
        <v>Q3</v>
      </c>
      <c r="W769" t="str">
        <f t="shared" si="93"/>
        <v>Aug-2024</v>
      </c>
      <c r="X769">
        <f t="shared" si="94"/>
        <v>10749.36</v>
      </c>
      <c r="Y769" s="5">
        <f t="shared" si="95"/>
        <v>60913.039999999994</v>
      </c>
      <c r="Z769" s="21">
        <f>DATE(K769,MATCH(J769,{"January","February","March","April","May","June","July","August","September","October","November","December"},0),1)</f>
        <v>45505</v>
      </c>
    </row>
    <row r="770" spans="1:26" x14ac:dyDescent="0.3">
      <c r="A770" s="4" t="s">
        <v>838</v>
      </c>
      <c r="B770" s="4" t="s">
        <v>61</v>
      </c>
      <c r="C770" s="4" t="s">
        <v>31</v>
      </c>
      <c r="D770" s="5">
        <v>22703.03</v>
      </c>
      <c r="E770" s="6">
        <v>2</v>
      </c>
      <c r="F770" s="5">
        <v>45406.06</v>
      </c>
      <c r="G770" s="1">
        <v>45418</v>
      </c>
      <c r="H770" t="s">
        <v>80</v>
      </c>
      <c r="I770">
        <v>5</v>
      </c>
      <c r="J770" t="s">
        <v>32</v>
      </c>
      <c r="K770">
        <v>2024</v>
      </c>
      <c r="L770">
        <v>9081.2119999999995</v>
      </c>
      <c r="M770">
        <v>16</v>
      </c>
      <c r="N770" t="s">
        <v>27</v>
      </c>
      <c r="O770" t="s">
        <v>33</v>
      </c>
      <c r="P770">
        <f>FlipkartSales[[#This Row],[Price (INR)]]*FlipkartSales[[#This Row],[Quantity Sold]]</f>
        <v>45406.06</v>
      </c>
      <c r="Q770">
        <f>FlipkartSales[[#This Row],[Total Sales (INR)]]-FlipkartSales[[#This Row],[Calculated Sales]]</f>
        <v>0</v>
      </c>
      <c r="R770" s="9">
        <f t="shared" ref="R770:R833" si="96">L770/F770</f>
        <v>0.2</v>
      </c>
      <c r="S770">
        <f t="shared" ref="S770:S833" si="97">F770/E770</f>
        <v>22703.03</v>
      </c>
      <c r="T770">
        <f t="shared" ref="T770:T833" si="98">L770/E770</f>
        <v>4540.6059999999998</v>
      </c>
      <c r="U770">
        <f t="shared" ref="U770:U833" si="99">MONTH(G770)</f>
        <v>5</v>
      </c>
      <c r="V770" t="str">
        <f t="shared" ref="V770:V833" si="100">"Q"&amp;ROUNDUP(MONTH(G770)/3,0)</f>
        <v>Q2</v>
      </c>
      <c r="W770" t="str">
        <f t="shared" ref="W770:W833" si="101">TEXT(G770,"mmm-yyyy")</f>
        <v>May-2024</v>
      </c>
      <c r="X770">
        <f t="shared" ref="X770:X833" si="102">F770*M770/100</f>
        <v>7264.9695999999994</v>
      </c>
      <c r="Y770" s="5">
        <f t="shared" ref="Y770:Y833" si="103">F770-X770</f>
        <v>38141.090400000001</v>
      </c>
      <c r="Z770" s="21">
        <f>DATE(K770,MATCH(J770,{"January","February","March","April","May","June","July","August","September","October","November","December"},0),1)</f>
        <v>45413</v>
      </c>
    </row>
    <row r="771" spans="1:26" x14ac:dyDescent="0.3">
      <c r="A771" s="4" t="s">
        <v>839</v>
      </c>
      <c r="B771" s="4" t="s">
        <v>107</v>
      </c>
      <c r="C771" s="4" t="s">
        <v>36</v>
      </c>
      <c r="D771" s="5">
        <v>42210.82</v>
      </c>
      <c r="E771" s="6">
        <v>2</v>
      </c>
      <c r="F771" s="5">
        <v>84421.64</v>
      </c>
      <c r="G771" s="1">
        <v>45375</v>
      </c>
      <c r="H771" t="s">
        <v>44</v>
      </c>
      <c r="I771">
        <v>2.8</v>
      </c>
      <c r="J771" t="s">
        <v>56</v>
      </c>
      <c r="K771">
        <v>2024</v>
      </c>
      <c r="L771">
        <v>16884.328000000001</v>
      </c>
      <c r="M771">
        <v>14</v>
      </c>
      <c r="N771" t="s">
        <v>41</v>
      </c>
      <c r="O771" t="s">
        <v>33</v>
      </c>
      <c r="P771">
        <f>FlipkartSales[[#This Row],[Price (INR)]]*FlipkartSales[[#This Row],[Quantity Sold]]</f>
        <v>84421.64</v>
      </c>
      <c r="Q771">
        <f>FlipkartSales[[#This Row],[Total Sales (INR)]]-FlipkartSales[[#This Row],[Calculated Sales]]</f>
        <v>0</v>
      </c>
      <c r="R771" s="9">
        <f t="shared" si="96"/>
        <v>0.2</v>
      </c>
      <c r="S771">
        <f t="shared" si="97"/>
        <v>42210.82</v>
      </c>
      <c r="T771">
        <f t="shared" si="98"/>
        <v>8442.1640000000007</v>
      </c>
      <c r="U771">
        <f t="shared" si="99"/>
        <v>3</v>
      </c>
      <c r="V771" t="str">
        <f t="shared" si="100"/>
        <v>Q1</v>
      </c>
      <c r="W771" t="str">
        <f t="shared" si="101"/>
        <v>Mar-2024</v>
      </c>
      <c r="X771">
        <f t="shared" si="102"/>
        <v>11819.0296</v>
      </c>
      <c r="Y771" s="5">
        <f t="shared" si="103"/>
        <v>72602.610400000005</v>
      </c>
      <c r="Z771" s="21">
        <f>DATE(K771,MATCH(J771,{"January","February","March","April","May","June","July","August","September","October","November","December"},0),1)</f>
        <v>45352</v>
      </c>
    </row>
    <row r="772" spans="1:26" x14ac:dyDescent="0.3">
      <c r="A772" s="4" t="s">
        <v>840</v>
      </c>
      <c r="B772" s="4" t="s">
        <v>145</v>
      </c>
      <c r="C772" s="4" t="s">
        <v>40</v>
      </c>
      <c r="D772" s="5">
        <v>7355.5</v>
      </c>
      <c r="E772" s="6">
        <v>3</v>
      </c>
      <c r="F772" s="5">
        <v>22066.5</v>
      </c>
      <c r="G772" s="1">
        <v>45684</v>
      </c>
      <c r="H772" t="s">
        <v>80</v>
      </c>
      <c r="I772">
        <v>2</v>
      </c>
      <c r="J772" t="s">
        <v>53</v>
      </c>
      <c r="K772">
        <v>2025</v>
      </c>
      <c r="L772">
        <v>4413.3</v>
      </c>
      <c r="M772">
        <v>20</v>
      </c>
      <c r="N772" t="s">
        <v>20</v>
      </c>
      <c r="O772" t="s">
        <v>33</v>
      </c>
      <c r="P772">
        <f>FlipkartSales[[#This Row],[Price (INR)]]*FlipkartSales[[#This Row],[Quantity Sold]]</f>
        <v>22066.5</v>
      </c>
      <c r="Q772">
        <f>FlipkartSales[[#This Row],[Total Sales (INR)]]-FlipkartSales[[#This Row],[Calculated Sales]]</f>
        <v>0</v>
      </c>
      <c r="R772" s="9">
        <f t="shared" si="96"/>
        <v>0.2</v>
      </c>
      <c r="S772">
        <f t="shared" si="97"/>
        <v>7355.5</v>
      </c>
      <c r="T772">
        <f t="shared" si="98"/>
        <v>1471.1000000000001</v>
      </c>
      <c r="U772">
        <f t="shared" si="99"/>
        <v>1</v>
      </c>
      <c r="V772" t="str">
        <f t="shared" si="100"/>
        <v>Q1</v>
      </c>
      <c r="W772" t="str">
        <f t="shared" si="101"/>
        <v>Jan-2025</v>
      </c>
      <c r="X772">
        <f t="shared" si="102"/>
        <v>4413.3</v>
      </c>
      <c r="Y772" s="5">
        <f t="shared" si="103"/>
        <v>17653.2</v>
      </c>
      <c r="Z772" s="21">
        <f>DATE(K772,MATCH(J772,{"January","February","March","April","May","June","July","August","September","October","November","December"},0),1)</f>
        <v>45658</v>
      </c>
    </row>
    <row r="773" spans="1:26" x14ac:dyDescent="0.3">
      <c r="A773" s="4" t="s">
        <v>841</v>
      </c>
      <c r="B773" s="4" t="s">
        <v>50</v>
      </c>
      <c r="C773" s="4" t="s">
        <v>40</v>
      </c>
      <c r="D773" s="5">
        <v>13879</v>
      </c>
      <c r="E773" s="6">
        <v>1</v>
      </c>
      <c r="F773" s="5">
        <v>13879</v>
      </c>
      <c r="G773" s="1">
        <v>45455</v>
      </c>
      <c r="H773" t="s">
        <v>64</v>
      </c>
      <c r="I773">
        <v>2.5</v>
      </c>
      <c r="J773" t="s">
        <v>67</v>
      </c>
      <c r="K773">
        <v>2024</v>
      </c>
      <c r="L773">
        <v>2775.8</v>
      </c>
      <c r="M773">
        <v>12</v>
      </c>
      <c r="N773" t="s">
        <v>41</v>
      </c>
      <c r="O773" t="s">
        <v>28</v>
      </c>
      <c r="P773">
        <f>FlipkartSales[[#This Row],[Price (INR)]]*FlipkartSales[[#This Row],[Quantity Sold]]</f>
        <v>13879</v>
      </c>
      <c r="Q773">
        <f>FlipkartSales[[#This Row],[Total Sales (INR)]]-FlipkartSales[[#This Row],[Calculated Sales]]</f>
        <v>0</v>
      </c>
      <c r="R773" s="9">
        <f t="shared" si="96"/>
        <v>0.2</v>
      </c>
      <c r="S773">
        <f t="shared" si="97"/>
        <v>13879</v>
      </c>
      <c r="T773">
        <f t="shared" si="98"/>
        <v>2775.8</v>
      </c>
      <c r="U773">
        <f t="shared" si="99"/>
        <v>6</v>
      </c>
      <c r="V773" t="str">
        <f t="shared" si="100"/>
        <v>Q2</v>
      </c>
      <c r="W773" t="str">
        <f t="shared" si="101"/>
        <v>Jun-2024</v>
      </c>
      <c r="X773">
        <f t="shared" si="102"/>
        <v>1665.48</v>
      </c>
      <c r="Y773" s="5">
        <f t="shared" si="103"/>
        <v>12213.52</v>
      </c>
      <c r="Z773" s="21">
        <f>DATE(K773,MATCH(J773,{"January","February","March","April","May","June","July","August","September","October","November","December"},0),1)</f>
        <v>45444</v>
      </c>
    </row>
    <row r="774" spans="1:26" x14ac:dyDescent="0.3">
      <c r="A774" s="4" t="s">
        <v>842</v>
      </c>
      <c r="B774" s="4" t="s">
        <v>145</v>
      </c>
      <c r="C774" s="4" t="s">
        <v>40</v>
      </c>
      <c r="D774" s="5">
        <v>42604.95</v>
      </c>
      <c r="E774" s="6">
        <v>5</v>
      </c>
      <c r="F774" s="5">
        <v>213024.75</v>
      </c>
      <c r="G774" s="1">
        <v>45484</v>
      </c>
      <c r="H774" t="s">
        <v>80</v>
      </c>
      <c r="I774">
        <v>3</v>
      </c>
      <c r="J774" t="s">
        <v>48</v>
      </c>
      <c r="K774">
        <v>2024</v>
      </c>
      <c r="L774">
        <v>42604.950000000004</v>
      </c>
      <c r="M774">
        <v>10</v>
      </c>
      <c r="N774" t="s">
        <v>41</v>
      </c>
      <c r="O774" t="s">
        <v>68</v>
      </c>
      <c r="P774">
        <f>FlipkartSales[[#This Row],[Price (INR)]]*FlipkartSales[[#This Row],[Quantity Sold]]</f>
        <v>213024.75</v>
      </c>
      <c r="Q774">
        <f>FlipkartSales[[#This Row],[Total Sales (INR)]]-FlipkartSales[[#This Row],[Calculated Sales]]</f>
        <v>0</v>
      </c>
      <c r="R774" s="9">
        <f t="shared" si="96"/>
        <v>0.2</v>
      </c>
      <c r="S774">
        <f t="shared" si="97"/>
        <v>42604.95</v>
      </c>
      <c r="T774">
        <f t="shared" si="98"/>
        <v>8520.9900000000016</v>
      </c>
      <c r="U774">
        <f t="shared" si="99"/>
        <v>7</v>
      </c>
      <c r="V774" t="str">
        <f t="shared" si="100"/>
        <v>Q3</v>
      </c>
      <c r="W774" t="str">
        <f t="shared" si="101"/>
        <v>Jul-2024</v>
      </c>
      <c r="X774">
        <f t="shared" si="102"/>
        <v>21302.474999999999</v>
      </c>
      <c r="Y774" s="5">
        <f t="shared" si="103"/>
        <v>191722.27499999999</v>
      </c>
      <c r="Z774" s="21">
        <f>DATE(K774,MATCH(J774,{"January","February","March","April","May","June","July","August","September","October","November","December"},0),1)</f>
        <v>45474</v>
      </c>
    </row>
    <row r="775" spans="1:26" x14ac:dyDescent="0.3">
      <c r="A775" s="4" t="s">
        <v>843</v>
      </c>
      <c r="B775" s="4" t="s">
        <v>35</v>
      </c>
      <c r="C775" s="4" t="s">
        <v>36</v>
      </c>
      <c r="D775" s="5">
        <v>31265.89</v>
      </c>
      <c r="E775" s="6">
        <v>1</v>
      </c>
      <c r="F775" s="5">
        <v>31265.89</v>
      </c>
      <c r="G775" s="1">
        <v>45463</v>
      </c>
      <c r="H775" t="s">
        <v>25</v>
      </c>
      <c r="I775">
        <v>4.9000000000000004</v>
      </c>
      <c r="J775" t="s">
        <v>67</v>
      </c>
      <c r="K775">
        <v>2024</v>
      </c>
      <c r="L775">
        <v>6253.1779999999999</v>
      </c>
      <c r="M775">
        <v>16</v>
      </c>
      <c r="N775" t="s">
        <v>20</v>
      </c>
      <c r="O775" t="s">
        <v>33</v>
      </c>
      <c r="P775">
        <f>FlipkartSales[[#This Row],[Price (INR)]]*FlipkartSales[[#This Row],[Quantity Sold]]</f>
        <v>31265.89</v>
      </c>
      <c r="Q775">
        <f>FlipkartSales[[#This Row],[Total Sales (INR)]]-FlipkartSales[[#This Row],[Calculated Sales]]</f>
        <v>0</v>
      </c>
      <c r="R775" s="9">
        <f t="shared" si="96"/>
        <v>0.2</v>
      </c>
      <c r="S775">
        <f t="shared" si="97"/>
        <v>31265.89</v>
      </c>
      <c r="T775">
        <f t="shared" si="98"/>
        <v>6253.1779999999999</v>
      </c>
      <c r="U775">
        <f t="shared" si="99"/>
        <v>6</v>
      </c>
      <c r="V775" t="str">
        <f t="shared" si="100"/>
        <v>Q2</v>
      </c>
      <c r="W775" t="str">
        <f t="shared" si="101"/>
        <v>Jun-2024</v>
      </c>
      <c r="X775">
        <f t="shared" si="102"/>
        <v>5002.5424000000003</v>
      </c>
      <c r="Y775" s="5">
        <f t="shared" si="103"/>
        <v>26263.347600000001</v>
      </c>
      <c r="Z775" s="21">
        <f>DATE(K775,MATCH(J775,{"January","February","March","April","May","June","July","August","September","October","November","December"},0),1)</f>
        <v>45444</v>
      </c>
    </row>
    <row r="776" spans="1:26" x14ac:dyDescent="0.3">
      <c r="A776" s="4" t="s">
        <v>844</v>
      </c>
      <c r="B776" s="4" t="s">
        <v>176</v>
      </c>
      <c r="C776" s="4" t="s">
        <v>24</v>
      </c>
      <c r="D776" s="5">
        <v>20020.830000000002</v>
      </c>
      <c r="E776" s="6">
        <v>5</v>
      </c>
      <c r="F776" s="5">
        <v>100104.15</v>
      </c>
      <c r="G776" s="1">
        <v>45536</v>
      </c>
      <c r="H776" t="s">
        <v>71</v>
      </c>
      <c r="I776">
        <v>1.8</v>
      </c>
      <c r="J776" t="s">
        <v>19</v>
      </c>
      <c r="K776">
        <v>2024</v>
      </c>
      <c r="L776">
        <v>20020.830000000002</v>
      </c>
      <c r="M776">
        <v>28</v>
      </c>
      <c r="N776" t="s">
        <v>20</v>
      </c>
      <c r="O776" t="s">
        <v>21</v>
      </c>
      <c r="P776">
        <f>FlipkartSales[[#This Row],[Price (INR)]]*FlipkartSales[[#This Row],[Quantity Sold]]</f>
        <v>100104.15000000001</v>
      </c>
      <c r="Q776">
        <f>FlipkartSales[[#This Row],[Total Sales (INR)]]-FlipkartSales[[#This Row],[Calculated Sales]]</f>
        <v>0</v>
      </c>
      <c r="R776" s="9">
        <f t="shared" si="96"/>
        <v>0.20000000000000004</v>
      </c>
      <c r="S776">
        <f t="shared" si="97"/>
        <v>20020.829999999998</v>
      </c>
      <c r="T776">
        <f t="shared" si="98"/>
        <v>4004.1660000000002</v>
      </c>
      <c r="U776">
        <f t="shared" si="99"/>
        <v>9</v>
      </c>
      <c r="V776" t="str">
        <f t="shared" si="100"/>
        <v>Q3</v>
      </c>
      <c r="W776" t="str">
        <f t="shared" si="101"/>
        <v>Sep-2024</v>
      </c>
      <c r="X776">
        <f t="shared" si="102"/>
        <v>28029.161999999997</v>
      </c>
      <c r="Y776" s="5">
        <f t="shared" si="103"/>
        <v>72074.987999999998</v>
      </c>
      <c r="Z776" s="21">
        <f>DATE(K776,MATCH(J776,{"January","February","March","April","May","June","July","August","September","October","November","December"},0),1)</f>
        <v>45536</v>
      </c>
    </row>
    <row r="777" spans="1:26" x14ac:dyDescent="0.3">
      <c r="A777" s="4" t="s">
        <v>845</v>
      </c>
      <c r="B777" s="4" t="s">
        <v>74</v>
      </c>
      <c r="C777" s="4" t="s">
        <v>17</v>
      </c>
      <c r="D777" s="5">
        <v>24680.19</v>
      </c>
      <c r="E777" s="6">
        <v>3</v>
      </c>
      <c r="F777" s="5">
        <v>74040.570000000007</v>
      </c>
      <c r="G777" s="1">
        <v>45433</v>
      </c>
      <c r="H777" t="s">
        <v>64</v>
      </c>
      <c r="I777">
        <v>3.5</v>
      </c>
      <c r="J777" t="s">
        <v>32</v>
      </c>
      <c r="K777">
        <v>2024</v>
      </c>
      <c r="L777">
        <v>14808.114000000001</v>
      </c>
      <c r="M777">
        <v>25</v>
      </c>
      <c r="N777" t="s">
        <v>27</v>
      </c>
      <c r="O777" t="s">
        <v>33</v>
      </c>
      <c r="P777">
        <f>FlipkartSales[[#This Row],[Price (INR)]]*FlipkartSales[[#This Row],[Quantity Sold]]</f>
        <v>74040.569999999992</v>
      </c>
      <c r="Q777">
        <f>FlipkartSales[[#This Row],[Total Sales (INR)]]-FlipkartSales[[#This Row],[Calculated Sales]]</f>
        <v>0</v>
      </c>
      <c r="R777" s="9">
        <f t="shared" si="96"/>
        <v>0.2</v>
      </c>
      <c r="S777">
        <f t="shared" si="97"/>
        <v>24680.190000000002</v>
      </c>
      <c r="T777">
        <f t="shared" si="98"/>
        <v>4936.0380000000005</v>
      </c>
      <c r="U777">
        <f t="shared" si="99"/>
        <v>5</v>
      </c>
      <c r="V777" t="str">
        <f t="shared" si="100"/>
        <v>Q2</v>
      </c>
      <c r="W777" t="str">
        <f t="shared" si="101"/>
        <v>May-2024</v>
      </c>
      <c r="X777">
        <f t="shared" si="102"/>
        <v>18510.142500000002</v>
      </c>
      <c r="Y777" s="5">
        <f t="shared" si="103"/>
        <v>55530.427500000005</v>
      </c>
      <c r="Z777" s="21">
        <f>DATE(K777,MATCH(J777,{"January","February","March","April","May","June","July","August","September","October","November","December"},0),1)</f>
        <v>45413</v>
      </c>
    </row>
    <row r="778" spans="1:26" x14ac:dyDescent="0.3">
      <c r="A778" s="4" t="s">
        <v>846</v>
      </c>
      <c r="B778" s="4" t="s">
        <v>61</v>
      </c>
      <c r="C778" s="4" t="s">
        <v>31</v>
      </c>
      <c r="D778" s="5">
        <v>22254.17</v>
      </c>
      <c r="E778" s="6">
        <v>4</v>
      </c>
      <c r="F778" s="5">
        <v>89016.68</v>
      </c>
      <c r="G778" s="1">
        <v>45396</v>
      </c>
      <c r="H778" t="s">
        <v>18</v>
      </c>
      <c r="I778">
        <v>3.8</v>
      </c>
      <c r="J778" t="s">
        <v>62</v>
      </c>
      <c r="K778">
        <v>2024</v>
      </c>
      <c r="L778">
        <v>17803.335999999999</v>
      </c>
      <c r="M778">
        <v>12</v>
      </c>
      <c r="N778" t="s">
        <v>20</v>
      </c>
      <c r="O778" t="s">
        <v>33</v>
      </c>
      <c r="P778">
        <f>FlipkartSales[[#This Row],[Price (INR)]]*FlipkartSales[[#This Row],[Quantity Sold]]</f>
        <v>89016.68</v>
      </c>
      <c r="Q778">
        <f>FlipkartSales[[#This Row],[Total Sales (INR)]]-FlipkartSales[[#This Row],[Calculated Sales]]</f>
        <v>0</v>
      </c>
      <c r="R778" s="9">
        <f t="shared" si="96"/>
        <v>0.2</v>
      </c>
      <c r="S778">
        <f t="shared" si="97"/>
        <v>22254.17</v>
      </c>
      <c r="T778">
        <f t="shared" si="98"/>
        <v>4450.8339999999998</v>
      </c>
      <c r="U778">
        <f t="shared" si="99"/>
        <v>4</v>
      </c>
      <c r="V778" t="str">
        <f t="shared" si="100"/>
        <v>Q2</v>
      </c>
      <c r="W778" t="str">
        <f t="shared" si="101"/>
        <v>Apr-2024</v>
      </c>
      <c r="X778">
        <f t="shared" si="102"/>
        <v>10682.0016</v>
      </c>
      <c r="Y778" s="5">
        <f t="shared" si="103"/>
        <v>78334.67839999999</v>
      </c>
      <c r="Z778" s="21">
        <f>DATE(K778,MATCH(J778,{"January","February","March","April","May","June","July","August","September","October","November","December"},0),1)</f>
        <v>45383</v>
      </c>
    </row>
    <row r="779" spans="1:26" x14ac:dyDescent="0.3">
      <c r="A779" s="4" t="s">
        <v>847</v>
      </c>
      <c r="B779" s="4" t="s">
        <v>118</v>
      </c>
      <c r="C779" s="4" t="s">
        <v>17</v>
      </c>
      <c r="D779" s="5">
        <v>4226.03</v>
      </c>
      <c r="E779" s="6">
        <v>1</v>
      </c>
      <c r="F779" s="5">
        <v>4226.03</v>
      </c>
      <c r="G779" s="1">
        <v>45542</v>
      </c>
      <c r="H779" t="s">
        <v>18</v>
      </c>
      <c r="I779">
        <v>2.8</v>
      </c>
      <c r="J779" t="s">
        <v>19</v>
      </c>
      <c r="K779">
        <v>2024</v>
      </c>
      <c r="L779">
        <v>845.20600000000002</v>
      </c>
      <c r="M779">
        <v>30</v>
      </c>
      <c r="N779" t="s">
        <v>27</v>
      </c>
      <c r="O779" t="s">
        <v>33</v>
      </c>
      <c r="P779">
        <f>FlipkartSales[[#This Row],[Price (INR)]]*FlipkartSales[[#This Row],[Quantity Sold]]</f>
        <v>4226.03</v>
      </c>
      <c r="Q779">
        <f>FlipkartSales[[#This Row],[Total Sales (INR)]]-FlipkartSales[[#This Row],[Calculated Sales]]</f>
        <v>0</v>
      </c>
      <c r="R779" s="9">
        <f t="shared" si="96"/>
        <v>0.2</v>
      </c>
      <c r="S779">
        <f t="shared" si="97"/>
        <v>4226.03</v>
      </c>
      <c r="T779">
        <f t="shared" si="98"/>
        <v>845.20600000000002</v>
      </c>
      <c r="U779">
        <f t="shared" si="99"/>
        <v>9</v>
      </c>
      <c r="V779" t="str">
        <f t="shared" si="100"/>
        <v>Q3</v>
      </c>
      <c r="W779" t="str">
        <f t="shared" si="101"/>
        <v>Sep-2024</v>
      </c>
      <c r="X779">
        <f t="shared" si="102"/>
        <v>1267.809</v>
      </c>
      <c r="Y779" s="5">
        <f t="shared" si="103"/>
        <v>2958.2209999999995</v>
      </c>
      <c r="Z779" s="21">
        <f>DATE(K779,MATCH(J779,{"January","February","March","April","May","June","July","August","September","October","November","December"},0),1)</f>
        <v>45536</v>
      </c>
    </row>
    <row r="780" spans="1:26" x14ac:dyDescent="0.3">
      <c r="A780" s="4" t="s">
        <v>848</v>
      </c>
      <c r="B780" s="4" t="s">
        <v>84</v>
      </c>
      <c r="C780" s="4" t="s">
        <v>40</v>
      </c>
      <c r="D780" s="5">
        <v>46315.8</v>
      </c>
      <c r="E780" s="6">
        <v>3</v>
      </c>
      <c r="F780" s="5">
        <v>138947.4</v>
      </c>
      <c r="G780" s="1">
        <v>45436</v>
      </c>
      <c r="H780" t="s">
        <v>44</v>
      </c>
      <c r="I780">
        <v>2.4</v>
      </c>
      <c r="J780" t="s">
        <v>32</v>
      </c>
      <c r="K780">
        <v>2024</v>
      </c>
      <c r="L780">
        <v>27789.48</v>
      </c>
      <c r="M780">
        <v>8</v>
      </c>
      <c r="N780" t="s">
        <v>20</v>
      </c>
      <c r="O780" t="s">
        <v>33</v>
      </c>
      <c r="P780">
        <f>FlipkartSales[[#This Row],[Price (INR)]]*FlipkartSales[[#This Row],[Quantity Sold]]</f>
        <v>138947.40000000002</v>
      </c>
      <c r="Q780">
        <f>FlipkartSales[[#This Row],[Total Sales (INR)]]-FlipkartSales[[#This Row],[Calculated Sales]]</f>
        <v>0</v>
      </c>
      <c r="R780" s="9">
        <f t="shared" si="96"/>
        <v>0.2</v>
      </c>
      <c r="S780">
        <f t="shared" si="97"/>
        <v>46315.799999999996</v>
      </c>
      <c r="T780">
        <f t="shared" si="98"/>
        <v>9263.16</v>
      </c>
      <c r="U780">
        <f t="shared" si="99"/>
        <v>5</v>
      </c>
      <c r="V780" t="str">
        <f t="shared" si="100"/>
        <v>Q2</v>
      </c>
      <c r="W780" t="str">
        <f t="shared" si="101"/>
        <v>May-2024</v>
      </c>
      <c r="X780">
        <f t="shared" si="102"/>
        <v>11115.791999999999</v>
      </c>
      <c r="Y780" s="5">
        <f t="shared" si="103"/>
        <v>127831.60799999999</v>
      </c>
      <c r="Z780" s="21">
        <f>DATE(K780,MATCH(J780,{"January","February","March","April","May","June","July","August","September","October","November","December"},0),1)</f>
        <v>45413</v>
      </c>
    </row>
    <row r="781" spans="1:26" x14ac:dyDescent="0.3">
      <c r="A781" s="4" t="s">
        <v>849</v>
      </c>
      <c r="B781" s="4" t="s">
        <v>35</v>
      </c>
      <c r="C781" s="4" t="s">
        <v>36</v>
      </c>
      <c r="D781" s="5">
        <v>1320.32</v>
      </c>
      <c r="E781" s="6">
        <v>3</v>
      </c>
      <c r="F781" s="5">
        <v>3960.96</v>
      </c>
      <c r="G781" s="1">
        <v>45665</v>
      </c>
      <c r="H781" t="s">
        <v>44</v>
      </c>
      <c r="I781">
        <v>2</v>
      </c>
      <c r="J781" t="s">
        <v>53</v>
      </c>
      <c r="K781">
        <v>2025</v>
      </c>
      <c r="L781">
        <v>792.19200000000001</v>
      </c>
      <c r="M781">
        <v>30</v>
      </c>
      <c r="N781" t="s">
        <v>41</v>
      </c>
      <c r="O781" t="s">
        <v>68</v>
      </c>
      <c r="P781">
        <f>FlipkartSales[[#This Row],[Price (INR)]]*FlipkartSales[[#This Row],[Quantity Sold]]</f>
        <v>3960.96</v>
      </c>
      <c r="Q781">
        <f>FlipkartSales[[#This Row],[Total Sales (INR)]]-FlipkartSales[[#This Row],[Calculated Sales]]</f>
        <v>0</v>
      </c>
      <c r="R781" s="9">
        <f t="shared" si="96"/>
        <v>0.2</v>
      </c>
      <c r="S781">
        <f t="shared" si="97"/>
        <v>1320.32</v>
      </c>
      <c r="T781">
        <f t="shared" si="98"/>
        <v>264.06400000000002</v>
      </c>
      <c r="U781">
        <f t="shared" si="99"/>
        <v>1</v>
      </c>
      <c r="V781" t="str">
        <f t="shared" si="100"/>
        <v>Q1</v>
      </c>
      <c r="W781" t="str">
        <f t="shared" si="101"/>
        <v>Jan-2025</v>
      </c>
      <c r="X781">
        <f t="shared" si="102"/>
        <v>1188.288</v>
      </c>
      <c r="Y781" s="5">
        <f t="shared" si="103"/>
        <v>2772.672</v>
      </c>
      <c r="Z781" s="21">
        <f>DATE(K781,MATCH(J781,{"January","February","March","April","May","June","July","August","September","October","November","December"},0),1)</f>
        <v>45658</v>
      </c>
    </row>
    <row r="782" spans="1:26" x14ac:dyDescent="0.3">
      <c r="A782" s="4" t="s">
        <v>850</v>
      </c>
      <c r="B782" s="4" t="s">
        <v>74</v>
      </c>
      <c r="C782" s="4" t="s">
        <v>17</v>
      </c>
      <c r="D782" s="5">
        <v>9772.82</v>
      </c>
      <c r="E782" s="6">
        <v>4</v>
      </c>
      <c r="F782" s="5">
        <v>39091.279999999999</v>
      </c>
      <c r="G782" s="1">
        <v>45600</v>
      </c>
      <c r="H782" t="s">
        <v>25</v>
      </c>
      <c r="I782">
        <v>3.1</v>
      </c>
      <c r="J782" t="s">
        <v>37</v>
      </c>
      <c r="K782">
        <v>2024</v>
      </c>
      <c r="L782">
        <v>7818.2560000000003</v>
      </c>
      <c r="M782">
        <v>12</v>
      </c>
      <c r="N782" t="s">
        <v>27</v>
      </c>
      <c r="O782" t="s">
        <v>21</v>
      </c>
      <c r="P782">
        <f>FlipkartSales[[#This Row],[Price (INR)]]*FlipkartSales[[#This Row],[Quantity Sold]]</f>
        <v>39091.279999999999</v>
      </c>
      <c r="Q782">
        <f>FlipkartSales[[#This Row],[Total Sales (INR)]]-FlipkartSales[[#This Row],[Calculated Sales]]</f>
        <v>0</v>
      </c>
      <c r="R782" s="9">
        <f t="shared" si="96"/>
        <v>0.2</v>
      </c>
      <c r="S782">
        <f t="shared" si="97"/>
        <v>9772.82</v>
      </c>
      <c r="T782">
        <f t="shared" si="98"/>
        <v>1954.5640000000001</v>
      </c>
      <c r="U782">
        <f t="shared" si="99"/>
        <v>11</v>
      </c>
      <c r="V782" t="str">
        <f t="shared" si="100"/>
        <v>Q4</v>
      </c>
      <c r="W782" t="str">
        <f t="shared" si="101"/>
        <v>Nov-2024</v>
      </c>
      <c r="X782">
        <f t="shared" si="102"/>
        <v>4690.9535999999998</v>
      </c>
      <c r="Y782" s="5">
        <f t="shared" si="103"/>
        <v>34400.326399999998</v>
      </c>
      <c r="Z782" s="21">
        <f>DATE(K782,MATCH(J782,{"January","February","March","April","May","June","July","August","September","October","November","December"},0),1)</f>
        <v>45597</v>
      </c>
    </row>
    <row r="783" spans="1:26" x14ac:dyDescent="0.3">
      <c r="A783" s="4" t="s">
        <v>851</v>
      </c>
      <c r="B783" s="4" t="s">
        <v>70</v>
      </c>
      <c r="C783" s="4" t="s">
        <v>17</v>
      </c>
      <c r="D783" s="5">
        <v>47666.18</v>
      </c>
      <c r="E783" s="6">
        <v>1</v>
      </c>
      <c r="F783" s="5">
        <v>47666.18</v>
      </c>
      <c r="G783" s="1">
        <v>45334</v>
      </c>
      <c r="H783" t="s">
        <v>25</v>
      </c>
      <c r="I783">
        <v>2.2999999999999998</v>
      </c>
      <c r="J783" t="s">
        <v>59</v>
      </c>
      <c r="K783">
        <v>2024</v>
      </c>
      <c r="L783">
        <v>9533.2360000000008</v>
      </c>
      <c r="M783">
        <v>30</v>
      </c>
      <c r="N783" t="s">
        <v>27</v>
      </c>
      <c r="O783" t="s">
        <v>68</v>
      </c>
      <c r="P783">
        <f>FlipkartSales[[#This Row],[Price (INR)]]*FlipkartSales[[#This Row],[Quantity Sold]]</f>
        <v>47666.18</v>
      </c>
      <c r="Q783">
        <f>FlipkartSales[[#This Row],[Total Sales (INR)]]-FlipkartSales[[#This Row],[Calculated Sales]]</f>
        <v>0</v>
      </c>
      <c r="R783" s="9">
        <f t="shared" si="96"/>
        <v>0.2</v>
      </c>
      <c r="S783">
        <f t="shared" si="97"/>
        <v>47666.18</v>
      </c>
      <c r="T783">
        <f t="shared" si="98"/>
        <v>9533.2360000000008</v>
      </c>
      <c r="U783">
        <f t="shared" si="99"/>
        <v>2</v>
      </c>
      <c r="V783" t="str">
        <f t="shared" si="100"/>
        <v>Q1</v>
      </c>
      <c r="W783" t="str">
        <f t="shared" si="101"/>
        <v>Feb-2024</v>
      </c>
      <c r="X783">
        <f t="shared" si="102"/>
        <v>14299.853999999999</v>
      </c>
      <c r="Y783" s="5">
        <f t="shared" si="103"/>
        <v>33366.326000000001</v>
      </c>
      <c r="Z783" s="21">
        <f>DATE(K783,MATCH(J783,{"January","February","March","April","May","June","July","August","September","October","November","December"},0),1)</f>
        <v>45323</v>
      </c>
    </row>
    <row r="784" spans="1:26" x14ac:dyDescent="0.3">
      <c r="A784" s="4" t="s">
        <v>852</v>
      </c>
      <c r="B784" s="4" t="s">
        <v>23</v>
      </c>
      <c r="C784" s="4" t="s">
        <v>24</v>
      </c>
      <c r="D784" s="5">
        <v>7673.62</v>
      </c>
      <c r="E784" s="6">
        <v>2</v>
      </c>
      <c r="F784" s="5">
        <v>15347.24</v>
      </c>
      <c r="G784" s="1">
        <v>45456</v>
      </c>
      <c r="H784" t="s">
        <v>64</v>
      </c>
      <c r="I784">
        <v>4.5999999999999996</v>
      </c>
      <c r="J784" t="s">
        <v>67</v>
      </c>
      <c r="K784">
        <v>2024</v>
      </c>
      <c r="L784">
        <v>3069.4480000000003</v>
      </c>
      <c r="M784">
        <v>22</v>
      </c>
      <c r="N784" t="s">
        <v>27</v>
      </c>
      <c r="O784" t="s">
        <v>21</v>
      </c>
      <c r="P784">
        <f>FlipkartSales[[#This Row],[Price (INR)]]*FlipkartSales[[#This Row],[Quantity Sold]]</f>
        <v>15347.24</v>
      </c>
      <c r="Q784">
        <f>FlipkartSales[[#This Row],[Total Sales (INR)]]-FlipkartSales[[#This Row],[Calculated Sales]]</f>
        <v>0</v>
      </c>
      <c r="R784" s="9">
        <f t="shared" si="96"/>
        <v>0.2</v>
      </c>
      <c r="S784">
        <f t="shared" si="97"/>
        <v>7673.62</v>
      </c>
      <c r="T784">
        <f t="shared" si="98"/>
        <v>1534.7240000000002</v>
      </c>
      <c r="U784">
        <f t="shared" si="99"/>
        <v>6</v>
      </c>
      <c r="V784" t="str">
        <f t="shared" si="100"/>
        <v>Q2</v>
      </c>
      <c r="W784" t="str">
        <f t="shared" si="101"/>
        <v>Jun-2024</v>
      </c>
      <c r="X784">
        <f t="shared" si="102"/>
        <v>3376.3927999999996</v>
      </c>
      <c r="Y784" s="5">
        <f t="shared" si="103"/>
        <v>11970.8472</v>
      </c>
      <c r="Z784" s="21">
        <f>DATE(K784,MATCH(J784,{"January","February","March","April","May","June","July","August","September","October","November","December"},0),1)</f>
        <v>45444</v>
      </c>
    </row>
    <row r="785" spans="1:26" x14ac:dyDescent="0.3">
      <c r="A785" s="4" t="s">
        <v>853</v>
      </c>
      <c r="B785" s="4" t="s">
        <v>145</v>
      </c>
      <c r="C785" s="4" t="s">
        <v>40</v>
      </c>
      <c r="D785" s="5">
        <v>41671.06</v>
      </c>
      <c r="E785" s="6">
        <v>2</v>
      </c>
      <c r="F785" s="5">
        <v>83342.12</v>
      </c>
      <c r="G785" s="1">
        <v>45689</v>
      </c>
      <c r="H785" t="s">
        <v>25</v>
      </c>
      <c r="I785">
        <v>2.2999999999999998</v>
      </c>
      <c r="J785" t="s">
        <v>59</v>
      </c>
      <c r="K785">
        <v>2025</v>
      </c>
      <c r="L785">
        <v>16668.423999999999</v>
      </c>
      <c r="M785">
        <v>9</v>
      </c>
      <c r="N785" t="s">
        <v>41</v>
      </c>
      <c r="O785" t="s">
        <v>33</v>
      </c>
      <c r="P785">
        <f>FlipkartSales[[#This Row],[Price (INR)]]*FlipkartSales[[#This Row],[Quantity Sold]]</f>
        <v>83342.12</v>
      </c>
      <c r="Q785">
        <f>FlipkartSales[[#This Row],[Total Sales (INR)]]-FlipkartSales[[#This Row],[Calculated Sales]]</f>
        <v>0</v>
      </c>
      <c r="R785" s="9">
        <f t="shared" si="96"/>
        <v>0.2</v>
      </c>
      <c r="S785">
        <f t="shared" si="97"/>
        <v>41671.06</v>
      </c>
      <c r="T785">
        <f t="shared" si="98"/>
        <v>8334.2119999999995</v>
      </c>
      <c r="U785">
        <f t="shared" si="99"/>
        <v>2</v>
      </c>
      <c r="V785" t="str">
        <f t="shared" si="100"/>
        <v>Q1</v>
      </c>
      <c r="W785" t="str">
        <f t="shared" si="101"/>
        <v>Feb-2025</v>
      </c>
      <c r="X785">
        <f t="shared" si="102"/>
        <v>7500.7907999999998</v>
      </c>
      <c r="Y785" s="5">
        <f t="shared" si="103"/>
        <v>75841.329199999993</v>
      </c>
      <c r="Z785" s="21">
        <f>DATE(K785,MATCH(J785,{"January","February","March","April","May","June","July","August","September","October","November","December"},0),1)</f>
        <v>45689</v>
      </c>
    </row>
    <row r="786" spans="1:26" x14ac:dyDescent="0.3">
      <c r="A786" s="4" t="s">
        <v>854</v>
      </c>
      <c r="B786" s="4" t="s">
        <v>50</v>
      </c>
      <c r="C786" s="4" t="s">
        <v>40</v>
      </c>
      <c r="D786" s="5">
        <v>15793.43</v>
      </c>
      <c r="E786" s="6">
        <v>5</v>
      </c>
      <c r="F786" s="5">
        <v>78967.149999999994</v>
      </c>
      <c r="G786" s="1">
        <v>45557</v>
      </c>
      <c r="H786" t="s">
        <v>80</v>
      </c>
      <c r="I786">
        <v>1.3</v>
      </c>
      <c r="J786" t="s">
        <v>19</v>
      </c>
      <c r="K786">
        <v>2024</v>
      </c>
      <c r="L786">
        <v>15793.43</v>
      </c>
      <c r="M786">
        <v>13</v>
      </c>
      <c r="N786" t="s">
        <v>41</v>
      </c>
      <c r="O786" t="s">
        <v>28</v>
      </c>
      <c r="P786">
        <f>FlipkartSales[[#This Row],[Price (INR)]]*FlipkartSales[[#This Row],[Quantity Sold]]</f>
        <v>78967.149999999994</v>
      </c>
      <c r="Q786">
        <f>FlipkartSales[[#This Row],[Total Sales (INR)]]-FlipkartSales[[#This Row],[Calculated Sales]]</f>
        <v>0</v>
      </c>
      <c r="R786" s="9">
        <f t="shared" si="96"/>
        <v>0.2</v>
      </c>
      <c r="S786">
        <f t="shared" si="97"/>
        <v>15793.429999999998</v>
      </c>
      <c r="T786">
        <f t="shared" si="98"/>
        <v>3158.6860000000001</v>
      </c>
      <c r="U786">
        <f t="shared" si="99"/>
        <v>9</v>
      </c>
      <c r="V786" t="str">
        <f t="shared" si="100"/>
        <v>Q3</v>
      </c>
      <c r="W786" t="str">
        <f t="shared" si="101"/>
        <v>Sep-2024</v>
      </c>
      <c r="X786">
        <f t="shared" si="102"/>
        <v>10265.729499999999</v>
      </c>
      <c r="Y786" s="5">
        <f t="shared" si="103"/>
        <v>68701.420499999993</v>
      </c>
      <c r="Z786" s="21">
        <f>DATE(K786,MATCH(J786,{"January","February","March","April","May","June","July","August","September","October","November","December"},0),1)</f>
        <v>45536</v>
      </c>
    </row>
    <row r="787" spans="1:26" x14ac:dyDescent="0.3">
      <c r="A787" s="4" t="s">
        <v>855</v>
      </c>
      <c r="B787" s="4" t="s">
        <v>61</v>
      </c>
      <c r="C787" s="4" t="s">
        <v>31</v>
      </c>
      <c r="D787" s="5">
        <v>6767.81</v>
      </c>
      <c r="E787" s="6">
        <v>1</v>
      </c>
      <c r="F787" s="5">
        <v>6767.81</v>
      </c>
      <c r="G787" s="1">
        <v>45653</v>
      </c>
      <c r="H787" t="s">
        <v>64</v>
      </c>
      <c r="I787">
        <v>2.1</v>
      </c>
      <c r="J787" t="s">
        <v>26</v>
      </c>
      <c r="K787">
        <v>2024</v>
      </c>
      <c r="L787">
        <v>1353.5620000000001</v>
      </c>
      <c r="M787">
        <v>8</v>
      </c>
      <c r="N787" t="s">
        <v>41</v>
      </c>
      <c r="O787" t="s">
        <v>68</v>
      </c>
      <c r="P787">
        <f>FlipkartSales[[#This Row],[Price (INR)]]*FlipkartSales[[#This Row],[Quantity Sold]]</f>
        <v>6767.81</v>
      </c>
      <c r="Q787">
        <f>FlipkartSales[[#This Row],[Total Sales (INR)]]-FlipkartSales[[#This Row],[Calculated Sales]]</f>
        <v>0</v>
      </c>
      <c r="R787" s="9">
        <f t="shared" si="96"/>
        <v>0.2</v>
      </c>
      <c r="S787">
        <f t="shared" si="97"/>
        <v>6767.81</v>
      </c>
      <c r="T787">
        <f t="shared" si="98"/>
        <v>1353.5620000000001</v>
      </c>
      <c r="U787">
        <f t="shared" si="99"/>
        <v>12</v>
      </c>
      <c r="V787" t="str">
        <f t="shared" si="100"/>
        <v>Q4</v>
      </c>
      <c r="W787" t="str">
        <f t="shared" si="101"/>
        <v>Dec-2024</v>
      </c>
      <c r="X787">
        <f t="shared" si="102"/>
        <v>541.4248</v>
      </c>
      <c r="Y787" s="5">
        <f t="shared" si="103"/>
        <v>6226.3852000000006</v>
      </c>
      <c r="Z787" s="21">
        <f>DATE(K787,MATCH(J787,{"January","February","March","April","May","June","July","August","September","October","November","December"},0),1)</f>
        <v>45627</v>
      </c>
    </row>
    <row r="788" spans="1:26" x14ac:dyDescent="0.3">
      <c r="A788" s="4" t="s">
        <v>856</v>
      </c>
      <c r="B788" s="4" t="s">
        <v>61</v>
      </c>
      <c r="C788" s="4" t="s">
        <v>31</v>
      </c>
      <c r="D788" s="5">
        <v>1011.22</v>
      </c>
      <c r="E788" s="6">
        <v>5</v>
      </c>
      <c r="F788" s="5">
        <v>5056.1000000000004</v>
      </c>
      <c r="G788" s="1">
        <v>45601</v>
      </c>
      <c r="H788" t="s">
        <v>80</v>
      </c>
      <c r="I788">
        <v>4.7</v>
      </c>
      <c r="J788" t="s">
        <v>37</v>
      </c>
      <c r="K788">
        <v>2024</v>
      </c>
      <c r="L788">
        <v>1011.2200000000001</v>
      </c>
      <c r="M788">
        <v>26</v>
      </c>
      <c r="N788" t="s">
        <v>41</v>
      </c>
      <c r="O788" t="s">
        <v>28</v>
      </c>
      <c r="P788">
        <f>FlipkartSales[[#This Row],[Price (INR)]]*FlipkartSales[[#This Row],[Quantity Sold]]</f>
        <v>5056.1000000000004</v>
      </c>
      <c r="Q788">
        <f>FlipkartSales[[#This Row],[Total Sales (INR)]]-FlipkartSales[[#This Row],[Calculated Sales]]</f>
        <v>0</v>
      </c>
      <c r="R788" s="9">
        <f t="shared" si="96"/>
        <v>0.2</v>
      </c>
      <c r="S788">
        <f t="shared" si="97"/>
        <v>1011.22</v>
      </c>
      <c r="T788">
        <f t="shared" si="98"/>
        <v>202.24400000000003</v>
      </c>
      <c r="U788">
        <f t="shared" si="99"/>
        <v>11</v>
      </c>
      <c r="V788" t="str">
        <f t="shared" si="100"/>
        <v>Q4</v>
      </c>
      <c r="W788" t="str">
        <f t="shared" si="101"/>
        <v>Nov-2024</v>
      </c>
      <c r="X788">
        <f t="shared" si="102"/>
        <v>1314.586</v>
      </c>
      <c r="Y788" s="5">
        <f t="shared" si="103"/>
        <v>3741.5140000000001</v>
      </c>
      <c r="Z788" s="21">
        <f>DATE(K788,MATCH(J788,{"January","February","March","April","May","June","July","August","September","October","November","December"},0),1)</f>
        <v>45597</v>
      </c>
    </row>
    <row r="789" spans="1:26" x14ac:dyDescent="0.3">
      <c r="A789" s="4" t="s">
        <v>857</v>
      </c>
      <c r="B789" s="4" t="s">
        <v>107</v>
      </c>
      <c r="C789" s="4" t="s">
        <v>36</v>
      </c>
      <c r="D789" s="5">
        <v>13371.25</v>
      </c>
      <c r="E789" s="6">
        <v>4</v>
      </c>
      <c r="F789" s="5">
        <v>53485</v>
      </c>
      <c r="G789" s="1">
        <v>45478</v>
      </c>
      <c r="H789" t="s">
        <v>71</v>
      </c>
      <c r="I789">
        <v>1.6</v>
      </c>
      <c r="J789" t="s">
        <v>48</v>
      </c>
      <c r="K789">
        <v>2024</v>
      </c>
      <c r="L789">
        <v>10697</v>
      </c>
      <c r="M789">
        <v>21</v>
      </c>
      <c r="N789" t="s">
        <v>41</v>
      </c>
      <c r="O789" t="s">
        <v>68</v>
      </c>
      <c r="P789">
        <f>FlipkartSales[[#This Row],[Price (INR)]]*FlipkartSales[[#This Row],[Quantity Sold]]</f>
        <v>53485</v>
      </c>
      <c r="Q789">
        <f>FlipkartSales[[#This Row],[Total Sales (INR)]]-FlipkartSales[[#This Row],[Calculated Sales]]</f>
        <v>0</v>
      </c>
      <c r="R789" s="9">
        <f t="shared" si="96"/>
        <v>0.2</v>
      </c>
      <c r="S789">
        <f t="shared" si="97"/>
        <v>13371.25</v>
      </c>
      <c r="T789">
        <f t="shared" si="98"/>
        <v>2674.25</v>
      </c>
      <c r="U789">
        <f t="shared" si="99"/>
        <v>7</v>
      </c>
      <c r="V789" t="str">
        <f t="shared" si="100"/>
        <v>Q3</v>
      </c>
      <c r="W789" t="str">
        <f t="shared" si="101"/>
        <v>Jul-2024</v>
      </c>
      <c r="X789">
        <f t="shared" si="102"/>
        <v>11231.85</v>
      </c>
      <c r="Y789" s="5">
        <f t="shared" si="103"/>
        <v>42253.15</v>
      </c>
      <c r="Z789" s="21">
        <f>DATE(K789,MATCH(J789,{"January","February","March","April","May","June","July","August","September","October","November","December"},0),1)</f>
        <v>45474</v>
      </c>
    </row>
    <row r="790" spans="1:26" x14ac:dyDescent="0.3">
      <c r="A790" s="4" t="s">
        <v>858</v>
      </c>
      <c r="B790" s="4" t="s">
        <v>23</v>
      </c>
      <c r="C790" s="4" t="s">
        <v>24</v>
      </c>
      <c r="D790" s="5">
        <v>28972.11</v>
      </c>
      <c r="E790" s="6">
        <v>2</v>
      </c>
      <c r="F790" s="5">
        <v>57944.22</v>
      </c>
      <c r="G790" s="1">
        <v>45505</v>
      </c>
      <c r="H790" t="s">
        <v>71</v>
      </c>
      <c r="I790">
        <v>2.1</v>
      </c>
      <c r="J790" t="s">
        <v>88</v>
      </c>
      <c r="K790">
        <v>2024</v>
      </c>
      <c r="L790">
        <v>11588.844000000001</v>
      </c>
      <c r="M790">
        <v>13</v>
      </c>
      <c r="N790" t="s">
        <v>27</v>
      </c>
      <c r="O790" t="s">
        <v>33</v>
      </c>
      <c r="P790">
        <f>FlipkartSales[[#This Row],[Price (INR)]]*FlipkartSales[[#This Row],[Quantity Sold]]</f>
        <v>57944.22</v>
      </c>
      <c r="Q790">
        <f>FlipkartSales[[#This Row],[Total Sales (INR)]]-FlipkartSales[[#This Row],[Calculated Sales]]</f>
        <v>0</v>
      </c>
      <c r="R790" s="9">
        <f t="shared" si="96"/>
        <v>0.2</v>
      </c>
      <c r="S790">
        <f t="shared" si="97"/>
        <v>28972.11</v>
      </c>
      <c r="T790">
        <f t="shared" si="98"/>
        <v>5794.4220000000005</v>
      </c>
      <c r="U790">
        <f t="shared" si="99"/>
        <v>8</v>
      </c>
      <c r="V790" t="str">
        <f t="shared" si="100"/>
        <v>Q3</v>
      </c>
      <c r="W790" t="str">
        <f t="shared" si="101"/>
        <v>Aug-2024</v>
      </c>
      <c r="X790">
        <f t="shared" si="102"/>
        <v>7532.7485999999999</v>
      </c>
      <c r="Y790" s="5">
        <f t="shared" si="103"/>
        <v>50411.471400000002</v>
      </c>
      <c r="Z790" s="21">
        <f>DATE(K790,MATCH(J790,{"January","February","March","April","May","June","July","August","September","October","November","December"},0),1)</f>
        <v>45505</v>
      </c>
    </row>
    <row r="791" spans="1:26" x14ac:dyDescent="0.3">
      <c r="A791" s="4" t="s">
        <v>859</v>
      </c>
      <c r="B791" s="4" t="s">
        <v>58</v>
      </c>
      <c r="C791" s="4" t="s">
        <v>31</v>
      </c>
      <c r="D791" s="5">
        <v>17212.34</v>
      </c>
      <c r="E791" s="6">
        <v>1</v>
      </c>
      <c r="F791" s="5">
        <v>17212.34</v>
      </c>
      <c r="G791" s="1">
        <v>45694</v>
      </c>
      <c r="H791" t="s">
        <v>64</v>
      </c>
      <c r="I791">
        <v>3.5</v>
      </c>
      <c r="J791" t="s">
        <v>59</v>
      </c>
      <c r="K791">
        <v>2025</v>
      </c>
      <c r="L791">
        <v>3442.4680000000003</v>
      </c>
      <c r="M791">
        <v>5</v>
      </c>
      <c r="N791" t="s">
        <v>41</v>
      </c>
      <c r="O791" t="s">
        <v>68</v>
      </c>
      <c r="P791">
        <f>FlipkartSales[[#This Row],[Price (INR)]]*FlipkartSales[[#This Row],[Quantity Sold]]</f>
        <v>17212.34</v>
      </c>
      <c r="Q791">
        <f>FlipkartSales[[#This Row],[Total Sales (INR)]]-FlipkartSales[[#This Row],[Calculated Sales]]</f>
        <v>0</v>
      </c>
      <c r="R791" s="9">
        <f t="shared" si="96"/>
        <v>0.2</v>
      </c>
      <c r="S791">
        <f t="shared" si="97"/>
        <v>17212.34</v>
      </c>
      <c r="T791">
        <f t="shared" si="98"/>
        <v>3442.4680000000003</v>
      </c>
      <c r="U791">
        <f t="shared" si="99"/>
        <v>2</v>
      </c>
      <c r="V791" t="str">
        <f t="shared" si="100"/>
        <v>Q1</v>
      </c>
      <c r="W791" t="str">
        <f t="shared" si="101"/>
        <v>Feb-2025</v>
      </c>
      <c r="X791">
        <f t="shared" si="102"/>
        <v>860.61699999999996</v>
      </c>
      <c r="Y791" s="5">
        <f t="shared" si="103"/>
        <v>16351.723</v>
      </c>
      <c r="Z791" s="21">
        <f>DATE(K791,MATCH(J791,{"January","February","March","April","May","June","July","August","September","October","November","December"},0),1)</f>
        <v>45689</v>
      </c>
    </row>
    <row r="792" spans="1:26" x14ac:dyDescent="0.3">
      <c r="A792" s="4" t="s">
        <v>860</v>
      </c>
      <c r="B792" s="4" t="s">
        <v>16</v>
      </c>
      <c r="C792" s="4" t="s">
        <v>17</v>
      </c>
      <c r="D792" s="5">
        <v>48742</v>
      </c>
      <c r="E792" s="6">
        <v>1</v>
      </c>
      <c r="F792" s="5">
        <v>48742</v>
      </c>
      <c r="G792" s="1">
        <v>45551</v>
      </c>
      <c r="H792" t="s">
        <v>25</v>
      </c>
      <c r="I792">
        <v>1.1000000000000001</v>
      </c>
      <c r="J792" t="s">
        <v>19</v>
      </c>
      <c r="K792">
        <v>2024</v>
      </c>
      <c r="L792">
        <v>9748.4</v>
      </c>
      <c r="M792">
        <v>25</v>
      </c>
      <c r="N792" t="s">
        <v>27</v>
      </c>
      <c r="O792" t="s">
        <v>33</v>
      </c>
      <c r="P792">
        <f>FlipkartSales[[#This Row],[Price (INR)]]*FlipkartSales[[#This Row],[Quantity Sold]]</f>
        <v>48742</v>
      </c>
      <c r="Q792">
        <f>FlipkartSales[[#This Row],[Total Sales (INR)]]-FlipkartSales[[#This Row],[Calculated Sales]]</f>
        <v>0</v>
      </c>
      <c r="R792" s="9">
        <f t="shared" si="96"/>
        <v>0.19999999999999998</v>
      </c>
      <c r="S792">
        <f t="shared" si="97"/>
        <v>48742</v>
      </c>
      <c r="T792">
        <f t="shared" si="98"/>
        <v>9748.4</v>
      </c>
      <c r="U792">
        <f t="shared" si="99"/>
        <v>9</v>
      </c>
      <c r="V792" t="str">
        <f t="shared" si="100"/>
        <v>Q3</v>
      </c>
      <c r="W792" t="str">
        <f t="shared" si="101"/>
        <v>Sep-2024</v>
      </c>
      <c r="X792">
        <f t="shared" si="102"/>
        <v>12185.5</v>
      </c>
      <c r="Y792" s="5">
        <f t="shared" si="103"/>
        <v>36556.5</v>
      </c>
      <c r="Z792" s="21">
        <f>DATE(K792,MATCH(J792,{"January","February","March","April","May","June","July","August","September","October","November","December"},0),1)</f>
        <v>45536</v>
      </c>
    </row>
    <row r="793" spans="1:26" x14ac:dyDescent="0.3">
      <c r="A793" s="4" t="s">
        <v>861</v>
      </c>
      <c r="B793" s="4" t="s">
        <v>66</v>
      </c>
      <c r="C793" s="4" t="s">
        <v>36</v>
      </c>
      <c r="D793" s="5">
        <v>19117.36</v>
      </c>
      <c r="E793" s="6">
        <v>3</v>
      </c>
      <c r="F793" s="5">
        <v>57352.08</v>
      </c>
      <c r="G793" s="1">
        <v>45696</v>
      </c>
      <c r="H793" t="s">
        <v>64</v>
      </c>
      <c r="I793">
        <v>1.6</v>
      </c>
      <c r="J793" t="s">
        <v>59</v>
      </c>
      <c r="K793">
        <v>2025</v>
      </c>
      <c r="L793">
        <v>11470.416000000001</v>
      </c>
      <c r="M793">
        <v>24</v>
      </c>
      <c r="N793" t="s">
        <v>41</v>
      </c>
      <c r="O793" t="s">
        <v>68</v>
      </c>
      <c r="P793">
        <f>FlipkartSales[[#This Row],[Price (INR)]]*FlipkartSales[[#This Row],[Quantity Sold]]</f>
        <v>57352.08</v>
      </c>
      <c r="Q793">
        <f>FlipkartSales[[#This Row],[Total Sales (INR)]]-FlipkartSales[[#This Row],[Calculated Sales]]</f>
        <v>0</v>
      </c>
      <c r="R793" s="9">
        <f t="shared" si="96"/>
        <v>0.2</v>
      </c>
      <c r="S793">
        <f t="shared" si="97"/>
        <v>19117.36</v>
      </c>
      <c r="T793">
        <f t="shared" si="98"/>
        <v>3823.4720000000002</v>
      </c>
      <c r="U793">
        <f t="shared" si="99"/>
        <v>2</v>
      </c>
      <c r="V793" t="str">
        <f t="shared" si="100"/>
        <v>Q1</v>
      </c>
      <c r="W793" t="str">
        <f t="shared" si="101"/>
        <v>Feb-2025</v>
      </c>
      <c r="X793">
        <f t="shared" si="102"/>
        <v>13764.499199999998</v>
      </c>
      <c r="Y793" s="5">
        <f t="shared" si="103"/>
        <v>43587.580800000003</v>
      </c>
      <c r="Z793" s="21">
        <f>DATE(K793,MATCH(J793,{"January","February","March","April","May","June","July","August","September","October","November","December"},0),1)</f>
        <v>45689</v>
      </c>
    </row>
    <row r="794" spans="1:26" x14ac:dyDescent="0.3">
      <c r="A794" s="4" t="s">
        <v>862</v>
      </c>
      <c r="B794" s="4" t="s">
        <v>55</v>
      </c>
      <c r="C794" s="4" t="s">
        <v>36</v>
      </c>
      <c r="D794" s="5">
        <v>847.39</v>
      </c>
      <c r="E794" s="6">
        <v>5</v>
      </c>
      <c r="F794" s="5">
        <v>4236.95</v>
      </c>
      <c r="G794" s="1">
        <v>45641</v>
      </c>
      <c r="H794" t="s">
        <v>80</v>
      </c>
      <c r="I794">
        <v>4</v>
      </c>
      <c r="J794" t="s">
        <v>26</v>
      </c>
      <c r="K794">
        <v>2024</v>
      </c>
      <c r="L794">
        <v>847.39</v>
      </c>
      <c r="M794">
        <v>17</v>
      </c>
      <c r="N794" t="s">
        <v>20</v>
      </c>
      <c r="O794" t="s">
        <v>33</v>
      </c>
      <c r="P794">
        <f>FlipkartSales[[#This Row],[Price (INR)]]*FlipkartSales[[#This Row],[Quantity Sold]]</f>
        <v>4236.95</v>
      </c>
      <c r="Q794">
        <f>FlipkartSales[[#This Row],[Total Sales (INR)]]-FlipkartSales[[#This Row],[Calculated Sales]]</f>
        <v>0</v>
      </c>
      <c r="R794" s="9">
        <f t="shared" si="96"/>
        <v>0.2</v>
      </c>
      <c r="S794">
        <f t="shared" si="97"/>
        <v>847.39</v>
      </c>
      <c r="T794">
        <f t="shared" si="98"/>
        <v>169.47800000000001</v>
      </c>
      <c r="U794">
        <f t="shared" si="99"/>
        <v>12</v>
      </c>
      <c r="V794" t="str">
        <f t="shared" si="100"/>
        <v>Q4</v>
      </c>
      <c r="W794" t="str">
        <f t="shared" si="101"/>
        <v>Dec-2024</v>
      </c>
      <c r="X794">
        <f t="shared" si="102"/>
        <v>720.28149999999994</v>
      </c>
      <c r="Y794" s="5">
        <f t="shared" si="103"/>
        <v>3516.6684999999998</v>
      </c>
      <c r="Z794" s="21">
        <f>DATE(K794,MATCH(J794,{"January","February","March","April","May","June","July","August","September","October","November","December"},0),1)</f>
        <v>45627</v>
      </c>
    </row>
    <row r="795" spans="1:26" x14ac:dyDescent="0.3">
      <c r="A795" s="4" t="s">
        <v>863</v>
      </c>
      <c r="B795" s="4" t="s">
        <v>43</v>
      </c>
      <c r="C795" s="4" t="s">
        <v>40</v>
      </c>
      <c r="D795" s="5">
        <v>14796.32</v>
      </c>
      <c r="E795" s="6">
        <v>2</v>
      </c>
      <c r="F795" s="5">
        <v>29592.639999999999</v>
      </c>
      <c r="G795" s="1">
        <v>45625</v>
      </c>
      <c r="H795" t="s">
        <v>44</v>
      </c>
      <c r="I795">
        <v>1.2</v>
      </c>
      <c r="J795" t="s">
        <v>37</v>
      </c>
      <c r="K795">
        <v>2024</v>
      </c>
      <c r="L795">
        <v>5918.5280000000002</v>
      </c>
      <c r="M795">
        <v>20</v>
      </c>
      <c r="N795" t="s">
        <v>27</v>
      </c>
      <c r="O795" t="s">
        <v>33</v>
      </c>
      <c r="P795">
        <f>FlipkartSales[[#This Row],[Price (INR)]]*FlipkartSales[[#This Row],[Quantity Sold]]</f>
        <v>29592.639999999999</v>
      </c>
      <c r="Q795">
        <f>FlipkartSales[[#This Row],[Total Sales (INR)]]-FlipkartSales[[#This Row],[Calculated Sales]]</f>
        <v>0</v>
      </c>
      <c r="R795" s="9">
        <f t="shared" si="96"/>
        <v>0.2</v>
      </c>
      <c r="S795">
        <f t="shared" si="97"/>
        <v>14796.32</v>
      </c>
      <c r="T795">
        <f t="shared" si="98"/>
        <v>2959.2640000000001</v>
      </c>
      <c r="U795">
        <f t="shared" si="99"/>
        <v>11</v>
      </c>
      <c r="V795" t="str">
        <f t="shared" si="100"/>
        <v>Q4</v>
      </c>
      <c r="W795" t="str">
        <f t="shared" si="101"/>
        <v>Nov-2024</v>
      </c>
      <c r="X795">
        <f t="shared" si="102"/>
        <v>5918.5280000000002</v>
      </c>
      <c r="Y795" s="5">
        <f t="shared" si="103"/>
        <v>23674.112000000001</v>
      </c>
      <c r="Z795" s="21">
        <f>DATE(K795,MATCH(J795,{"January","February","March","April","May","June","July","August","September","October","November","December"},0),1)</f>
        <v>45597</v>
      </c>
    </row>
    <row r="796" spans="1:26" x14ac:dyDescent="0.3">
      <c r="A796" s="4" t="s">
        <v>864</v>
      </c>
      <c r="B796" s="4" t="s">
        <v>30</v>
      </c>
      <c r="C796" s="4" t="s">
        <v>31</v>
      </c>
      <c r="D796" s="5">
        <v>5238.33</v>
      </c>
      <c r="E796" s="6">
        <v>3</v>
      </c>
      <c r="F796" s="5">
        <v>15714.99</v>
      </c>
      <c r="G796" s="1">
        <v>45589</v>
      </c>
      <c r="H796" t="s">
        <v>44</v>
      </c>
      <c r="I796">
        <v>1.6</v>
      </c>
      <c r="J796" t="s">
        <v>45</v>
      </c>
      <c r="K796">
        <v>2024</v>
      </c>
      <c r="L796">
        <v>3142.998</v>
      </c>
      <c r="M796">
        <v>17</v>
      </c>
      <c r="N796" t="s">
        <v>20</v>
      </c>
      <c r="O796" t="s">
        <v>21</v>
      </c>
      <c r="P796">
        <f>FlipkartSales[[#This Row],[Price (INR)]]*FlipkartSales[[#This Row],[Quantity Sold]]</f>
        <v>15714.99</v>
      </c>
      <c r="Q796">
        <f>FlipkartSales[[#This Row],[Total Sales (INR)]]-FlipkartSales[[#This Row],[Calculated Sales]]</f>
        <v>0</v>
      </c>
      <c r="R796" s="9">
        <f t="shared" si="96"/>
        <v>0.2</v>
      </c>
      <c r="S796">
        <f t="shared" si="97"/>
        <v>5238.33</v>
      </c>
      <c r="T796">
        <f t="shared" si="98"/>
        <v>1047.6659999999999</v>
      </c>
      <c r="U796">
        <f t="shared" si="99"/>
        <v>10</v>
      </c>
      <c r="V796" t="str">
        <f t="shared" si="100"/>
        <v>Q4</v>
      </c>
      <c r="W796" t="str">
        <f t="shared" si="101"/>
        <v>Oct-2024</v>
      </c>
      <c r="X796">
        <f t="shared" si="102"/>
        <v>2671.5483000000004</v>
      </c>
      <c r="Y796" s="5">
        <f t="shared" si="103"/>
        <v>13043.441699999999</v>
      </c>
      <c r="Z796" s="21">
        <f>DATE(K796,MATCH(J796,{"January","February","March","April","May","June","July","August","September","October","November","December"},0),1)</f>
        <v>45566</v>
      </c>
    </row>
    <row r="797" spans="1:26" x14ac:dyDescent="0.3">
      <c r="A797" s="4" t="s">
        <v>865</v>
      </c>
      <c r="B797" s="4" t="s">
        <v>43</v>
      </c>
      <c r="C797" s="4" t="s">
        <v>40</v>
      </c>
      <c r="D797" s="5">
        <v>31430.94</v>
      </c>
      <c r="E797" s="6">
        <v>5</v>
      </c>
      <c r="F797" s="5">
        <v>157154.70000000001</v>
      </c>
      <c r="G797" s="1">
        <v>45598</v>
      </c>
      <c r="H797" t="s">
        <v>18</v>
      </c>
      <c r="I797">
        <v>4.5999999999999996</v>
      </c>
      <c r="J797" t="s">
        <v>37</v>
      </c>
      <c r="K797">
        <v>2024</v>
      </c>
      <c r="L797">
        <v>31430.940000000002</v>
      </c>
      <c r="M797">
        <v>18</v>
      </c>
      <c r="N797" t="s">
        <v>27</v>
      </c>
      <c r="O797" t="s">
        <v>33</v>
      </c>
      <c r="P797">
        <f>FlipkartSales[[#This Row],[Price (INR)]]*FlipkartSales[[#This Row],[Quantity Sold]]</f>
        <v>157154.69999999998</v>
      </c>
      <c r="Q797">
        <f>FlipkartSales[[#This Row],[Total Sales (INR)]]-FlipkartSales[[#This Row],[Calculated Sales]]</f>
        <v>0</v>
      </c>
      <c r="R797" s="9">
        <f t="shared" si="96"/>
        <v>0.2</v>
      </c>
      <c r="S797">
        <f t="shared" si="97"/>
        <v>31430.940000000002</v>
      </c>
      <c r="T797">
        <f t="shared" si="98"/>
        <v>6286.1880000000001</v>
      </c>
      <c r="U797">
        <f t="shared" si="99"/>
        <v>11</v>
      </c>
      <c r="V797" t="str">
        <f t="shared" si="100"/>
        <v>Q4</v>
      </c>
      <c r="W797" t="str">
        <f t="shared" si="101"/>
        <v>Nov-2024</v>
      </c>
      <c r="X797">
        <f t="shared" si="102"/>
        <v>28287.846000000001</v>
      </c>
      <c r="Y797" s="5">
        <f t="shared" si="103"/>
        <v>128866.85400000001</v>
      </c>
      <c r="Z797" s="21">
        <f>DATE(K797,MATCH(J797,{"January","February","March","April","May","June","July","August","September","October","November","December"},0),1)</f>
        <v>45597</v>
      </c>
    </row>
    <row r="798" spans="1:26" x14ac:dyDescent="0.3">
      <c r="A798" s="4" t="s">
        <v>866</v>
      </c>
      <c r="B798" s="4" t="s">
        <v>23</v>
      </c>
      <c r="C798" s="4" t="s">
        <v>24</v>
      </c>
      <c r="D798" s="5">
        <v>27532.48</v>
      </c>
      <c r="E798" s="6">
        <v>4</v>
      </c>
      <c r="F798" s="5">
        <v>110129.92</v>
      </c>
      <c r="G798" s="1">
        <v>45391</v>
      </c>
      <c r="H798" t="s">
        <v>25</v>
      </c>
      <c r="I798">
        <v>2.2000000000000002</v>
      </c>
      <c r="J798" t="s">
        <v>62</v>
      </c>
      <c r="K798">
        <v>2024</v>
      </c>
      <c r="L798">
        <v>22025.984</v>
      </c>
      <c r="M798">
        <v>7</v>
      </c>
      <c r="N798" t="s">
        <v>20</v>
      </c>
      <c r="O798" t="s">
        <v>21</v>
      </c>
      <c r="P798">
        <f>FlipkartSales[[#This Row],[Price (INR)]]*FlipkartSales[[#This Row],[Quantity Sold]]</f>
        <v>110129.92</v>
      </c>
      <c r="Q798">
        <f>FlipkartSales[[#This Row],[Total Sales (INR)]]-FlipkartSales[[#This Row],[Calculated Sales]]</f>
        <v>0</v>
      </c>
      <c r="R798" s="9">
        <f t="shared" si="96"/>
        <v>0.2</v>
      </c>
      <c r="S798">
        <f t="shared" si="97"/>
        <v>27532.48</v>
      </c>
      <c r="T798">
        <f t="shared" si="98"/>
        <v>5506.4960000000001</v>
      </c>
      <c r="U798">
        <f t="shared" si="99"/>
        <v>4</v>
      </c>
      <c r="V798" t="str">
        <f t="shared" si="100"/>
        <v>Q2</v>
      </c>
      <c r="W798" t="str">
        <f t="shared" si="101"/>
        <v>Apr-2024</v>
      </c>
      <c r="X798">
        <f t="shared" si="102"/>
        <v>7709.094399999999</v>
      </c>
      <c r="Y798" s="5">
        <f t="shared" si="103"/>
        <v>102420.8256</v>
      </c>
      <c r="Z798" s="21">
        <f>DATE(K798,MATCH(J798,{"January","February","March","April","May","June","July","August","September","October","November","December"},0),1)</f>
        <v>45383</v>
      </c>
    </row>
    <row r="799" spans="1:26" x14ac:dyDescent="0.3">
      <c r="A799" s="4" t="s">
        <v>867</v>
      </c>
      <c r="B799" s="4" t="s">
        <v>23</v>
      </c>
      <c r="C799" s="4" t="s">
        <v>24</v>
      </c>
      <c r="D799" s="5">
        <v>41121.949999999997</v>
      </c>
      <c r="E799" s="6">
        <v>3</v>
      </c>
      <c r="F799" s="5">
        <v>123365.85</v>
      </c>
      <c r="G799" s="1">
        <v>45342</v>
      </c>
      <c r="H799" t="s">
        <v>64</v>
      </c>
      <c r="I799">
        <v>1.4</v>
      </c>
      <c r="J799" t="s">
        <v>59</v>
      </c>
      <c r="K799">
        <v>2024</v>
      </c>
      <c r="L799">
        <v>24673.170000000002</v>
      </c>
      <c r="M799">
        <v>10</v>
      </c>
      <c r="N799" t="s">
        <v>41</v>
      </c>
      <c r="O799" t="s">
        <v>33</v>
      </c>
      <c r="P799">
        <f>FlipkartSales[[#This Row],[Price (INR)]]*FlipkartSales[[#This Row],[Quantity Sold]]</f>
        <v>123365.84999999999</v>
      </c>
      <c r="Q799">
        <f>FlipkartSales[[#This Row],[Total Sales (INR)]]-FlipkartSales[[#This Row],[Calculated Sales]]</f>
        <v>0</v>
      </c>
      <c r="R799" s="9">
        <f t="shared" si="96"/>
        <v>0.2</v>
      </c>
      <c r="S799">
        <f t="shared" si="97"/>
        <v>41121.950000000004</v>
      </c>
      <c r="T799">
        <f t="shared" si="98"/>
        <v>8224.3900000000012</v>
      </c>
      <c r="U799">
        <f t="shared" si="99"/>
        <v>2</v>
      </c>
      <c r="V799" t="str">
        <f t="shared" si="100"/>
        <v>Q1</v>
      </c>
      <c r="W799" t="str">
        <f t="shared" si="101"/>
        <v>Feb-2024</v>
      </c>
      <c r="X799">
        <f t="shared" si="102"/>
        <v>12336.584999999999</v>
      </c>
      <c r="Y799" s="5">
        <f t="shared" si="103"/>
        <v>111029.26500000001</v>
      </c>
      <c r="Z799" s="21">
        <f>DATE(K799,MATCH(J799,{"January","February","March","April","May","June","July","August","September","October","November","December"},0),1)</f>
        <v>45323</v>
      </c>
    </row>
    <row r="800" spans="1:26" x14ac:dyDescent="0.3">
      <c r="A800" s="4" t="s">
        <v>868</v>
      </c>
      <c r="B800" s="4" t="s">
        <v>96</v>
      </c>
      <c r="C800" s="4" t="s">
        <v>36</v>
      </c>
      <c r="D800" s="5">
        <v>12944.89</v>
      </c>
      <c r="E800" s="6">
        <v>2</v>
      </c>
      <c r="F800" s="5">
        <v>25889.78</v>
      </c>
      <c r="G800" s="1">
        <v>45392</v>
      </c>
      <c r="H800" t="s">
        <v>64</v>
      </c>
      <c r="I800">
        <v>1.9</v>
      </c>
      <c r="J800" t="s">
        <v>62</v>
      </c>
      <c r="K800">
        <v>2024</v>
      </c>
      <c r="L800">
        <v>5177.9560000000001</v>
      </c>
      <c r="M800">
        <v>22</v>
      </c>
      <c r="N800" t="s">
        <v>41</v>
      </c>
      <c r="O800" t="s">
        <v>28</v>
      </c>
      <c r="P800">
        <f>FlipkartSales[[#This Row],[Price (INR)]]*FlipkartSales[[#This Row],[Quantity Sold]]</f>
        <v>25889.78</v>
      </c>
      <c r="Q800">
        <f>FlipkartSales[[#This Row],[Total Sales (INR)]]-FlipkartSales[[#This Row],[Calculated Sales]]</f>
        <v>0</v>
      </c>
      <c r="R800" s="9">
        <f t="shared" si="96"/>
        <v>0.2</v>
      </c>
      <c r="S800">
        <f t="shared" si="97"/>
        <v>12944.89</v>
      </c>
      <c r="T800">
        <f t="shared" si="98"/>
        <v>2588.9780000000001</v>
      </c>
      <c r="U800">
        <f t="shared" si="99"/>
        <v>4</v>
      </c>
      <c r="V800" t="str">
        <f t="shared" si="100"/>
        <v>Q2</v>
      </c>
      <c r="W800" t="str">
        <f t="shared" si="101"/>
        <v>Apr-2024</v>
      </c>
      <c r="X800">
        <f t="shared" si="102"/>
        <v>5695.7515999999996</v>
      </c>
      <c r="Y800" s="5">
        <f t="shared" si="103"/>
        <v>20194.028399999999</v>
      </c>
      <c r="Z800" s="21">
        <f>DATE(K800,MATCH(J800,{"January","February","March","April","May","June","July","August","September","October","November","December"},0),1)</f>
        <v>45383</v>
      </c>
    </row>
    <row r="801" spans="1:26" x14ac:dyDescent="0.3">
      <c r="A801" s="4" t="s">
        <v>869</v>
      </c>
      <c r="B801" s="4" t="s">
        <v>78</v>
      </c>
      <c r="C801" s="4" t="s">
        <v>24</v>
      </c>
      <c r="D801" s="5">
        <v>4729.04</v>
      </c>
      <c r="E801" s="6">
        <v>5</v>
      </c>
      <c r="F801" s="5">
        <v>23645.200000000001</v>
      </c>
      <c r="G801" s="1">
        <v>45544</v>
      </c>
      <c r="H801" t="s">
        <v>64</v>
      </c>
      <c r="I801">
        <v>4</v>
      </c>
      <c r="J801" t="s">
        <v>19</v>
      </c>
      <c r="K801">
        <v>2024</v>
      </c>
      <c r="L801">
        <v>4729.04</v>
      </c>
      <c r="M801">
        <v>23</v>
      </c>
      <c r="N801" t="s">
        <v>41</v>
      </c>
      <c r="O801" t="s">
        <v>33</v>
      </c>
      <c r="P801">
        <f>FlipkartSales[[#This Row],[Price (INR)]]*FlipkartSales[[#This Row],[Quantity Sold]]</f>
        <v>23645.200000000001</v>
      </c>
      <c r="Q801">
        <f>FlipkartSales[[#This Row],[Total Sales (INR)]]-FlipkartSales[[#This Row],[Calculated Sales]]</f>
        <v>0</v>
      </c>
      <c r="R801" s="9">
        <f t="shared" si="96"/>
        <v>0.19999999999999998</v>
      </c>
      <c r="S801">
        <f t="shared" si="97"/>
        <v>4729.04</v>
      </c>
      <c r="T801">
        <f t="shared" si="98"/>
        <v>945.80799999999999</v>
      </c>
      <c r="U801">
        <f t="shared" si="99"/>
        <v>9</v>
      </c>
      <c r="V801" t="str">
        <f t="shared" si="100"/>
        <v>Q3</v>
      </c>
      <c r="W801" t="str">
        <f t="shared" si="101"/>
        <v>Sep-2024</v>
      </c>
      <c r="X801">
        <f t="shared" si="102"/>
        <v>5438.3959999999997</v>
      </c>
      <c r="Y801" s="5">
        <f t="shared" si="103"/>
        <v>18206.804</v>
      </c>
      <c r="Z801" s="21">
        <f>DATE(K801,MATCH(J801,{"January","February","March","April","May","June","July","August","September","October","November","December"},0),1)</f>
        <v>45536</v>
      </c>
    </row>
    <row r="802" spans="1:26" x14ac:dyDescent="0.3">
      <c r="A802" s="4" t="s">
        <v>870</v>
      </c>
      <c r="B802" s="4" t="s">
        <v>61</v>
      </c>
      <c r="C802" s="4" t="s">
        <v>31</v>
      </c>
      <c r="D802" s="5">
        <v>31512.97</v>
      </c>
      <c r="E802" s="6">
        <v>2</v>
      </c>
      <c r="F802" s="5">
        <v>63025.94</v>
      </c>
      <c r="G802" s="1">
        <v>45644</v>
      </c>
      <c r="H802" t="s">
        <v>64</v>
      </c>
      <c r="I802">
        <v>2.1</v>
      </c>
      <c r="J802" t="s">
        <v>26</v>
      </c>
      <c r="K802">
        <v>2024</v>
      </c>
      <c r="L802">
        <v>12605.188000000002</v>
      </c>
      <c r="M802">
        <v>9</v>
      </c>
      <c r="N802" t="s">
        <v>27</v>
      </c>
      <c r="O802" t="s">
        <v>28</v>
      </c>
      <c r="P802">
        <f>FlipkartSales[[#This Row],[Price (INR)]]*FlipkartSales[[#This Row],[Quantity Sold]]</f>
        <v>63025.94</v>
      </c>
      <c r="Q802">
        <f>FlipkartSales[[#This Row],[Total Sales (INR)]]-FlipkartSales[[#This Row],[Calculated Sales]]</f>
        <v>0</v>
      </c>
      <c r="R802" s="9">
        <f t="shared" si="96"/>
        <v>0.2</v>
      </c>
      <c r="S802">
        <f t="shared" si="97"/>
        <v>31512.97</v>
      </c>
      <c r="T802">
        <f t="shared" si="98"/>
        <v>6302.594000000001</v>
      </c>
      <c r="U802">
        <f t="shared" si="99"/>
        <v>12</v>
      </c>
      <c r="V802" t="str">
        <f t="shared" si="100"/>
        <v>Q4</v>
      </c>
      <c r="W802" t="str">
        <f t="shared" si="101"/>
        <v>Dec-2024</v>
      </c>
      <c r="X802">
        <f t="shared" si="102"/>
        <v>5672.3345999999992</v>
      </c>
      <c r="Y802" s="5">
        <f t="shared" si="103"/>
        <v>57353.6054</v>
      </c>
      <c r="Z802" s="21">
        <f>DATE(K802,MATCH(J802,{"January","February","March","April","May","June","July","August","September","October","November","December"},0),1)</f>
        <v>45627</v>
      </c>
    </row>
    <row r="803" spans="1:26" x14ac:dyDescent="0.3">
      <c r="A803" s="4" t="s">
        <v>871</v>
      </c>
      <c r="B803" s="4" t="s">
        <v>35</v>
      </c>
      <c r="C803" s="4" t="s">
        <v>36</v>
      </c>
      <c r="D803" s="5">
        <v>46891.65</v>
      </c>
      <c r="E803" s="6">
        <v>3</v>
      </c>
      <c r="F803" s="5">
        <v>140674.95000000001</v>
      </c>
      <c r="G803" s="1">
        <v>45604</v>
      </c>
      <c r="H803" t="s">
        <v>80</v>
      </c>
      <c r="I803">
        <v>2.9</v>
      </c>
      <c r="J803" t="s">
        <v>37</v>
      </c>
      <c r="K803">
        <v>2024</v>
      </c>
      <c r="L803">
        <v>28134.990000000005</v>
      </c>
      <c r="M803">
        <v>19</v>
      </c>
      <c r="N803" t="s">
        <v>20</v>
      </c>
      <c r="O803" t="s">
        <v>28</v>
      </c>
      <c r="P803">
        <f>FlipkartSales[[#This Row],[Price (INR)]]*FlipkartSales[[#This Row],[Quantity Sold]]</f>
        <v>140674.95000000001</v>
      </c>
      <c r="Q803">
        <f>FlipkartSales[[#This Row],[Total Sales (INR)]]-FlipkartSales[[#This Row],[Calculated Sales]]</f>
        <v>0</v>
      </c>
      <c r="R803" s="9">
        <f t="shared" si="96"/>
        <v>0.2</v>
      </c>
      <c r="S803">
        <f t="shared" si="97"/>
        <v>46891.65</v>
      </c>
      <c r="T803">
        <f t="shared" si="98"/>
        <v>9378.3300000000017</v>
      </c>
      <c r="U803">
        <f t="shared" si="99"/>
        <v>11</v>
      </c>
      <c r="V803" t="str">
        <f t="shared" si="100"/>
        <v>Q4</v>
      </c>
      <c r="W803" t="str">
        <f t="shared" si="101"/>
        <v>Nov-2024</v>
      </c>
      <c r="X803">
        <f t="shared" si="102"/>
        <v>26728.240500000004</v>
      </c>
      <c r="Y803" s="5">
        <f t="shared" si="103"/>
        <v>113946.70950000001</v>
      </c>
      <c r="Z803" s="21">
        <f>DATE(K803,MATCH(J803,{"January","February","March","April","May","June","July","August","September","October","November","December"},0),1)</f>
        <v>45597</v>
      </c>
    </row>
    <row r="804" spans="1:26" x14ac:dyDescent="0.3">
      <c r="A804" s="4" t="s">
        <v>872</v>
      </c>
      <c r="B804" s="4" t="s">
        <v>176</v>
      </c>
      <c r="C804" s="4" t="s">
        <v>24</v>
      </c>
      <c r="D804" s="5">
        <v>34137.79</v>
      </c>
      <c r="E804" s="6">
        <v>2</v>
      </c>
      <c r="F804" s="5">
        <v>68275.58</v>
      </c>
      <c r="G804" s="1">
        <v>45558</v>
      </c>
      <c r="H804" t="s">
        <v>80</v>
      </c>
      <c r="I804">
        <v>1.8</v>
      </c>
      <c r="J804" t="s">
        <v>19</v>
      </c>
      <c r="K804">
        <v>2024</v>
      </c>
      <c r="L804">
        <v>13655.116000000002</v>
      </c>
      <c r="M804">
        <v>29</v>
      </c>
      <c r="N804" t="s">
        <v>41</v>
      </c>
      <c r="O804" t="s">
        <v>33</v>
      </c>
      <c r="P804">
        <f>FlipkartSales[[#This Row],[Price (INR)]]*FlipkartSales[[#This Row],[Quantity Sold]]</f>
        <v>68275.58</v>
      </c>
      <c r="Q804">
        <f>FlipkartSales[[#This Row],[Total Sales (INR)]]-FlipkartSales[[#This Row],[Calculated Sales]]</f>
        <v>0</v>
      </c>
      <c r="R804" s="9">
        <f t="shared" si="96"/>
        <v>0.2</v>
      </c>
      <c r="S804">
        <f t="shared" si="97"/>
        <v>34137.79</v>
      </c>
      <c r="T804">
        <f t="shared" si="98"/>
        <v>6827.5580000000009</v>
      </c>
      <c r="U804">
        <f t="shared" si="99"/>
        <v>9</v>
      </c>
      <c r="V804" t="str">
        <f t="shared" si="100"/>
        <v>Q3</v>
      </c>
      <c r="W804" t="str">
        <f t="shared" si="101"/>
        <v>Sep-2024</v>
      </c>
      <c r="X804">
        <f t="shared" si="102"/>
        <v>19799.9182</v>
      </c>
      <c r="Y804" s="5">
        <f t="shared" si="103"/>
        <v>48475.661800000002</v>
      </c>
      <c r="Z804" s="21">
        <f>DATE(K804,MATCH(J804,{"January","February","March","April","May","June","July","August","September","October","November","December"},0),1)</f>
        <v>45536</v>
      </c>
    </row>
    <row r="805" spans="1:26" x14ac:dyDescent="0.3">
      <c r="A805" s="4" t="s">
        <v>873</v>
      </c>
      <c r="B805" s="4" t="s">
        <v>50</v>
      </c>
      <c r="C805" s="4" t="s">
        <v>40</v>
      </c>
      <c r="D805" s="5">
        <v>41000.910000000003</v>
      </c>
      <c r="E805" s="6">
        <v>4</v>
      </c>
      <c r="F805" s="5">
        <v>164003.64000000001</v>
      </c>
      <c r="G805" s="1">
        <v>45546</v>
      </c>
      <c r="H805" t="s">
        <v>25</v>
      </c>
      <c r="I805">
        <v>4.5</v>
      </c>
      <c r="J805" t="s">
        <v>19</v>
      </c>
      <c r="K805">
        <v>2024</v>
      </c>
      <c r="L805">
        <v>32800.728000000003</v>
      </c>
      <c r="M805">
        <v>6</v>
      </c>
      <c r="N805" t="s">
        <v>20</v>
      </c>
      <c r="O805" t="s">
        <v>28</v>
      </c>
      <c r="P805">
        <f>FlipkartSales[[#This Row],[Price (INR)]]*FlipkartSales[[#This Row],[Quantity Sold]]</f>
        <v>164003.64000000001</v>
      </c>
      <c r="Q805">
        <f>FlipkartSales[[#This Row],[Total Sales (INR)]]-FlipkartSales[[#This Row],[Calculated Sales]]</f>
        <v>0</v>
      </c>
      <c r="R805" s="9">
        <f t="shared" si="96"/>
        <v>0.2</v>
      </c>
      <c r="S805">
        <f t="shared" si="97"/>
        <v>41000.910000000003</v>
      </c>
      <c r="T805">
        <f t="shared" si="98"/>
        <v>8200.1820000000007</v>
      </c>
      <c r="U805">
        <f t="shared" si="99"/>
        <v>9</v>
      </c>
      <c r="V805" t="str">
        <f t="shared" si="100"/>
        <v>Q3</v>
      </c>
      <c r="W805" t="str">
        <f t="shared" si="101"/>
        <v>Sep-2024</v>
      </c>
      <c r="X805">
        <f t="shared" si="102"/>
        <v>9840.2184000000016</v>
      </c>
      <c r="Y805" s="5">
        <f t="shared" si="103"/>
        <v>154163.4216</v>
      </c>
      <c r="Z805" s="21">
        <f>DATE(K805,MATCH(J805,{"January","February","March","April","May","June","July","August","September","October","November","December"},0),1)</f>
        <v>45536</v>
      </c>
    </row>
    <row r="806" spans="1:26" x14ac:dyDescent="0.3">
      <c r="A806" s="4" t="s">
        <v>874</v>
      </c>
      <c r="B806" s="4" t="s">
        <v>96</v>
      </c>
      <c r="C806" s="4" t="s">
        <v>36</v>
      </c>
      <c r="D806" s="5">
        <v>7672.34</v>
      </c>
      <c r="E806" s="6">
        <v>4</v>
      </c>
      <c r="F806" s="5">
        <v>30689.360000000001</v>
      </c>
      <c r="G806" s="1">
        <v>45392</v>
      </c>
      <c r="H806" t="s">
        <v>25</v>
      </c>
      <c r="I806">
        <v>1.1000000000000001</v>
      </c>
      <c r="J806" t="s">
        <v>62</v>
      </c>
      <c r="K806">
        <v>2024</v>
      </c>
      <c r="L806">
        <v>6137.8720000000003</v>
      </c>
      <c r="M806">
        <v>14</v>
      </c>
      <c r="N806" t="s">
        <v>20</v>
      </c>
      <c r="O806" t="s">
        <v>21</v>
      </c>
      <c r="P806">
        <f>FlipkartSales[[#This Row],[Price (INR)]]*FlipkartSales[[#This Row],[Quantity Sold]]</f>
        <v>30689.360000000001</v>
      </c>
      <c r="Q806">
        <f>FlipkartSales[[#This Row],[Total Sales (INR)]]-FlipkartSales[[#This Row],[Calculated Sales]]</f>
        <v>0</v>
      </c>
      <c r="R806" s="9">
        <f t="shared" si="96"/>
        <v>0.2</v>
      </c>
      <c r="S806">
        <f t="shared" si="97"/>
        <v>7672.34</v>
      </c>
      <c r="T806">
        <f t="shared" si="98"/>
        <v>1534.4680000000001</v>
      </c>
      <c r="U806">
        <f t="shared" si="99"/>
        <v>4</v>
      </c>
      <c r="V806" t="str">
        <f t="shared" si="100"/>
        <v>Q2</v>
      </c>
      <c r="W806" t="str">
        <f t="shared" si="101"/>
        <v>Apr-2024</v>
      </c>
      <c r="X806">
        <f t="shared" si="102"/>
        <v>4296.5104000000001</v>
      </c>
      <c r="Y806" s="5">
        <f t="shared" si="103"/>
        <v>26392.849600000001</v>
      </c>
      <c r="Z806" s="21">
        <f>DATE(K806,MATCH(J806,{"January","February","March","April","May","June","July","August","September","October","November","December"},0),1)</f>
        <v>45383</v>
      </c>
    </row>
    <row r="807" spans="1:26" x14ac:dyDescent="0.3">
      <c r="A807" s="4" t="s">
        <v>875</v>
      </c>
      <c r="B807" s="4" t="s">
        <v>16</v>
      </c>
      <c r="C807" s="4" t="s">
        <v>17</v>
      </c>
      <c r="D807" s="5">
        <v>25186.79</v>
      </c>
      <c r="E807" s="6">
        <v>3</v>
      </c>
      <c r="F807" s="5">
        <v>75560.37</v>
      </c>
      <c r="G807" s="1">
        <v>45344</v>
      </c>
      <c r="H807" t="s">
        <v>64</v>
      </c>
      <c r="I807">
        <v>3.8</v>
      </c>
      <c r="J807" t="s">
        <v>59</v>
      </c>
      <c r="K807">
        <v>2024</v>
      </c>
      <c r="L807">
        <v>15112.074000000001</v>
      </c>
      <c r="M807">
        <v>28</v>
      </c>
      <c r="N807" t="s">
        <v>41</v>
      </c>
      <c r="O807" t="s">
        <v>68</v>
      </c>
      <c r="P807">
        <f>FlipkartSales[[#This Row],[Price (INR)]]*FlipkartSales[[#This Row],[Quantity Sold]]</f>
        <v>75560.37</v>
      </c>
      <c r="Q807">
        <f>FlipkartSales[[#This Row],[Total Sales (INR)]]-FlipkartSales[[#This Row],[Calculated Sales]]</f>
        <v>0</v>
      </c>
      <c r="R807" s="9">
        <f t="shared" si="96"/>
        <v>0.2</v>
      </c>
      <c r="S807">
        <f t="shared" si="97"/>
        <v>25186.789999999997</v>
      </c>
      <c r="T807">
        <f t="shared" si="98"/>
        <v>5037.3580000000002</v>
      </c>
      <c r="U807">
        <f t="shared" si="99"/>
        <v>2</v>
      </c>
      <c r="V807" t="str">
        <f t="shared" si="100"/>
        <v>Q1</v>
      </c>
      <c r="W807" t="str">
        <f t="shared" si="101"/>
        <v>Feb-2024</v>
      </c>
      <c r="X807">
        <f t="shared" si="102"/>
        <v>21156.903599999998</v>
      </c>
      <c r="Y807" s="5">
        <f t="shared" si="103"/>
        <v>54403.466399999998</v>
      </c>
      <c r="Z807" s="21">
        <f>DATE(K807,MATCH(J807,{"January","February","March","April","May","June","July","August","September","October","November","December"},0),1)</f>
        <v>45323</v>
      </c>
    </row>
    <row r="808" spans="1:26" x14ac:dyDescent="0.3">
      <c r="A808" s="4" t="s">
        <v>876</v>
      </c>
      <c r="B808" s="4" t="s">
        <v>100</v>
      </c>
      <c r="C808" s="4" t="s">
        <v>31</v>
      </c>
      <c r="D808" s="5">
        <v>41285.25</v>
      </c>
      <c r="E808" s="6">
        <v>1</v>
      </c>
      <c r="F808" s="5">
        <v>41285.25</v>
      </c>
      <c r="G808" s="1">
        <v>45631</v>
      </c>
      <c r="H808" t="s">
        <v>64</v>
      </c>
      <c r="I808">
        <v>1.8</v>
      </c>
      <c r="J808" t="s">
        <v>26</v>
      </c>
      <c r="K808">
        <v>2024</v>
      </c>
      <c r="L808">
        <v>8257.0500000000011</v>
      </c>
      <c r="M808">
        <v>22</v>
      </c>
      <c r="N808" t="s">
        <v>41</v>
      </c>
      <c r="O808" t="s">
        <v>33</v>
      </c>
      <c r="P808">
        <f>FlipkartSales[[#This Row],[Price (INR)]]*FlipkartSales[[#This Row],[Quantity Sold]]</f>
        <v>41285.25</v>
      </c>
      <c r="Q808">
        <f>FlipkartSales[[#This Row],[Total Sales (INR)]]-FlipkartSales[[#This Row],[Calculated Sales]]</f>
        <v>0</v>
      </c>
      <c r="R808" s="9">
        <f t="shared" si="96"/>
        <v>0.20000000000000004</v>
      </c>
      <c r="S808">
        <f t="shared" si="97"/>
        <v>41285.25</v>
      </c>
      <c r="T808">
        <f t="shared" si="98"/>
        <v>8257.0500000000011</v>
      </c>
      <c r="U808">
        <f t="shared" si="99"/>
        <v>12</v>
      </c>
      <c r="V808" t="str">
        <f t="shared" si="100"/>
        <v>Q4</v>
      </c>
      <c r="W808" t="str">
        <f t="shared" si="101"/>
        <v>Dec-2024</v>
      </c>
      <c r="X808">
        <f t="shared" si="102"/>
        <v>9082.7549999999992</v>
      </c>
      <c r="Y808" s="5">
        <f t="shared" si="103"/>
        <v>32202.495000000003</v>
      </c>
      <c r="Z808" s="21">
        <f>DATE(K808,MATCH(J808,{"January","February","March","April","May","June","July","August","September","October","November","December"},0),1)</f>
        <v>45627</v>
      </c>
    </row>
    <row r="809" spans="1:26" x14ac:dyDescent="0.3">
      <c r="A809" s="4" t="s">
        <v>877</v>
      </c>
      <c r="B809" s="4" t="s">
        <v>100</v>
      </c>
      <c r="C809" s="4" t="s">
        <v>31</v>
      </c>
      <c r="D809" s="5">
        <v>30435.75</v>
      </c>
      <c r="E809" s="6">
        <v>2</v>
      </c>
      <c r="F809" s="5">
        <v>60871.5</v>
      </c>
      <c r="G809" s="1">
        <v>45391</v>
      </c>
      <c r="H809" t="s">
        <v>71</v>
      </c>
      <c r="I809">
        <v>3.1</v>
      </c>
      <c r="J809" t="s">
        <v>62</v>
      </c>
      <c r="K809">
        <v>2024</v>
      </c>
      <c r="L809">
        <v>12174.300000000001</v>
      </c>
      <c r="M809">
        <v>17</v>
      </c>
      <c r="N809" t="s">
        <v>20</v>
      </c>
      <c r="O809" t="s">
        <v>28</v>
      </c>
      <c r="P809">
        <f>FlipkartSales[[#This Row],[Price (INR)]]*FlipkartSales[[#This Row],[Quantity Sold]]</f>
        <v>60871.5</v>
      </c>
      <c r="Q809">
        <f>FlipkartSales[[#This Row],[Total Sales (INR)]]-FlipkartSales[[#This Row],[Calculated Sales]]</f>
        <v>0</v>
      </c>
      <c r="R809" s="9">
        <f t="shared" si="96"/>
        <v>0.2</v>
      </c>
      <c r="S809">
        <f t="shared" si="97"/>
        <v>30435.75</v>
      </c>
      <c r="T809">
        <f t="shared" si="98"/>
        <v>6087.1500000000005</v>
      </c>
      <c r="U809">
        <f t="shared" si="99"/>
        <v>4</v>
      </c>
      <c r="V809" t="str">
        <f t="shared" si="100"/>
        <v>Q2</v>
      </c>
      <c r="W809" t="str">
        <f t="shared" si="101"/>
        <v>Apr-2024</v>
      </c>
      <c r="X809">
        <f t="shared" si="102"/>
        <v>10348.155000000001</v>
      </c>
      <c r="Y809" s="5">
        <f t="shared" si="103"/>
        <v>50523.345000000001</v>
      </c>
      <c r="Z809" s="21">
        <f>DATE(K809,MATCH(J809,{"January","February","March","April","May","June","July","August","September","October","November","December"},0),1)</f>
        <v>45383</v>
      </c>
    </row>
    <row r="810" spans="1:26" x14ac:dyDescent="0.3">
      <c r="A810" s="4" t="s">
        <v>878</v>
      </c>
      <c r="B810" s="4" t="s">
        <v>96</v>
      </c>
      <c r="C810" s="4" t="s">
        <v>36</v>
      </c>
      <c r="D810" s="5">
        <v>45786.559999999998</v>
      </c>
      <c r="E810" s="6">
        <v>5</v>
      </c>
      <c r="F810" s="5">
        <v>228932.8</v>
      </c>
      <c r="G810" s="1">
        <v>45648</v>
      </c>
      <c r="H810" t="s">
        <v>44</v>
      </c>
      <c r="I810">
        <v>1.4</v>
      </c>
      <c r="J810" t="s">
        <v>26</v>
      </c>
      <c r="K810">
        <v>2024</v>
      </c>
      <c r="L810">
        <v>45786.559999999998</v>
      </c>
      <c r="M810">
        <v>9</v>
      </c>
      <c r="N810" t="s">
        <v>41</v>
      </c>
      <c r="O810" t="s">
        <v>33</v>
      </c>
      <c r="P810">
        <f>FlipkartSales[[#This Row],[Price (INR)]]*FlipkartSales[[#This Row],[Quantity Sold]]</f>
        <v>228932.8</v>
      </c>
      <c r="Q810">
        <f>FlipkartSales[[#This Row],[Total Sales (INR)]]-FlipkartSales[[#This Row],[Calculated Sales]]</f>
        <v>0</v>
      </c>
      <c r="R810" s="9">
        <f t="shared" si="96"/>
        <v>0.2</v>
      </c>
      <c r="S810">
        <f t="shared" si="97"/>
        <v>45786.559999999998</v>
      </c>
      <c r="T810">
        <f t="shared" si="98"/>
        <v>9157.3119999999999</v>
      </c>
      <c r="U810">
        <f t="shared" si="99"/>
        <v>12</v>
      </c>
      <c r="V810" t="str">
        <f t="shared" si="100"/>
        <v>Q4</v>
      </c>
      <c r="W810" t="str">
        <f t="shared" si="101"/>
        <v>Dec-2024</v>
      </c>
      <c r="X810">
        <f t="shared" si="102"/>
        <v>20603.952000000001</v>
      </c>
      <c r="Y810" s="5">
        <f t="shared" si="103"/>
        <v>208328.848</v>
      </c>
      <c r="Z810" s="21">
        <f>DATE(K810,MATCH(J810,{"January","February","March","April","May","June","July","August","September","October","November","December"},0),1)</f>
        <v>45627</v>
      </c>
    </row>
    <row r="811" spans="1:26" x14ac:dyDescent="0.3">
      <c r="A811" s="4" t="s">
        <v>879</v>
      </c>
      <c r="B811" s="4" t="s">
        <v>118</v>
      </c>
      <c r="C811" s="4" t="s">
        <v>17</v>
      </c>
      <c r="D811" s="5">
        <v>26700.19</v>
      </c>
      <c r="E811" s="6">
        <v>3</v>
      </c>
      <c r="F811" s="5">
        <v>80100.570000000007</v>
      </c>
      <c r="G811" s="1">
        <v>45377</v>
      </c>
      <c r="H811" t="s">
        <v>64</v>
      </c>
      <c r="I811">
        <v>1.5</v>
      </c>
      <c r="J811" t="s">
        <v>56</v>
      </c>
      <c r="K811">
        <v>2024</v>
      </c>
      <c r="L811">
        <v>16020.114000000001</v>
      </c>
      <c r="M811">
        <v>27</v>
      </c>
      <c r="N811" t="s">
        <v>41</v>
      </c>
      <c r="O811" t="s">
        <v>21</v>
      </c>
      <c r="P811">
        <f>FlipkartSales[[#This Row],[Price (INR)]]*FlipkartSales[[#This Row],[Quantity Sold]]</f>
        <v>80100.569999999992</v>
      </c>
      <c r="Q811">
        <f>FlipkartSales[[#This Row],[Total Sales (INR)]]-FlipkartSales[[#This Row],[Calculated Sales]]</f>
        <v>0</v>
      </c>
      <c r="R811" s="9">
        <f t="shared" si="96"/>
        <v>0.2</v>
      </c>
      <c r="S811">
        <f t="shared" si="97"/>
        <v>26700.190000000002</v>
      </c>
      <c r="T811">
        <f t="shared" si="98"/>
        <v>5340.0380000000005</v>
      </c>
      <c r="U811">
        <f t="shared" si="99"/>
        <v>3</v>
      </c>
      <c r="V811" t="str">
        <f t="shared" si="100"/>
        <v>Q1</v>
      </c>
      <c r="W811" t="str">
        <f t="shared" si="101"/>
        <v>Mar-2024</v>
      </c>
      <c r="X811">
        <f t="shared" si="102"/>
        <v>21627.153900000001</v>
      </c>
      <c r="Y811" s="5">
        <f t="shared" si="103"/>
        <v>58473.416100000002</v>
      </c>
      <c r="Z811" s="21">
        <f>DATE(K811,MATCH(J811,{"January","February","March","April","May","June","July","August","September","October","November","December"},0),1)</f>
        <v>45352</v>
      </c>
    </row>
    <row r="812" spans="1:26" x14ac:dyDescent="0.3">
      <c r="A812" s="4" t="s">
        <v>880</v>
      </c>
      <c r="B812" s="4" t="s">
        <v>47</v>
      </c>
      <c r="C812" s="4" t="s">
        <v>24</v>
      </c>
      <c r="D812" s="5">
        <v>27367.02</v>
      </c>
      <c r="E812" s="6">
        <v>3</v>
      </c>
      <c r="F812" s="5">
        <v>82101.06</v>
      </c>
      <c r="G812" s="1">
        <v>45476</v>
      </c>
      <c r="H812" t="s">
        <v>44</v>
      </c>
      <c r="I812">
        <v>1.4</v>
      </c>
      <c r="J812" t="s">
        <v>48</v>
      </c>
      <c r="K812">
        <v>2024</v>
      </c>
      <c r="L812">
        <v>16420.212</v>
      </c>
      <c r="M812">
        <v>28</v>
      </c>
      <c r="N812" t="s">
        <v>41</v>
      </c>
      <c r="O812" t="s">
        <v>33</v>
      </c>
      <c r="P812">
        <f>FlipkartSales[[#This Row],[Price (INR)]]*FlipkartSales[[#This Row],[Quantity Sold]]</f>
        <v>82101.06</v>
      </c>
      <c r="Q812">
        <f>FlipkartSales[[#This Row],[Total Sales (INR)]]-FlipkartSales[[#This Row],[Calculated Sales]]</f>
        <v>0</v>
      </c>
      <c r="R812" s="9">
        <f t="shared" si="96"/>
        <v>0.2</v>
      </c>
      <c r="S812">
        <f t="shared" si="97"/>
        <v>27367.02</v>
      </c>
      <c r="T812">
        <f t="shared" si="98"/>
        <v>5473.4039999999995</v>
      </c>
      <c r="U812">
        <f t="shared" si="99"/>
        <v>7</v>
      </c>
      <c r="V812" t="str">
        <f t="shared" si="100"/>
        <v>Q3</v>
      </c>
      <c r="W812" t="str">
        <f t="shared" si="101"/>
        <v>Jul-2024</v>
      </c>
      <c r="X812">
        <f t="shared" si="102"/>
        <v>22988.296799999996</v>
      </c>
      <c r="Y812" s="5">
        <f t="shared" si="103"/>
        <v>59112.763200000001</v>
      </c>
      <c r="Z812" s="21">
        <f>DATE(K812,MATCH(J812,{"January","February","March","April","May","June","July","August","September","October","November","December"},0),1)</f>
        <v>45474</v>
      </c>
    </row>
    <row r="813" spans="1:26" x14ac:dyDescent="0.3">
      <c r="A813" s="4" t="s">
        <v>881</v>
      </c>
      <c r="B813" s="4" t="s">
        <v>55</v>
      </c>
      <c r="C813" s="4" t="s">
        <v>36</v>
      </c>
      <c r="D813" s="5">
        <v>17213.3</v>
      </c>
      <c r="E813" s="6">
        <v>3</v>
      </c>
      <c r="F813" s="5">
        <v>51639.9</v>
      </c>
      <c r="G813" s="1">
        <v>45403</v>
      </c>
      <c r="H813" t="s">
        <v>80</v>
      </c>
      <c r="I813">
        <v>1.7</v>
      </c>
      <c r="J813" t="s">
        <v>62</v>
      </c>
      <c r="K813">
        <v>2024</v>
      </c>
      <c r="L813">
        <v>10327.980000000001</v>
      </c>
      <c r="M813">
        <v>5</v>
      </c>
      <c r="N813" t="s">
        <v>27</v>
      </c>
      <c r="O813" t="s">
        <v>33</v>
      </c>
      <c r="P813">
        <f>FlipkartSales[[#This Row],[Price (INR)]]*FlipkartSales[[#This Row],[Quantity Sold]]</f>
        <v>51639.899999999994</v>
      </c>
      <c r="Q813">
        <f>FlipkartSales[[#This Row],[Total Sales (INR)]]-FlipkartSales[[#This Row],[Calculated Sales]]</f>
        <v>0</v>
      </c>
      <c r="R813" s="9">
        <f t="shared" si="96"/>
        <v>0.2</v>
      </c>
      <c r="S813">
        <f t="shared" si="97"/>
        <v>17213.3</v>
      </c>
      <c r="T813">
        <f t="shared" si="98"/>
        <v>3442.6600000000003</v>
      </c>
      <c r="U813">
        <f t="shared" si="99"/>
        <v>4</v>
      </c>
      <c r="V813" t="str">
        <f t="shared" si="100"/>
        <v>Q2</v>
      </c>
      <c r="W813" t="str">
        <f t="shared" si="101"/>
        <v>Apr-2024</v>
      </c>
      <c r="X813">
        <f t="shared" si="102"/>
        <v>2581.9949999999999</v>
      </c>
      <c r="Y813" s="5">
        <f t="shared" si="103"/>
        <v>49057.904999999999</v>
      </c>
      <c r="Z813" s="21">
        <f>DATE(K813,MATCH(J813,{"January","February","March","April","May","June","July","August","September","October","November","December"},0),1)</f>
        <v>45383</v>
      </c>
    </row>
    <row r="814" spans="1:26" x14ac:dyDescent="0.3">
      <c r="A814" s="4" t="s">
        <v>882</v>
      </c>
      <c r="B814" s="4" t="s">
        <v>43</v>
      </c>
      <c r="C814" s="4" t="s">
        <v>40</v>
      </c>
      <c r="D814" s="5">
        <v>4084.62</v>
      </c>
      <c r="E814" s="6">
        <v>5</v>
      </c>
      <c r="F814" s="5">
        <v>20423.099999999999</v>
      </c>
      <c r="G814" s="1">
        <v>45348</v>
      </c>
      <c r="H814" t="s">
        <v>25</v>
      </c>
      <c r="I814">
        <v>4.3</v>
      </c>
      <c r="J814" t="s">
        <v>59</v>
      </c>
      <c r="K814">
        <v>2024</v>
      </c>
      <c r="L814">
        <v>4084.62</v>
      </c>
      <c r="M814">
        <v>26</v>
      </c>
      <c r="N814" t="s">
        <v>20</v>
      </c>
      <c r="O814" t="s">
        <v>28</v>
      </c>
      <c r="P814">
        <f>FlipkartSales[[#This Row],[Price (INR)]]*FlipkartSales[[#This Row],[Quantity Sold]]</f>
        <v>20423.099999999999</v>
      </c>
      <c r="Q814">
        <f>FlipkartSales[[#This Row],[Total Sales (INR)]]-FlipkartSales[[#This Row],[Calculated Sales]]</f>
        <v>0</v>
      </c>
      <c r="R814" s="9">
        <f t="shared" si="96"/>
        <v>0.2</v>
      </c>
      <c r="S814">
        <f t="shared" si="97"/>
        <v>4084.62</v>
      </c>
      <c r="T814">
        <f t="shared" si="98"/>
        <v>816.92399999999998</v>
      </c>
      <c r="U814">
        <f t="shared" si="99"/>
        <v>2</v>
      </c>
      <c r="V814" t="str">
        <f t="shared" si="100"/>
        <v>Q1</v>
      </c>
      <c r="W814" t="str">
        <f t="shared" si="101"/>
        <v>Feb-2024</v>
      </c>
      <c r="X814">
        <f t="shared" si="102"/>
        <v>5310.0059999999994</v>
      </c>
      <c r="Y814" s="5">
        <f t="shared" si="103"/>
        <v>15113.093999999999</v>
      </c>
      <c r="Z814" s="21">
        <f>DATE(K814,MATCH(J814,{"January","February","March","April","May","June","July","August","September","October","November","December"},0),1)</f>
        <v>45323</v>
      </c>
    </row>
    <row r="815" spans="1:26" x14ac:dyDescent="0.3">
      <c r="A815" s="4" t="s">
        <v>883</v>
      </c>
      <c r="B815" s="4" t="s">
        <v>50</v>
      </c>
      <c r="C815" s="4" t="s">
        <v>40</v>
      </c>
      <c r="D815" s="5">
        <v>9213.5499999999993</v>
      </c>
      <c r="E815" s="6">
        <v>4</v>
      </c>
      <c r="F815" s="5">
        <v>36854.199999999997</v>
      </c>
      <c r="G815" s="1">
        <v>45490</v>
      </c>
      <c r="H815" t="s">
        <v>64</v>
      </c>
      <c r="I815">
        <v>2.5</v>
      </c>
      <c r="J815" t="s">
        <v>48</v>
      </c>
      <c r="K815">
        <v>2024</v>
      </c>
      <c r="L815">
        <v>7370.84</v>
      </c>
      <c r="M815">
        <v>5</v>
      </c>
      <c r="N815" t="s">
        <v>20</v>
      </c>
      <c r="O815" t="s">
        <v>21</v>
      </c>
      <c r="P815">
        <f>FlipkartSales[[#This Row],[Price (INR)]]*FlipkartSales[[#This Row],[Quantity Sold]]</f>
        <v>36854.199999999997</v>
      </c>
      <c r="Q815">
        <f>FlipkartSales[[#This Row],[Total Sales (INR)]]-FlipkartSales[[#This Row],[Calculated Sales]]</f>
        <v>0</v>
      </c>
      <c r="R815" s="9">
        <f t="shared" si="96"/>
        <v>0.2</v>
      </c>
      <c r="S815">
        <f t="shared" si="97"/>
        <v>9213.5499999999993</v>
      </c>
      <c r="T815">
        <f t="shared" si="98"/>
        <v>1842.71</v>
      </c>
      <c r="U815">
        <f t="shared" si="99"/>
        <v>7</v>
      </c>
      <c r="V815" t="str">
        <f t="shared" si="100"/>
        <v>Q3</v>
      </c>
      <c r="W815" t="str">
        <f t="shared" si="101"/>
        <v>Jul-2024</v>
      </c>
      <c r="X815">
        <f t="shared" si="102"/>
        <v>1842.71</v>
      </c>
      <c r="Y815" s="5">
        <f t="shared" si="103"/>
        <v>35011.49</v>
      </c>
      <c r="Z815" s="21">
        <f>DATE(K815,MATCH(J815,{"January","February","March","April","May","June","July","August","September","October","November","December"},0),1)</f>
        <v>45474</v>
      </c>
    </row>
    <row r="816" spans="1:26" x14ac:dyDescent="0.3">
      <c r="A816" s="4" t="s">
        <v>884</v>
      </c>
      <c r="B816" s="4" t="s">
        <v>78</v>
      </c>
      <c r="C816" s="4" t="s">
        <v>24</v>
      </c>
      <c r="D816" s="5">
        <v>6114.55</v>
      </c>
      <c r="E816" s="6">
        <v>4</v>
      </c>
      <c r="F816" s="5">
        <v>24458.2</v>
      </c>
      <c r="G816" s="1">
        <v>45531</v>
      </c>
      <c r="H816" t="s">
        <v>18</v>
      </c>
      <c r="I816">
        <v>3.7</v>
      </c>
      <c r="J816" t="s">
        <v>88</v>
      </c>
      <c r="K816">
        <v>2024</v>
      </c>
      <c r="L816">
        <v>4891.6400000000003</v>
      </c>
      <c r="M816">
        <v>22</v>
      </c>
      <c r="N816" t="s">
        <v>27</v>
      </c>
      <c r="O816" t="s">
        <v>68</v>
      </c>
      <c r="P816">
        <f>FlipkartSales[[#This Row],[Price (INR)]]*FlipkartSales[[#This Row],[Quantity Sold]]</f>
        <v>24458.2</v>
      </c>
      <c r="Q816">
        <f>FlipkartSales[[#This Row],[Total Sales (INR)]]-FlipkartSales[[#This Row],[Calculated Sales]]</f>
        <v>0</v>
      </c>
      <c r="R816" s="9">
        <f t="shared" si="96"/>
        <v>0.2</v>
      </c>
      <c r="S816">
        <f t="shared" si="97"/>
        <v>6114.55</v>
      </c>
      <c r="T816">
        <f t="shared" si="98"/>
        <v>1222.9100000000001</v>
      </c>
      <c r="U816">
        <f t="shared" si="99"/>
        <v>8</v>
      </c>
      <c r="V816" t="str">
        <f t="shared" si="100"/>
        <v>Q3</v>
      </c>
      <c r="W816" t="str">
        <f t="shared" si="101"/>
        <v>Aug-2024</v>
      </c>
      <c r="X816">
        <f t="shared" si="102"/>
        <v>5380.8040000000001</v>
      </c>
      <c r="Y816" s="5">
        <f t="shared" si="103"/>
        <v>19077.396000000001</v>
      </c>
      <c r="Z816" s="21">
        <f>DATE(K816,MATCH(J816,{"January","February","March","April","May","June","July","August","September","October","November","December"},0),1)</f>
        <v>45505</v>
      </c>
    </row>
    <row r="817" spans="1:26" x14ac:dyDescent="0.3">
      <c r="A817" s="4" t="s">
        <v>885</v>
      </c>
      <c r="B817" s="4" t="s">
        <v>70</v>
      </c>
      <c r="C817" s="4" t="s">
        <v>17</v>
      </c>
      <c r="D817" s="5">
        <v>21670.52</v>
      </c>
      <c r="E817" s="6">
        <v>4</v>
      </c>
      <c r="F817" s="5">
        <v>86682.08</v>
      </c>
      <c r="G817" s="1">
        <v>45391</v>
      </c>
      <c r="H817" t="s">
        <v>64</v>
      </c>
      <c r="I817">
        <v>4.5999999999999996</v>
      </c>
      <c r="J817" t="s">
        <v>62</v>
      </c>
      <c r="K817">
        <v>2024</v>
      </c>
      <c r="L817">
        <v>17336.416000000001</v>
      </c>
      <c r="M817">
        <v>19</v>
      </c>
      <c r="N817" t="s">
        <v>20</v>
      </c>
      <c r="O817" t="s">
        <v>68</v>
      </c>
      <c r="P817">
        <f>FlipkartSales[[#This Row],[Price (INR)]]*FlipkartSales[[#This Row],[Quantity Sold]]</f>
        <v>86682.08</v>
      </c>
      <c r="Q817">
        <f>FlipkartSales[[#This Row],[Total Sales (INR)]]-FlipkartSales[[#This Row],[Calculated Sales]]</f>
        <v>0</v>
      </c>
      <c r="R817" s="9">
        <f t="shared" si="96"/>
        <v>0.2</v>
      </c>
      <c r="S817">
        <f t="shared" si="97"/>
        <v>21670.52</v>
      </c>
      <c r="T817">
        <f t="shared" si="98"/>
        <v>4334.1040000000003</v>
      </c>
      <c r="U817">
        <f t="shared" si="99"/>
        <v>4</v>
      </c>
      <c r="V817" t="str">
        <f t="shared" si="100"/>
        <v>Q2</v>
      </c>
      <c r="W817" t="str">
        <f t="shared" si="101"/>
        <v>Apr-2024</v>
      </c>
      <c r="X817">
        <f t="shared" si="102"/>
        <v>16469.5952</v>
      </c>
      <c r="Y817" s="5">
        <f t="shared" si="103"/>
        <v>70212.484800000006</v>
      </c>
      <c r="Z817" s="21">
        <f>DATE(K817,MATCH(J817,{"January","February","March","April","May","June","July","August","September","October","November","December"},0),1)</f>
        <v>45383</v>
      </c>
    </row>
    <row r="818" spans="1:26" x14ac:dyDescent="0.3">
      <c r="A818" s="4" t="s">
        <v>886</v>
      </c>
      <c r="B818" s="4" t="s">
        <v>30</v>
      </c>
      <c r="C818" s="4" t="s">
        <v>31</v>
      </c>
      <c r="D818" s="5">
        <v>37528.53</v>
      </c>
      <c r="E818" s="6">
        <v>4</v>
      </c>
      <c r="F818" s="5">
        <v>150114.12</v>
      </c>
      <c r="G818" s="1">
        <v>45678</v>
      </c>
      <c r="H818" t="s">
        <v>25</v>
      </c>
      <c r="I818">
        <v>1.6</v>
      </c>
      <c r="J818" t="s">
        <v>53</v>
      </c>
      <c r="K818">
        <v>2025</v>
      </c>
      <c r="L818">
        <v>30022.824000000001</v>
      </c>
      <c r="M818">
        <v>21</v>
      </c>
      <c r="N818" t="s">
        <v>41</v>
      </c>
      <c r="O818" t="s">
        <v>28</v>
      </c>
      <c r="P818">
        <f>FlipkartSales[[#This Row],[Price (INR)]]*FlipkartSales[[#This Row],[Quantity Sold]]</f>
        <v>150114.12</v>
      </c>
      <c r="Q818">
        <f>FlipkartSales[[#This Row],[Total Sales (INR)]]-FlipkartSales[[#This Row],[Calculated Sales]]</f>
        <v>0</v>
      </c>
      <c r="R818" s="9">
        <f t="shared" si="96"/>
        <v>0.2</v>
      </c>
      <c r="S818">
        <f t="shared" si="97"/>
        <v>37528.53</v>
      </c>
      <c r="T818">
        <f t="shared" si="98"/>
        <v>7505.7060000000001</v>
      </c>
      <c r="U818">
        <f t="shared" si="99"/>
        <v>1</v>
      </c>
      <c r="V818" t="str">
        <f t="shared" si="100"/>
        <v>Q1</v>
      </c>
      <c r="W818" t="str">
        <f t="shared" si="101"/>
        <v>Jan-2025</v>
      </c>
      <c r="X818">
        <f t="shared" si="102"/>
        <v>31523.965199999999</v>
      </c>
      <c r="Y818" s="5">
        <f t="shared" si="103"/>
        <v>118590.15479999999</v>
      </c>
      <c r="Z818" s="21">
        <f>DATE(K818,MATCH(J818,{"January","February","March","April","May","June","July","August","September","October","November","December"},0),1)</f>
        <v>45658</v>
      </c>
    </row>
    <row r="819" spans="1:26" x14ac:dyDescent="0.3">
      <c r="A819" s="4" t="s">
        <v>887</v>
      </c>
      <c r="B819" s="4" t="s">
        <v>66</v>
      </c>
      <c r="C819" s="4" t="s">
        <v>36</v>
      </c>
      <c r="D819" s="5">
        <v>46526.93</v>
      </c>
      <c r="E819" s="6">
        <v>5</v>
      </c>
      <c r="F819" s="5">
        <v>232634.65</v>
      </c>
      <c r="G819" s="1">
        <v>45646</v>
      </c>
      <c r="H819" t="s">
        <v>80</v>
      </c>
      <c r="I819">
        <v>2.2000000000000002</v>
      </c>
      <c r="J819" t="s">
        <v>26</v>
      </c>
      <c r="K819">
        <v>2024</v>
      </c>
      <c r="L819">
        <v>46526.93</v>
      </c>
      <c r="M819">
        <v>15</v>
      </c>
      <c r="N819" t="s">
        <v>20</v>
      </c>
      <c r="O819" t="s">
        <v>33</v>
      </c>
      <c r="P819">
        <f>FlipkartSales[[#This Row],[Price (INR)]]*FlipkartSales[[#This Row],[Quantity Sold]]</f>
        <v>232634.65</v>
      </c>
      <c r="Q819">
        <f>FlipkartSales[[#This Row],[Total Sales (INR)]]-FlipkartSales[[#This Row],[Calculated Sales]]</f>
        <v>0</v>
      </c>
      <c r="R819" s="9">
        <f t="shared" si="96"/>
        <v>0.2</v>
      </c>
      <c r="S819">
        <f t="shared" si="97"/>
        <v>46526.93</v>
      </c>
      <c r="T819">
        <f t="shared" si="98"/>
        <v>9305.3860000000004</v>
      </c>
      <c r="U819">
        <f t="shared" si="99"/>
        <v>12</v>
      </c>
      <c r="V819" t="str">
        <f t="shared" si="100"/>
        <v>Q4</v>
      </c>
      <c r="W819" t="str">
        <f t="shared" si="101"/>
        <v>Dec-2024</v>
      </c>
      <c r="X819">
        <f t="shared" si="102"/>
        <v>34895.197500000002</v>
      </c>
      <c r="Y819" s="5">
        <f t="shared" si="103"/>
        <v>197739.45249999998</v>
      </c>
      <c r="Z819" s="21">
        <f>DATE(K819,MATCH(J819,{"January","February","March","April","May","June","July","August","September","October","November","December"},0),1)</f>
        <v>45627</v>
      </c>
    </row>
    <row r="820" spans="1:26" x14ac:dyDescent="0.3">
      <c r="A820" s="4" t="s">
        <v>888</v>
      </c>
      <c r="B820" s="4" t="s">
        <v>125</v>
      </c>
      <c r="C820" s="4" t="s">
        <v>17</v>
      </c>
      <c r="D820" s="5">
        <v>4042.56</v>
      </c>
      <c r="E820" s="6">
        <v>2</v>
      </c>
      <c r="F820" s="5">
        <v>8085.12</v>
      </c>
      <c r="G820" s="1">
        <v>45365</v>
      </c>
      <c r="H820" t="s">
        <v>18</v>
      </c>
      <c r="I820">
        <v>3.7</v>
      </c>
      <c r="J820" t="s">
        <v>56</v>
      </c>
      <c r="K820">
        <v>2024</v>
      </c>
      <c r="L820">
        <v>1617.0240000000001</v>
      </c>
      <c r="M820">
        <v>25</v>
      </c>
      <c r="N820" t="s">
        <v>41</v>
      </c>
      <c r="O820" t="s">
        <v>28</v>
      </c>
      <c r="P820">
        <f>FlipkartSales[[#This Row],[Price (INR)]]*FlipkartSales[[#This Row],[Quantity Sold]]</f>
        <v>8085.12</v>
      </c>
      <c r="Q820">
        <f>FlipkartSales[[#This Row],[Total Sales (INR)]]-FlipkartSales[[#This Row],[Calculated Sales]]</f>
        <v>0</v>
      </c>
      <c r="R820" s="9">
        <f t="shared" si="96"/>
        <v>0.2</v>
      </c>
      <c r="S820">
        <f t="shared" si="97"/>
        <v>4042.56</v>
      </c>
      <c r="T820">
        <f t="shared" si="98"/>
        <v>808.51200000000006</v>
      </c>
      <c r="U820">
        <f t="shared" si="99"/>
        <v>3</v>
      </c>
      <c r="V820" t="str">
        <f t="shared" si="100"/>
        <v>Q1</v>
      </c>
      <c r="W820" t="str">
        <f t="shared" si="101"/>
        <v>Mar-2024</v>
      </c>
      <c r="X820">
        <f t="shared" si="102"/>
        <v>2021.28</v>
      </c>
      <c r="Y820" s="5">
        <f t="shared" si="103"/>
        <v>6063.84</v>
      </c>
      <c r="Z820" s="21">
        <f>DATE(K820,MATCH(J820,{"January","February","March","April","May","June","July","August","September","October","November","December"},0),1)</f>
        <v>45352</v>
      </c>
    </row>
    <row r="821" spans="1:26" x14ac:dyDescent="0.3">
      <c r="A821" s="4" t="s">
        <v>889</v>
      </c>
      <c r="B821" s="4" t="s">
        <v>39</v>
      </c>
      <c r="C821" s="4" t="s">
        <v>40</v>
      </c>
      <c r="D821" s="5">
        <v>35777.51</v>
      </c>
      <c r="E821" s="6">
        <v>1</v>
      </c>
      <c r="F821" s="5">
        <v>35777.51</v>
      </c>
      <c r="G821" s="1">
        <v>45649</v>
      </c>
      <c r="H821" t="s">
        <v>80</v>
      </c>
      <c r="I821">
        <v>3.2</v>
      </c>
      <c r="J821" t="s">
        <v>26</v>
      </c>
      <c r="K821">
        <v>2024</v>
      </c>
      <c r="L821">
        <v>7155.5020000000004</v>
      </c>
      <c r="M821">
        <v>30</v>
      </c>
      <c r="N821" t="s">
        <v>27</v>
      </c>
      <c r="O821" t="s">
        <v>28</v>
      </c>
      <c r="P821">
        <f>FlipkartSales[[#This Row],[Price (INR)]]*FlipkartSales[[#This Row],[Quantity Sold]]</f>
        <v>35777.51</v>
      </c>
      <c r="Q821">
        <f>FlipkartSales[[#This Row],[Total Sales (INR)]]-FlipkartSales[[#This Row],[Calculated Sales]]</f>
        <v>0</v>
      </c>
      <c r="R821" s="9">
        <f t="shared" si="96"/>
        <v>0.2</v>
      </c>
      <c r="S821">
        <f t="shared" si="97"/>
        <v>35777.51</v>
      </c>
      <c r="T821">
        <f t="shared" si="98"/>
        <v>7155.5020000000004</v>
      </c>
      <c r="U821">
        <f t="shared" si="99"/>
        <v>12</v>
      </c>
      <c r="V821" t="str">
        <f t="shared" si="100"/>
        <v>Q4</v>
      </c>
      <c r="W821" t="str">
        <f t="shared" si="101"/>
        <v>Dec-2024</v>
      </c>
      <c r="X821">
        <f t="shared" si="102"/>
        <v>10733.253000000001</v>
      </c>
      <c r="Y821" s="5">
        <f t="shared" si="103"/>
        <v>25044.257000000001</v>
      </c>
      <c r="Z821" s="21">
        <f>DATE(K821,MATCH(J821,{"January","February","March","April","May","June","July","August","September","October","November","December"},0),1)</f>
        <v>45627</v>
      </c>
    </row>
    <row r="822" spans="1:26" x14ac:dyDescent="0.3">
      <c r="A822" s="4" t="s">
        <v>890</v>
      </c>
      <c r="B822" s="4" t="s">
        <v>84</v>
      </c>
      <c r="C822" s="4" t="s">
        <v>40</v>
      </c>
      <c r="D822" s="5">
        <v>4160.5200000000004</v>
      </c>
      <c r="E822" s="6">
        <v>2</v>
      </c>
      <c r="F822" s="5">
        <v>8321.0400000000009</v>
      </c>
      <c r="G822" s="1">
        <v>45632</v>
      </c>
      <c r="H822" t="s">
        <v>80</v>
      </c>
      <c r="I822">
        <v>3.8</v>
      </c>
      <c r="J822" t="s">
        <v>26</v>
      </c>
      <c r="K822">
        <v>2024</v>
      </c>
      <c r="L822">
        <v>1664.2080000000003</v>
      </c>
      <c r="M822">
        <v>29</v>
      </c>
      <c r="N822" t="s">
        <v>41</v>
      </c>
      <c r="O822" t="s">
        <v>28</v>
      </c>
      <c r="P822">
        <f>FlipkartSales[[#This Row],[Price (INR)]]*FlipkartSales[[#This Row],[Quantity Sold]]</f>
        <v>8321.0400000000009</v>
      </c>
      <c r="Q822">
        <f>FlipkartSales[[#This Row],[Total Sales (INR)]]-FlipkartSales[[#This Row],[Calculated Sales]]</f>
        <v>0</v>
      </c>
      <c r="R822" s="9">
        <f t="shared" si="96"/>
        <v>0.2</v>
      </c>
      <c r="S822">
        <f t="shared" si="97"/>
        <v>4160.5200000000004</v>
      </c>
      <c r="T822">
        <f t="shared" si="98"/>
        <v>832.10400000000016</v>
      </c>
      <c r="U822">
        <f t="shared" si="99"/>
        <v>12</v>
      </c>
      <c r="V822" t="str">
        <f t="shared" si="100"/>
        <v>Q4</v>
      </c>
      <c r="W822" t="str">
        <f t="shared" si="101"/>
        <v>Dec-2024</v>
      </c>
      <c r="X822">
        <f t="shared" si="102"/>
        <v>2413.1016000000004</v>
      </c>
      <c r="Y822" s="5">
        <f t="shared" si="103"/>
        <v>5907.9384000000009</v>
      </c>
      <c r="Z822" s="21">
        <f>DATE(K822,MATCH(J822,{"January","February","March","April","May","June","July","August","September","October","November","December"},0),1)</f>
        <v>45627</v>
      </c>
    </row>
    <row r="823" spans="1:26" x14ac:dyDescent="0.3">
      <c r="A823" s="4" t="s">
        <v>891</v>
      </c>
      <c r="B823" s="4" t="s">
        <v>96</v>
      </c>
      <c r="C823" s="4" t="s">
        <v>36</v>
      </c>
      <c r="D823" s="5">
        <v>20754.919999999998</v>
      </c>
      <c r="E823" s="6">
        <v>3</v>
      </c>
      <c r="F823" s="5">
        <v>62264.76</v>
      </c>
      <c r="G823" s="1">
        <v>45514</v>
      </c>
      <c r="H823" t="s">
        <v>18</v>
      </c>
      <c r="I823">
        <v>1.9</v>
      </c>
      <c r="J823" t="s">
        <v>88</v>
      </c>
      <c r="K823">
        <v>2024</v>
      </c>
      <c r="L823">
        <v>12452.952000000001</v>
      </c>
      <c r="M823">
        <v>26</v>
      </c>
      <c r="N823" t="s">
        <v>20</v>
      </c>
      <c r="O823" t="s">
        <v>33</v>
      </c>
      <c r="P823">
        <f>FlipkartSales[[#This Row],[Price (INR)]]*FlipkartSales[[#This Row],[Quantity Sold]]</f>
        <v>62264.759999999995</v>
      </c>
      <c r="Q823">
        <f>FlipkartSales[[#This Row],[Total Sales (INR)]]-FlipkartSales[[#This Row],[Calculated Sales]]</f>
        <v>0</v>
      </c>
      <c r="R823" s="9">
        <f t="shared" si="96"/>
        <v>0.2</v>
      </c>
      <c r="S823">
        <f t="shared" si="97"/>
        <v>20754.920000000002</v>
      </c>
      <c r="T823">
        <f t="shared" si="98"/>
        <v>4150.9840000000004</v>
      </c>
      <c r="U823">
        <f t="shared" si="99"/>
        <v>8</v>
      </c>
      <c r="V823" t="str">
        <f t="shared" si="100"/>
        <v>Q3</v>
      </c>
      <c r="W823" t="str">
        <f t="shared" si="101"/>
        <v>Aug-2024</v>
      </c>
      <c r="X823">
        <f t="shared" si="102"/>
        <v>16188.837600000001</v>
      </c>
      <c r="Y823" s="5">
        <f t="shared" si="103"/>
        <v>46075.922400000003</v>
      </c>
      <c r="Z823" s="21">
        <f>DATE(K823,MATCH(J823,{"January","February","March","April","May","June","July","August","September","October","November","December"},0),1)</f>
        <v>45505</v>
      </c>
    </row>
    <row r="824" spans="1:26" x14ac:dyDescent="0.3">
      <c r="A824" s="4" t="s">
        <v>892</v>
      </c>
      <c r="B824" s="4" t="s">
        <v>70</v>
      </c>
      <c r="C824" s="4" t="s">
        <v>17</v>
      </c>
      <c r="D824" s="5">
        <v>34460.43</v>
      </c>
      <c r="E824" s="6">
        <v>2</v>
      </c>
      <c r="F824" s="5">
        <v>68920.86</v>
      </c>
      <c r="G824" s="1">
        <v>45357</v>
      </c>
      <c r="H824" t="s">
        <v>64</v>
      </c>
      <c r="I824">
        <v>4.5999999999999996</v>
      </c>
      <c r="J824" t="s">
        <v>56</v>
      </c>
      <c r="K824">
        <v>2024</v>
      </c>
      <c r="L824">
        <v>13784.172</v>
      </c>
      <c r="M824">
        <v>21</v>
      </c>
      <c r="N824" t="s">
        <v>20</v>
      </c>
      <c r="O824" t="s">
        <v>21</v>
      </c>
      <c r="P824">
        <f>FlipkartSales[[#This Row],[Price (INR)]]*FlipkartSales[[#This Row],[Quantity Sold]]</f>
        <v>68920.86</v>
      </c>
      <c r="Q824">
        <f>FlipkartSales[[#This Row],[Total Sales (INR)]]-FlipkartSales[[#This Row],[Calculated Sales]]</f>
        <v>0</v>
      </c>
      <c r="R824" s="9">
        <f t="shared" si="96"/>
        <v>0.2</v>
      </c>
      <c r="S824">
        <f t="shared" si="97"/>
        <v>34460.43</v>
      </c>
      <c r="T824">
        <f t="shared" si="98"/>
        <v>6892.0860000000002</v>
      </c>
      <c r="U824">
        <f t="shared" si="99"/>
        <v>3</v>
      </c>
      <c r="V824" t="str">
        <f t="shared" si="100"/>
        <v>Q1</v>
      </c>
      <c r="W824" t="str">
        <f t="shared" si="101"/>
        <v>Mar-2024</v>
      </c>
      <c r="X824">
        <f t="shared" si="102"/>
        <v>14473.3806</v>
      </c>
      <c r="Y824" s="5">
        <f t="shared" si="103"/>
        <v>54447.479399999997</v>
      </c>
      <c r="Z824" s="21">
        <f>DATE(K824,MATCH(J824,{"January","February","March","April","May","June","July","August","September","October","November","December"},0),1)</f>
        <v>45352</v>
      </c>
    </row>
    <row r="825" spans="1:26" x14ac:dyDescent="0.3">
      <c r="A825" s="4" t="s">
        <v>893</v>
      </c>
      <c r="B825" s="4" t="s">
        <v>50</v>
      </c>
      <c r="C825" s="4" t="s">
        <v>40</v>
      </c>
      <c r="D825" s="5">
        <v>22835.78</v>
      </c>
      <c r="E825" s="6">
        <v>5</v>
      </c>
      <c r="F825" s="5">
        <v>114178.9</v>
      </c>
      <c r="G825" s="1">
        <v>45344</v>
      </c>
      <c r="H825" t="s">
        <v>44</v>
      </c>
      <c r="I825">
        <v>4.0999999999999996</v>
      </c>
      <c r="J825" t="s">
        <v>59</v>
      </c>
      <c r="K825">
        <v>2024</v>
      </c>
      <c r="L825">
        <v>22835.78</v>
      </c>
      <c r="M825">
        <v>17</v>
      </c>
      <c r="N825" t="s">
        <v>20</v>
      </c>
      <c r="O825" t="s">
        <v>28</v>
      </c>
      <c r="P825">
        <f>FlipkartSales[[#This Row],[Price (INR)]]*FlipkartSales[[#This Row],[Quantity Sold]]</f>
        <v>114178.9</v>
      </c>
      <c r="Q825">
        <f>FlipkartSales[[#This Row],[Total Sales (INR)]]-FlipkartSales[[#This Row],[Calculated Sales]]</f>
        <v>0</v>
      </c>
      <c r="R825" s="9">
        <f t="shared" si="96"/>
        <v>0.2</v>
      </c>
      <c r="S825">
        <f t="shared" si="97"/>
        <v>22835.78</v>
      </c>
      <c r="T825">
        <f t="shared" si="98"/>
        <v>4567.1559999999999</v>
      </c>
      <c r="U825">
        <f t="shared" si="99"/>
        <v>2</v>
      </c>
      <c r="V825" t="str">
        <f t="shared" si="100"/>
        <v>Q1</v>
      </c>
      <c r="W825" t="str">
        <f t="shared" si="101"/>
        <v>Feb-2024</v>
      </c>
      <c r="X825">
        <f t="shared" si="102"/>
        <v>19410.412999999997</v>
      </c>
      <c r="Y825" s="5">
        <f t="shared" si="103"/>
        <v>94768.486999999994</v>
      </c>
      <c r="Z825" s="21">
        <f>DATE(K825,MATCH(J825,{"January","February","March","April","May","June","July","August","September","October","November","December"},0),1)</f>
        <v>45323</v>
      </c>
    </row>
    <row r="826" spans="1:26" x14ac:dyDescent="0.3">
      <c r="A826" s="4" t="s">
        <v>894</v>
      </c>
      <c r="B826" s="4" t="s">
        <v>100</v>
      </c>
      <c r="C826" s="4" t="s">
        <v>31</v>
      </c>
      <c r="D826" s="5">
        <v>5361.18</v>
      </c>
      <c r="E826" s="6">
        <v>2</v>
      </c>
      <c r="F826" s="5">
        <v>10722.36</v>
      </c>
      <c r="G826" s="1">
        <v>45581</v>
      </c>
      <c r="H826" t="s">
        <v>80</v>
      </c>
      <c r="I826">
        <v>3</v>
      </c>
      <c r="J826" t="s">
        <v>45</v>
      </c>
      <c r="K826">
        <v>2024</v>
      </c>
      <c r="L826">
        <v>2144.4720000000002</v>
      </c>
      <c r="M826">
        <v>5</v>
      </c>
      <c r="N826" t="s">
        <v>27</v>
      </c>
      <c r="O826" t="s">
        <v>33</v>
      </c>
      <c r="P826">
        <f>FlipkartSales[[#This Row],[Price (INR)]]*FlipkartSales[[#This Row],[Quantity Sold]]</f>
        <v>10722.36</v>
      </c>
      <c r="Q826">
        <f>FlipkartSales[[#This Row],[Total Sales (INR)]]-FlipkartSales[[#This Row],[Calculated Sales]]</f>
        <v>0</v>
      </c>
      <c r="R826" s="9">
        <f t="shared" si="96"/>
        <v>0.2</v>
      </c>
      <c r="S826">
        <f t="shared" si="97"/>
        <v>5361.18</v>
      </c>
      <c r="T826">
        <f t="shared" si="98"/>
        <v>1072.2360000000001</v>
      </c>
      <c r="U826">
        <f t="shared" si="99"/>
        <v>10</v>
      </c>
      <c r="V826" t="str">
        <f t="shared" si="100"/>
        <v>Q4</v>
      </c>
      <c r="W826" t="str">
        <f t="shared" si="101"/>
        <v>Oct-2024</v>
      </c>
      <c r="X826">
        <f t="shared" si="102"/>
        <v>536.11800000000005</v>
      </c>
      <c r="Y826" s="5">
        <f t="shared" si="103"/>
        <v>10186.242</v>
      </c>
      <c r="Z826" s="21">
        <f>DATE(K826,MATCH(J826,{"January","February","March","April","May","June","July","August","September","October","November","December"},0),1)</f>
        <v>45566</v>
      </c>
    </row>
    <row r="827" spans="1:26" x14ac:dyDescent="0.3">
      <c r="A827" s="4" t="s">
        <v>895</v>
      </c>
      <c r="B827" s="4" t="s">
        <v>52</v>
      </c>
      <c r="C827" s="4" t="s">
        <v>24</v>
      </c>
      <c r="D827" s="5">
        <v>41996.61</v>
      </c>
      <c r="E827" s="6">
        <v>2</v>
      </c>
      <c r="F827" s="5">
        <v>83993.22</v>
      </c>
      <c r="G827" s="1">
        <v>45616</v>
      </c>
      <c r="H827" t="s">
        <v>64</v>
      </c>
      <c r="I827">
        <v>2.1</v>
      </c>
      <c r="J827" t="s">
        <v>37</v>
      </c>
      <c r="K827">
        <v>2024</v>
      </c>
      <c r="L827">
        <v>16798.644</v>
      </c>
      <c r="M827">
        <v>6</v>
      </c>
      <c r="N827" t="s">
        <v>27</v>
      </c>
      <c r="O827" t="s">
        <v>21</v>
      </c>
      <c r="P827">
        <f>FlipkartSales[[#This Row],[Price (INR)]]*FlipkartSales[[#This Row],[Quantity Sold]]</f>
        <v>83993.22</v>
      </c>
      <c r="Q827">
        <f>FlipkartSales[[#This Row],[Total Sales (INR)]]-FlipkartSales[[#This Row],[Calculated Sales]]</f>
        <v>0</v>
      </c>
      <c r="R827" s="9">
        <f t="shared" si="96"/>
        <v>0.2</v>
      </c>
      <c r="S827">
        <f t="shared" si="97"/>
        <v>41996.61</v>
      </c>
      <c r="T827">
        <f t="shared" si="98"/>
        <v>8399.3220000000001</v>
      </c>
      <c r="U827">
        <f t="shared" si="99"/>
        <v>11</v>
      </c>
      <c r="V827" t="str">
        <f t="shared" si="100"/>
        <v>Q4</v>
      </c>
      <c r="W827" t="str">
        <f t="shared" si="101"/>
        <v>Nov-2024</v>
      </c>
      <c r="X827">
        <f t="shared" si="102"/>
        <v>5039.5932000000003</v>
      </c>
      <c r="Y827" s="5">
        <f t="shared" si="103"/>
        <v>78953.626799999998</v>
      </c>
      <c r="Z827" s="21">
        <f>DATE(K827,MATCH(J827,{"January","February","March","April","May","June","July","August","September","October","November","December"},0),1)</f>
        <v>45597</v>
      </c>
    </row>
    <row r="828" spans="1:26" x14ac:dyDescent="0.3">
      <c r="A828" s="4" t="s">
        <v>896</v>
      </c>
      <c r="B828" s="4" t="s">
        <v>58</v>
      </c>
      <c r="C828" s="4" t="s">
        <v>31</v>
      </c>
      <c r="D828" s="5">
        <v>43606.83</v>
      </c>
      <c r="E828" s="6">
        <v>4</v>
      </c>
      <c r="F828" s="5">
        <v>174427.32</v>
      </c>
      <c r="G828" s="1">
        <v>45393</v>
      </c>
      <c r="H828" t="s">
        <v>18</v>
      </c>
      <c r="I828">
        <v>3.6</v>
      </c>
      <c r="J828" t="s">
        <v>62</v>
      </c>
      <c r="K828">
        <v>2024</v>
      </c>
      <c r="L828">
        <v>34885.464</v>
      </c>
      <c r="M828">
        <v>13</v>
      </c>
      <c r="N828" t="s">
        <v>20</v>
      </c>
      <c r="O828" t="s">
        <v>28</v>
      </c>
      <c r="P828">
        <f>FlipkartSales[[#This Row],[Price (INR)]]*FlipkartSales[[#This Row],[Quantity Sold]]</f>
        <v>174427.32</v>
      </c>
      <c r="Q828">
        <f>FlipkartSales[[#This Row],[Total Sales (INR)]]-FlipkartSales[[#This Row],[Calculated Sales]]</f>
        <v>0</v>
      </c>
      <c r="R828" s="9">
        <f t="shared" si="96"/>
        <v>0.19999999999999998</v>
      </c>
      <c r="S828">
        <f t="shared" si="97"/>
        <v>43606.83</v>
      </c>
      <c r="T828">
        <f t="shared" si="98"/>
        <v>8721.366</v>
      </c>
      <c r="U828">
        <f t="shared" si="99"/>
        <v>4</v>
      </c>
      <c r="V828" t="str">
        <f t="shared" si="100"/>
        <v>Q2</v>
      </c>
      <c r="W828" t="str">
        <f t="shared" si="101"/>
        <v>Apr-2024</v>
      </c>
      <c r="X828">
        <f t="shared" si="102"/>
        <v>22675.551600000003</v>
      </c>
      <c r="Y828" s="5">
        <f t="shared" si="103"/>
        <v>151751.7684</v>
      </c>
      <c r="Z828" s="21">
        <f>DATE(K828,MATCH(J828,{"January","February","March","April","May","June","July","August","September","October","November","December"},0),1)</f>
        <v>45383</v>
      </c>
    </row>
    <row r="829" spans="1:26" x14ac:dyDescent="0.3">
      <c r="A829" s="4" t="s">
        <v>897</v>
      </c>
      <c r="B829" s="4" t="s">
        <v>35</v>
      </c>
      <c r="C829" s="4" t="s">
        <v>36</v>
      </c>
      <c r="D829" s="5">
        <v>14290.07</v>
      </c>
      <c r="E829" s="6">
        <v>5</v>
      </c>
      <c r="F829" s="5">
        <v>71450.350000000006</v>
      </c>
      <c r="G829" s="1">
        <v>45638</v>
      </c>
      <c r="H829" t="s">
        <v>18</v>
      </c>
      <c r="I829">
        <v>2.2999999999999998</v>
      </c>
      <c r="J829" t="s">
        <v>26</v>
      </c>
      <c r="K829">
        <v>2024</v>
      </c>
      <c r="L829">
        <v>14290.070000000002</v>
      </c>
      <c r="M829">
        <v>7</v>
      </c>
      <c r="N829" t="s">
        <v>41</v>
      </c>
      <c r="O829" t="s">
        <v>68</v>
      </c>
      <c r="P829">
        <f>FlipkartSales[[#This Row],[Price (INR)]]*FlipkartSales[[#This Row],[Quantity Sold]]</f>
        <v>71450.350000000006</v>
      </c>
      <c r="Q829">
        <f>FlipkartSales[[#This Row],[Total Sales (INR)]]-FlipkartSales[[#This Row],[Calculated Sales]]</f>
        <v>0</v>
      </c>
      <c r="R829" s="9">
        <f t="shared" si="96"/>
        <v>0.2</v>
      </c>
      <c r="S829">
        <f t="shared" si="97"/>
        <v>14290.070000000002</v>
      </c>
      <c r="T829">
        <f t="shared" si="98"/>
        <v>2858.0140000000001</v>
      </c>
      <c r="U829">
        <f t="shared" si="99"/>
        <v>12</v>
      </c>
      <c r="V829" t="str">
        <f t="shared" si="100"/>
        <v>Q4</v>
      </c>
      <c r="W829" t="str">
        <f t="shared" si="101"/>
        <v>Dec-2024</v>
      </c>
      <c r="X829">
        <f t="shared" si="102"/>
        <v>5001.5245000000004</v>
      </c>
      <c r="Y829" s="5">
        <f t="shared" si="103"/>
        <v>66448.825500000006</v>
      </c>
      <c r="Z829" s="21">
        <f>DATE(K829,MATCH(J829,{"January","February","March","April","May","June","July","August","September","October","November","December"},0),1)</f>
        <v>45627</v>
      </c>
    </row>
    <row r="830" spans="1:26" x14ac:dyDescent="0.3">
      <c r="A830" s="4" t="s">
        <v>898</v>
      </c>
      <c r="B830" s="4" t="s">
        <v>96</v>
      </c>
      <c r="C830" s="4" t="s">
        <v>36</v>
      </c>
      <c r="D830" s="5">
        <v>32760.67</v>
      </c>
      <c r="E830" s="6">
        <v>3</v>
      </c>
      <c r="F830" s="5">
        <v>98282.01</v>
      </c>
      <c r="G830" s="1">
        <v>45469</v>
      </c>
      <c r="H830" t="s">
        <v>80</v>
      </c>
      <c r="I830">
        <v>1</v>
      </c>
      <c r="J830" t="s">
        <v>67</v>
      </c>
      <c r="K830">
        <v>2024</v>
      </c>
      <c r="L830">
        <v>19656.401999999998</v>
      </c>
      <c r="M830">
        <v>5</v>
      </c>
      <c r="N830" t="s">
        <v>27</v>
      </c>
      <c r="O830" t="s">
        <v>21</v>
      </c>
      <c r="P830">
        <f>FlipkartSales[[#This Row],[Price (INR)]]*FlipkartSales[[#This Row],[Quantity Sold]]</f>
        <v>98282.01</v>
      </c>
      <c r="Q830">
        <f>FlipkartSales[[#This Row],[Total Sales (INR)]]-FlipkartSales[[#This Row],[Calculated Sales]]</f>
        <v>0</v>
      </c>
      <c r="R830" s="9">
        <f t="shared" si="96"/>
        <v>0.19999999999999998</v>
      </c>
      <c r="S830">
        <f t="shared" si="97"/>
        <v>32760.67</v>
      </c>
      <c r="T830">
        <f t="shared" si="98"/>
        <v>6552.1339999999991</v>
      </c>
      <c r="U830">
        <f t="shared" si="99"/>
        <v>6</v>
      </c>
      <c r="V830" t="str">
        <f t="shared" si="100"/>
        <v>Q2</v>
      </c>
      <c r="W830" t="str">
        <f t="shared" si="101"/>
        <v>Jun-2024</v>
      </c>
      <c r="X830">
        <f t="shared" si="102"/>
        <v>4914.1004999999996</v>
      </c>
      <c r="Y830" s="5">
        <f t="shared" si="103"/>
        <v>93367.909499999994</v>
      </c>
      <c r="Z830" s="21">
        <f>DATE(K830,MATCH(J830,{"January","February","March","April","May","June","July","August","September","October","November","December"},0),1)</f>
        <v>45444</v>
      </c>
    </row>
    <row r="831" spans="1:26" x14ac:dyDescent="0.3">
      <c r="A831" s="4" t="s">
        <v>899</v>
      </c>
      <c r="B831" s="4" t="s">
        <v>70</v>
      </c>
      <c r="C831" s="4" t="s">
        <v>17</v>
      </c>
      <c r="D831" s="5">
        <v>26403.73</v>
      </c>
      <c r="E831" s="6">
        <v>1</v>
      </c>
      <c r="F831" s="5">
        <v>26403.73</v>
      </c>
      <c r="G831" s="1">
        <v>45604</v>
      </c>
      <c r="H831" t="s">
        <v>18</v>
      </c>
      <c r="I831">
        <v>3.3</v>
      </c>
      <c r="J831" t="s">
        <v>37</v>
      </c>
      <c r="K831">
        <v>2024</v>
      </c>
      <c r="L831">
        <v>5280.7460000000001</v>
      </c>
      <c r="M831">
        <v>25</v>
      </c>
      <c r="N831" t="s">
        <v>20</v>
      </c>
      <c r="O831" t="s">
        <v>28</v>
      </c>
      <c r="P831">
        <f>FlipkartSales[[#This Row],[Price (INR)]]*FlipkartSales[[#This Row],[Quantity Sold]]</f>
        <v>26403.73</v>
      </c>
      <c r="Q831">
        <f>FlipkartSales[[#This Row],[Total Sales (INR)]]-FlipkartSales[[#This Row],[Calculated Sales]]</f>
        <v>0</v>
      </c>
      <c r="R831" s="9">
        <f t="shared" si="96"/>
        <v>0.2</v>
      </c>
      <c r="S831">
        <f t="shared" si="97"/>
        <v>26403.73</v>
      </c>
      <c r="T831">
        <f t="shared" si="98"/>
        <v>5280.7460000000001</v>
      </c>
      <c r="U831">
        <f t="shared" si="99"/>
        <v>11</v>
      </c>
      <c r="V831" t="str">
        <f t="shared" si="100"/>
        <v>Q4</v>
      </c>
      <c r="W831" t="str">
        <f t="shared" si="101"/>
        <v>Nov-2024</v>
      </c>
      <c r="X831">
        <f t="shared" si="102"/>
        <v>6600.9324999999999</v>
      </c>
      <c r="Y831" s="5">
        <f t="shared" si="103"/>
        <v>19802.797500000001</v>
      </c>
      <c r="Z831" s="21">
        <f>DATE(K831,MATCH(J831,{"January","February","March","April","May","June","July","August","September","October","November","December"},0),1)</f>
        <v>45597</v>
      </c>
    </row>
    <row r="832" spans="1:26" x14ac:dyDescent="0.3">
      <c r="A832" s="4" t="s">
        <v>900</v>
      </c>
      <c r="B832" s="4" t="s">
        <v>94</v>
      </c>
      <c r="C832" s="4" t="s">
        <v>31</v>
      </c>
      <c r="D832" s="5">
        <v>34069.64</v>
      </c>
      <c r="E832" s="6">
        <v>1</v>
      </c>
      <c r="F832" s="5">
        <v>34069.64</v>
      </c>
      <c r="G832" s="1">
        <v>45610</v>
      </c>
      <c r="H832" t="s">
        <v>44</v>
      </c>
      <c r="I832">
        <v>3</v>
      </c>
      <c r="J832" t="s">
        <v>37</v>
      </c>
      <c r="K832">
        <v>2024</v>
      </c>
      <c r="L832">
        <v>6813.9279999999999</v>
      </c>
      <c r="M832">
        <v>20</v>
      </c>
      <c r="N832" t="s">
        <v>20</v>
      </c>
      <c r="O832" t="s">
        <v>21</v>
      </c>
      <c r="P832">
        <f>FlipkartSales[[#This Row],[Price (INR)]]*FlipkartSales[[#This Row],[Quantity Sold]]</f>
        <v>34069.64</v>
      </c>
      <c r="Q832">
        <f>FlipkartSales[[#This Row],[Total Sales (INR)]]-FlipkartSales[[#This Row],[Calculated Sales]]</f>
        <v>0</v>
      </c>
      <c r="R832" s="9">
        <f t="shared" si="96"/>
        <v>0.2</v>
      </c>
      <c r="S832">
        <f t="shared" si="97"/>
        <v>34069.64</v>
      </c>
      <c r="T832">
        <f t="shared" si="98"/>
        <v>6813.9279999999999</v>
      </c>
      <c r="U832">
        <f t="shared" si="99"/>
        <v>11</v>
      </c>
      <c r="V832" t="str">
        <f t="shared" si="100"/>
        <v>Q4</v>
      </c>
      <c r="W832" t="str">
        <f t="shared" si="101"/>
        <v>Nov-2024</v>
      </c>
      <c r="X832">
        <f t="shared" si="102"/>
        <v>6813.9280000000008</v>
      </c>
      <c r="Y832" s="5">
        <f t="shared" si="103"/>
        <v>27255.712</v>
      </c>
      <c r="Z832" s="21">
        <f>DATE(K832,MATCH(J832,{"January","February","March","April","May","June","July","August","September","October","November","December"},0),1)</f>
        <v>45597</v>
      </c>
    </row>
    <row r="833" spans="1:26" x14ac:dyDescent="0.3">
      <c r="A833" s="4" t="s">
        <v>901</v>
      </c>
      <c r="B833" s="4" t="s">
        <v>50</v>
      </c>
      <c r="C833" s="4" t="s">
        <v>40</v>
      </c>
      <c r="D833" s="5">
        <v>47284.54</v>
      </c>
      <c r="E833" s="6">
        <v>5</v>
      </c>
      <c r="F833" s="5">
        <v>236422.7</v>
      </c>
      <c r="G833" s="1">
        <v>45352</v>
      </c>
      <c r="H833" t="s">
        <v>80</v>
      </c>
      <c r="I833">
        <v>2.4</v>
      </c>
      <c r="J833" t="s">
        <v>56</v>
      </c>
      <c r="K833">
        <v>2024</v>
      </c>
      <c r="L833">
        <v>47284.540000000008</v>
      </c>
      <c r="M833">
        <v>27</v>
      </c>
      <c r="N833" t="s">
        <v>27</v>
      </c>
      <c r="O833" t="s">
        <v>21</v>
      </c>
      <c r="P833">
        <f>FlipkartSales[[#This Row],[Price (INR)]]*FlipkartSales[[#This Row],[Quantity Sold]]</f>
        <v>236422.7</v>
      </c>
      <c r="Q833">
        <f>FlipkartSales[[#This Row],[Total Sales (INR)]]-FlipkartSales[[#This Row],[Calculated Sales]]</f>
        <v>0</v>
      </c>
      <c r="R833" s="9">
        <f t="shared" si="96"/>
        <v>0.2</v>
      </c>
      <c r="S833">
        <f t="shared" si="97"/>
        <v>47284.54</v>
      </c>
      <c r="T833">
        <f t="shared" si="98"/>
        <v>9456.9080000000013</v>
      </c>
      <c r="U833">
        <f t="shared" si="99"/>
        <v>3</v>
      </c>
      <c r="V833" t="str">
        <f t="shared" si="100"/>
        <v>Q1</v>
      </c>
      <c r="W833" t="str">
        <f t="shared" si="101"/>
        <v>Mar-2024</v>
      </c>
      <c r="X833">
        <f t="shared" si="102"/>
        <v>63834.129000000001</v>
      </c>
      <c r="Y833" s="5">
        <f t="shared" si="103"/>
        <v>172588.571</v>
      </c>
      <c r="Z833" s="21">
        <f>DATE(K833,MATCH(J833,{"January","February","March","April","May","June","July","August","September","October","November","December"},0),1)</f>
        <v>45352</v>
      </c>
    </row>
    <row r="834" spans="1:26" x14ac:dyDescent="0.3">
      <c r="A834" s="4" t="s">
        <v>902</v>
      </c>
      <c r="B834" s="4" t="s">
        <v>35</v>
      </c>
      <c r="C834" s="4" t="s">
        <v>36</v>
      </c>
      <c r="D834" s="5">
        <v>28678.880000000001</v>
      </c>
      <c r="E834" s="6">
        <v>4</v>
      </c>
      <c r="F834" s="5">
        <v>114715.52</v>
      </c>
      <c r="G834" s="1">
        <v>45582</v>
      </c>
      <c r="H834" t="s">
        <v>80</v>
      </c>
      <c r="I834">
        <v>3.7</v>
      </c>
      <c r="J834" t="s">
        <v>45</v>
      </c>
      <c r="K834">
        <v>2024</v>
      </c>
      <c r="L834">
        <v>22943.104000000003</v>
      </c>
      <c r="M834">
        <v>10</v>
      </c>
      <c r="N834" t="s">
        <v>27</v>
      </c>
      <c r="O834" t="s">
        <v>21</v>
      </c>
      <c r="P834">
        <f>FlipkartSales[[#This Row],[Price (INR)]]*FlipkartSales[[#This Row],[Quantity Sold]]</f>
        <v>114715.52</v>
      </c>
      <c r="Q834">
        <f>FlipkartSales[[#This Row],[Total Sales (INR)]]-FlipkartSales[[#This Row],[Calculated Sales]]</f>
        <v>0</v>
      </c>
      <c r="R834" s="9">
        <f t="shared" ref="R834:R897" si="104">L834/F834</f>
        <v>0.2</v>
      </c>
      <c r="S834">
        <f t="shared" ref="S834:S897" si="105">F834/E834</f>
        <v>28678.880000000001</v>
      </c>
      <c r="T834">
        <f t="shared" ref="T834:T897" si="106">L834/E834</f>
        <v>5735.7760000000007</v>
      </c>
      <c r="U834">
        <f t="shared" ref="U834:U897" si="107">MONTH(G834)</f>
        <v>10</v>
      </c>
      <c r="V834" t="str">
        <f t="shared" ref="V834:V897" si="108">"Q"&amp;ROUNDUP(MONTH(G834)/3,0)</f>
        <v>Q4</v>
      </c>
      <c r="W834" t="str">
        <f t="shared" ref="W834:W897" si="109">TEXT(G834,"mmm-yyyy")</f>
        <v>Oct-2024</v>
      </c>
      <c r="X834">
        <f t="shared" ref="X834:X897" si="110">F834*M834/100</f>
        <v>11471.552</v>
      </c>
      <c r="Y834" s="5">
        <f t="shared" ref="Y834:Y897" si="111">F834-X834</f>
        <v>103243.96800000001</v>
      </c>
      <c r="Z834" s="21">
        <f>DATE(K834,MATCH(J834,{"January","February","March","April","May","June","July","August","September","October","November","December"},0),1)</f>
        <v>45566</v>
      </c>
    </row>
    <row r="835" spans="1:26" x14ac:dyDescent="0.3">
      <c r="A835" s="4" t="s">
        <v>903</v>
      </c>
      <c r="B835" s="4" t="s">
        <v>30</v>
      </c>
      <c r="C835" s="4" t="s">
        <v>31</v>
      </c>
      <c r="D835" s="5">
        <v>44918.35</v>
      </c>
      <c r="E835" s="6">
        <v>5</v>
      </c>
      <c r="F835" s="5">
        <v>224591.75</v>
      </c>
      <c r="G835" s="1">
        <v>45496</v>
      </c>
      <c r="H835" t="s">
        <v>44</v>
      </c>
      <c r="I835">
        <v>4.4000000000000004</v>
      </c>
      <c r="J835" t="s">
        <v>48</v>
      </c>
      <c r="K835">
        <v>2024</v>
      </c>
      <c r="L835">
        <v>44918.350000000006</v>
      </c>
      <c r="M835">
        <v>21</v>
      </c>
      <c r="N835" t="s">
        <v>27</v>
      </c>
      <c r="O835" t="s">
        <v>21</v>
      </c>
      <c r="P835">
        <f>FlipkartSales[[#This Row],[Price (INR)]]*FlipkartSales[[#This Row],[Quantity Sold]]</f>
        <v>224591.75</v>
      </c>
      <c r="Q835">
        <f>FlipkartSales[[#This Row],[Total Sales (INR)]]-FlipkartSales[[#This Row],[Calculated Sales]]</f>
        <v>0</v>
      </c>
      <c r="R835" s="9">
        <f t="shared" si="104"/>
        <v>0.20000000000000004</v>
      </c>
      <c r="S835">
        <f t="shared" si="105"/>
        <v>44918.35</v>
      </c>
      <c r="T835">
        <f t="shared" si="106"/>
        <v>8983.6700000000019</v>
      </c>
      <c r="U835">
        <f t="shared" si="107"/>
        <v>7</v>
      </c>
      <c r="V835" t="str">
        <f t="shared" si="108"/>
        <v>Q3</v>
      </c>
      <c r="W835" t="str">
        <f t="shared" si="109"/>
        <v>Jul-2024</v>
      </c>
      <c r="X835">
        <f t="shared" si="110"/>
        <v>47164.267500000002</v>
      </c>
      <c r="Y835" s="5">
        <f t="shared" si="111"/>
        <v>177427.48249999998</v>
      </c>
      <c r="Z835" s="21">
        <f>DATE(K835,MATCH(J835,{"January","February","March","April","May","June","July","August","September","October","November","December"},0),1)</f>
        <v>45474</v>
      </c>
    </row>
    <row r="836" spans="1:26" x14ac:dyDescent="0.3">
      <c r="A836" s="4" t="s">
        <v>904</v>
      </c>
      <c r="B836" s="4" t="s">
        <v>94</v>
      </c>
      <c r="C836" s="4" t="s">
        <v>31</v>
      </c>
      <c r="D836" s="5">
        <v>31727.37</v>
      </c>
      <c r="E836" s="6">
        <v>1</v>
      </c>
      <c r="F836" s="5">
        <v>31727.37</v>
      </c>
      <c r="G836" s="1">
        <v>45607</v>
      </c>
      <c r="H836" t="s">
        <v>18</v>
      </c>
      <c r="I836">
        <v>1.7</v>
      </c>
      <c r="J836" t="s">
        <v>37</v>
      </c>
      <c r="K836">
        <v>2024</v>
      </c>
      <c r="L836">
        <v>6345.4740000000002</v>
      </c>
      <c r="M836">
        <v>9</v>
      </c>
      <c r="N836" t="s">
        <v>41</v>
      </c>
      <c r="O836" t="s">
        <v>21</v>
      </c>
      <c r="P836">
        <f>FlipkartSales[[#This Row],[Price (INR)]]*FlipkartSales[[#This Row],[Quantity Sold]]</f>
        <v>31727.37</v>
      </c>
      <c r="Q836">
        <f>FlipkartSales[[#This Row],[Total Sales (INR)]]-FlipkartSales[[#This Row],[Calculated Sales]]</f>
        <v>0</v>
      </c>
      <c r="R836" s="9">
        <f t="shared" si="104"/>
        <v>0.2</v>
      </c>
      <c r="S836">
        <f t="shared" si="105"/>
        <v>31727.37</v>
      </c>
      <c r="T836">
        <f t="shared" si="106"/>
        <v>6345.4740000000002</v>
      </c>
      <c r="U836">
        <f t="shared" si="107"/>
        <v>11</v>
      </c>
      <c r="V836" t="str">
        <f t="shared" si="108"/>
        <v>Q4</v>
      </c>
      <c r="W836" t="str">
        <f t="shared" si="109"/>
        <v>Nov-2024</v>
      </c>
      <c r="X836">
        <f t="shared" si="110"/>
        <v>2855.4633000000003</v>
      </c>
      <c r="Y836" s="5">
        <f t="shared" si="111"/>
        <v>28871.9067</v>
      </c>
      <c r="Z836" s="21">
        <f>DATE(K836,MATCH(J836,{"January","February","March","April","May","June","July","August","September","October","November","December"},0),1)</f>
        <v>45597</v>
      </c>
    </row>
    <row r="837" spans="1:26" x14ac:dyDescent="0.3">
      <c r="A837" s="4" t="s">
        <v>905</v>
      </c>
      <c r="B837" s="4" t="s">
        <v>84</v>
      </c>
      <c r="C837" s="4" t="s">
        <v>40</v>
      </c>
      <c r="D837" s="5">
        <v>10766.58</v>
      </c>
      <c r="E837" s="6">
        <v>3</v>
      </c>
      <c r="F837" s="5">
        <v>32299.74</v>
      </c>
      <c r="G837" s="1">
        <v>45387</v>
      </c>
      <c r="H837" t="s">
        <v>71</v>
      </c>
      <c r="I837">
        <v>4.2</v>
      </c>
      <c r="J837" t="s">
        <v>62</v>
      </c>
      <c r="K837">
        <v>2024</v>
      </c>
      <c r="L837">
        <v>6459.9480000000003</v>
      </c>
      <c r="M837">
        <v>9</v>
      </c>
      <c r="N837" t="s">
        <v>41</v>
      </c>
      <c r="O837" t="s">
        <v>21</v>
      </c>
      <c r="P837">
        <f>FlipkartSales[[#This Row],[Price (INR)]]*FlipkartSales[[#This Row],[Quantity Sold]]</f>
        <v>32299.739999999998</v>
      </c>
      <c r="Q837">
        <f>FlipkartSales[[#This Row],[Total Sales (INR)]]-FlipkartSales[[#This Row],[Calculated Sales]]</f>
        <v>0</v>
      </c>
      <c r="R837" s="9">
        <f t="shared" si="104"/>
        <v>0.2</v>
      </c>
      <c r="S837">
        <f t="shared" si="105"/>
        <v>10766.58</v>
      </c>
      <c r="T837">
        <f t="shared" si="106"/>
        <v>2153.3160000000003</v>
      </c>
      <c r="U837">
        <f t="shared" si="107"/>
        <v>4</v>
      </c>
      <c r="V837" t="str">
        <f t="shared" si="108"/>
        <v>Q2</v>
      </c>
      <c r="W837" t="str">
        <f t="shared" si="109"/>
        <v>Apr-2024</v>
      </c>
      <c r="X837">
        <f t="shared" si="110"/>
        <v>2906.9766000000004</v>
      </c>
      <c r="Y837" s="5">
        <f t="shared" si="111"/>
        <v>29392.7634</v>
      </c>
      <c r="Z837" s="21">
        <f>DATE(K837,MATCH(J837,{"January","February","March","April","May","June","July","August","September","October","November","December"},0),1)</f>
        <v>45383</v>
      </c>
    </row>
    <row r="838" spans="1:26" x14ac:dyDescent="0.3">
      <c r="A838" s="4" t="s">
        <v>906</v>
      </c>
      <c r="B838" s="4" t="s">
        <v>61</v>
      </c>
      <c r="C838" s="4" t="s">
        <v>31</v>
      </c>
      <c r="D838" s="5">
        <v>25288.2</v>
      </c>
      <c r="E838" s="6">
        <v>4</v>
      </c>
      <c r="F838" s="5">
        <v>101152.8</v>
      </c>
      <c r="G838" s="1">
        <v>45519</v>
      </c>
      <c r="H838" t="s">
        <v>18</v>
      </c>
      <c r="I838">
        <v>4.8</v>
      </c>
      <c r="J838" t="s">
        <v>88</v>
      </c>
      <c r="K838">
        <v>2024</v>
      </c>
      <c r="L838">
        <v>20230.560000000001</v>
      </c>
      <c r="M838">
        <v>10</v>
      </c>
      <c r="N838" t="s">
        <v>20</v>
      </c>
      <c r="O838" t="s">
        <v>28</v>
      </c>
      <c r="P838">
        <f>FlipkartSales[[#This Row],[Price (INR)]]*FlipkartSales[[#This Row],[Quantity Sold]]</f>
        <v>101152.8</v>
      </c>
      <c r="Q838">
        <f>FlipkartSales[[#This Row],[Total Sales (INR)]]-FlipkartSales[[#This Row],[Calculated Sales]]</f>
        <v>0</v>
      </c>
      <c r="R838" s="9">
        <f t="shared" si="104"/>
        <v>0.2</v>
      </c>
      <c r="S838">
        <f t="shared" si="105"/>
        <v>25288.2</v>
      </c>
      <c r="T838">
        <f t="shared" si="106"/>
        <v>5057.6400000000003</v>
      </c>
      <c r="U838">
        <f t="shared" si="107"/>
        <v>8</v>
      </c>
      <c r="V838" t="str">
        <f t="shared" si="108"/>
        <v>Q3</v>
      </c>
      <c r="W838" t="str">
        <f t="shared" si="109"/>
        <v>Aug-2024</v>
      </c>
      <c r="X838">
        <f t="shared" si="110"/>
        <v>10115.280000000001</v>
      </c>
      <c r="Y838" s="5">
        <f t="shared" si="111"/>
        <v>91037.52</v>
      </c>
      <c r="Z838" s="21">
        <f>DATE(K838,MATCH(J838,{"January","February","March","April","May","June","July","August","September","October","November","December"},0),1)</f>
        <v>45505</v>
      </c>
    </row>
    <row r="839" spans="1:26" x14ac:dyDescent="0.3">
      <c r="A839" s="4" t="s">
        <v>907</v>
      </c>
      <c r="B839" s="4" t="s">
        <v>96</v>
      </c>
      <c r="C839" s="4" t="s">
        <v>36</v>
      </c>
      <c r="D839" s="5">
        <v>35506.5</v>
      </c>
      <c r="E839" s="6">
        <v>5</v>
      </c>
      <c r="F839" s="5">
        <v>177532.5</v>
      </c>
      <c r="G839" s="1">
        <v>45438</v>
      </c>
      <c r="H839" t="s">
        <v>25</v>
      </c>
      <c r="I839">
        <v>4.5</v>
      </c>
      <c r="J839" t="s">
        <v>32</v>
      </c>
      <c r="K839">
        <v>2024</v>
      </c>
      <c r="L839">
        <v>35506.5</v>
      </c>
      <c r="M839">
        <v>7</v>
      </c>
      <c r="N839" t="s">
        <v>27</v>
      </c>
      <c r="O839" t="s">
        <v>68</v>
      </c>
      <c r="P839">
        <f>FlipkartSales[[#This Row],[Price (INR)]]*FlipkartSales[[#This Row],[Quantity Sold]]</f>
        <v>177532.5</v>
      </c>
      <c r="Q839">
        <f>FlipkartSales[[#This Row],[Total Sales (INR)]]-FlipkartSales[[#This Row],[Calculated Sales]]</f>
        <v>0</v>
      </c>
      <c r="R839" s="9">
        <f t="shared" si="104"/>
        <v>0.2</v>
      </c>
      <c r="S839">
        <f t="shared" si="105"/>
        <v>35506.5</v>
      </c>
      <c r="T839">
        <f t="shared" si="106"/>
        <v>7101.3</v>
      </c>
      <c r="U839">
        <f t="shared" si="107"/>
        <v>5</v>
      </c>
      <c r="V839" t="str">
        <f t="shared" si="108"/>
        <v>Q2</v>
      </c>
      <c r="W839" t="str">
        <f t="shared" si="109"/>
        <v>May-2024</v>
      </c>
      <c r="X839">
        <f t="shared" si="110"/>
        <v>12427.275</v>
      </c>
      <c r="Y839" s="5">
        <f t="shared" si="111"/>
        <v>165105.22500000001</v>
      </c>
      <c r="Z839" s="21">
        <f>DATE(K839,MATCH(J839,{"January","February","March","April","May","June","July","August","September","October","November","December"},0),1)</f>
        <v>45413</v>
      </c>
    </row>
    <row r="840" spans="1:26" x14ac:dyDescent="0.3">
      <c r="A840" s="4" t="s">
        <v>908</v>
      </c>
      <c r="B840" s="4" t="s">
        <v>118</v>
      </c>
      <c r="C840" s="4" t="s">
        <v>17</v>
      </c>
      <c r="D840" s="5">
        <v>7682.98</v>
      </c>
      <c r="E840" s="6">
        <v>4</v>
      </c>
      <c r="F840" s="5">
        <v>30731.919999999998</v>
      </c>
      <c r="G840" s="1">
        <v>45519</v>
      </c>
      <c r="H840" t="s">
        <v>64</v>
      </c>
      <c r="I840">
        <v>4.8</v>
      </c>
      <c r="J840" t="s">
        <v>88</v>
      </c>
      <c r="K840">
        <v>2024</v>
      </c>
      <c r="L840">
        <v>6146.384</v>
      </c>
      <c r="M840">
        <v>25</v>
      </c>
      <c r="N840" t="s">
        <v>41</v>
      </c>
      <c r="O840" t="s">
        <v>33</v>
      </c>
      <c r="P840">
        <f>FlipkartSales[[#This Row],[Price (INR)]]*FlipkartSales[[#This Row],[Quantity Sold]]</f>
        <v>30731.919999999998</v>
      </c>
      <c r="Q840">
        <f>FlipkartSales[[#This Row],[Total Sales (INR)]]-FlipkartSales[[#This Row],[Calculated Sales]]</f>
        <v>0</v>
      </c>
      <c r="R840" s="9">
        <f t="shared" si="104"/>
        <v>0.2</v>
      </c>
      <c r="S840">
        <f t="shared" si="105"/>
        <v>7682.98</v>
      </c>
      <c r="T840">
        <f t="shared" si="106"/>
        <v>1536.596</v>
      </c>
      <c r="U840">
        <f t="shared" si="107"/>
        <v>8</v>
      </c>
      <c r="V840" t="str">
        <f t="shared" si="108"/>
        <v>Q3</v>
      </c>
      <c r="W840" t="str">
        <f t="shared" si="109"/>
        <v>Aug-2024</v>
      </c>
      <c r="X840">
        <f t="shared" si="110"/>
        <v>7682.98</v>
      </c>
      <c r="Y840" s="5">
        <f t="shared" si="111"/>
        <v>23048.94</v>
      </c>
      <c r="Z840" s="21">
        <f>DATE(K840,MATCH(J840,{"January","February","March","April","May","June","July","August","September","October","November","December"},0),1)</f>
        <v>45505</v>
      </c>
    </row>
    <row r="841" spans="1:26" x14ac:dyDescent="0.3">
      <c r="A841" s="4" t="s">
        <v>909</v>
      </c>
      <c r="B841" s="4" t="s">
        <v>66</v>
      </c>
      <c r="C841" s="4" t="s">
        <v>36</v>
      </c>
      <c r="D841" s="5">
        <v>32664.01</v>
      </c>
      <c r="E841" s="6">
        <v>2</v>
      </c>
      <c r="F841" s="5">
        <v>65328.02</v>
      </c>
      <c r="G841" s="1">
        <v>45373</v>
      </c>
      <c r="H841" t="s">
        <v>80</v>
      </c>
      <c r="I841">
        <v>2.5</v>
      </c>
      <c r="J841" t="s">
        <v>56</v>
      </c>
      <c r="K841">
        <v>2024</v>
      </c>
      <c r="L841">
        <v>13065.603999999999</v>
      </c>
      <c r="M841">
        <v>27</v>
      </c>
      <c r="N841" t="s">
        <v>27</v>
      </c>
      <c r="O841" t="s">
        <v>21</v>
      </c>
      <c r="P841">
        <f>FlipkartSales[[#This Row],[Price (INR)]]*FlipkartSales[[#This Row],[Quantity Sold]]</f>
        <v>65328.02</v>
      </c>
      <c r="Q841">
        <f>FlipkartSales[[#This Row],[Total Sales (INR)]]-FlipkartSales[[#This Row],[Calculated Sales]]</f>
        <v>0</v>
      </c>
      <c r="R841" s="9">
        <f t="shared" si="104"/>
        <v>0.2</v>
      </c>
      <c r="S841">
        <f t="shared" si="105"/>
        <v>32664.01</v>
      </c>
      <c r="T841">
        <f t="shared" si="106"/>
        <v>6532.8019999999997</v>
      </c>
      <c r="U841">
        <f t="shared" si="107"/>
        <v>3</v>
      </c>
      <c r="V841" t="str">
        <f t="shared" si="108"/>
        <v>Q1</v>
      </c>
      <c r="W841" t="str">
        <f t="shared" si="109"/>
        <v>Mar-2024</v>
      </c>
      <c r="X841">
        <f t="shared" si="110"/>
        <v>17638.565399999999</v>
      </c>
      <c r="Y841" s="5">
        <f t="shared" si="111"/>
        <v>47689.454599999997</v>
      </c>
      <c r="Z841" s="21">
        <f>DATE(K841,MATCH(J841,{"January","February","March","April","May","June","July","August","September","October","November","December"},0),1)</f>
        <v>45352</v>
      </c>
    </row>
    <row r="842" spans="1:26" x14ac:dyDescent="0.3">
      <c r="A842" s="4" t="s">
        <v>910</v>
      </c>
      <c r="B842" s="4" t="s">
        <v>50</v>
      </c>
      <c r="C842" s="4" t="s">
        <v>40</v>
      </c>
      <c r="D842" s="5">
        <v>14359.56</v>
      </c>
      <c r="E842" s="6">
        <v>3</v>
      </c>
      <c r="F842" s="5">
        <v>43078.68</v>
      </c>
      <c r="G842" s="1">
        <v>45482</v>
      </c>
      <c r="H842" t="s">
        <v>18</v>
      </c>
      <c r="I842">
        <v>2.2999999999999998</v>
      </c>
      <c r="J842" t="s">
        <v>48</v>
      </c>
      <c r="K842">
        <v>2024</v>
      </c>
      <c r="L842">
        <v>8615.7360000000008</v>
      </c>
      <c r="M842">
        <v>9</v>
      </c>
      <c r="N842" t="s">
        <v>20</v>
      </c>
      <c r="O842" t="s">
        <v>33</v>
      </c>
      <c r="P842">
        <f>FlipkartSales[[#This Row],[Price (INR)]]*FlipkartSales[[#This Row],[Quantity Sold]]</f>
        <v>43078.68</v>
      </c>
      <c r="Q842">
        <f>FlipkartSales[[#This Row],[Total Sales (INR)]]-FlipkartSales[[#This Row],[Calculated Sales]]</f>
        <v>0</v>
      </c>
      <c r="R842" s="9">
        <f t="shared" si="104"/>
        <v>0.2</v>
      </c>
      <c r="S842">
        <f t="shared" si="105"/>
        <v>14359.56</v>
      </c>
      <c r="T842">
        <f t="shared" si="106"/>
        <v>2871.9120000000003</v>
      </c>
      <c r="U842">
        <f t="shared" si="107"/>
        <v>7</v>
      </c>
      <c r="V842" t="str">
        <f t="shared" si="108"/>
        <v>Q3</v>
      </c>
      <c r="W842" t="str">
        <f t="shared" si="109"/>
        <v>Jul-2024</v>
      </c>
      <c r="X842">
        <f t="shared" si="110"/>
        <v>3877.0812000000001</v>
      </c>
      <c r="Y842" s="5">
        <f t="shared" si="111"/>
        <v>39201.5988</v>
      </c>
      <c r="Z842" s="21">
        <f>DATE(K842,MATCH(J842,{"January","February","March","April","May","June","July","August","September","October","November","December"},0),1)</f>
        <v>45474</v>
      </c>
    </row>
    <row r="843" spans="1:26" x14ac:dyDescent="0.3">
      <c r="A843" s="4" t="s">
        <v>911</v>
      </c>
      <c r="B843" s="4" t="s">
        <v>47</v>
      </c>
      <c r="C843" s="4" t="s">
        <v>24</v>
      </c>
      <c r="D843" s="5">
        <v>3632.93</v>
      </c>
      <c r="E843" s="6">
        <v>5</v>
      </c>
      <c r="F843" s="5">
        <v>18164.650000000001</v>
      </c>
      <c r="G843" s="1">
        <v>45528</v>
      </c>
      <c r="H843" t="s">
        <v>71</v>
      </c>
      <c r="I843">
        <v>2.1</v>
      </c>
      <c r="J843" t="s">
        <v>88</v>
      </c>
      <c r="K843">
        <v>2024</v>
      </c>
      <c r="L843">
        <v>3632.9300000000003</v>
      </c>
      <c r="M843">
        <v>25</v>
      </c>
      <c r="N843" t="s">
        <v>41</v>
      </c>
      <c r="O843" t="s">
        <v>28</v>
      </c>
      <c r="P843">
        <f>FlipkartSales[[#This Row],[Price (INR)]]*FlipkartSales[[#This Row],[Quantity Sold]]</f>
        <v>18164.649999999998</v>
      </c>
      <c r="Q843">
        <f>FlipkartSales[[#This Row],[Total Sales (INR)]]-FlipkartSales[[#This Row],[Calculated Sales]]</f>
        <v>0</v>
      </c>
      <c r="R843" s="9">
        <f t="shared" si="104"/>
        <v>0.2</v>
      </c>
      <c r="S843">
        <f t="shared" si="105"/>
        <v>3632.9300000000003</v>
      </c>
      <c r="T843">
        <f t="shared" si="106"/>
        <v>726.58600000000001</v>
      </c>
      <c r="U843">
        <f t="shared" si="107"/>
        <v>8</v>
      </c>
      <c r="V843" t="str">
        <f t="shared" si="108"/>
        <v>Q3</v>
      </c>
      <c r="W843" t="str">
        <f t="shared" si="109"/>
        <v>Aug-2024</v>
      </c>
      <c r="X843">
        <f t="shared" si="110"/>
        <v>4541.1625000000004</v>
      </c>
      <c r="Y843" s="5">
        <f t="shared" si="111"/>
        <v>13623.487500000001</v>
      </c>
      <c r="Z843" s="21">
        <f>DATE(K843,MATCH(J843,{"January","February","March","April","May","June","July","August","September","October","November","December"},0),1)</f>
        <v>45505</v>
      </c>
    </row>
    <row r="844" spans="1:26" x14ac:dyDescent="0.3">
      <c r="A844" s="4" t="s">
        <v>912</v>
      </c>
      <c r="B844" s="4" t="s">
        <v>43</v>
      </c>
      <c r="C844" s="4" t="s">
        <v>40</v>
      </c>
      <c r="D844" s="5">
        <v>30519.71</v>
      </c>
      <c r="E844" s="6">
        <v>1</v>
      </c>
      <c r="F844" s="5">
        <v>30519.71</v>
      </c>
      <c r="G844" s="1">
        <v>45335</v>
      </c>
      <c r="H844" t="s">
        <v>80</v>
      </c>
      <c r="I844">
        <v>3.2</v>
      </c>
      <c r="J844" t="s">
        <v>59</v>
      </c>
      <c r="K844">
        <v>2024</v>
      </c>
      <c r="L844">
        <v>6103.942</v>
      </c>
      <c r="M844">
        <v>9</v>
      </c>
      <c r="N844" t="s">
        <v>41</v>
      </c>
      <c r="O844" t="s">
        <v>21</v>
      </c>
      <c r="P844">
        <f>FlipkartSales[[#This Row],[Price (INR)]]*FlipkartSales[[#This Row],[Quantity Sold]]</f>
        <v>30519.71</v>
      </c>
      <c r="Q844">
        <f>FlipkartSales[[#This Row],[Total Sales (INR)]]-FlipkartSales[[#This Row],[Calculated Sales]]</f>
        <v>0</v>
      </c>
      <c r="R844" s="9">
        <f t="shared" si="104"/>
        <v>0.2</v>
      </c>
      <c r="S844">
        <f t="shared" si="105"/>
        <v>30519.71</v>
      </c>
      <c r="T844">
        <f t="shared" si="106"/>
        <v>6103.942</v>
      </c>
      <c r="U844">
        <f t="shared" si="107"/>
        <v>2</v>
      </c>
      <c r="V844" t="str">
        <f t="shared" si="108"/>
        <v>Q1</v>
      </c>
      <c r="W844" t="str">
        <f t="shared" si="109"/>
        <v>Feb-2024</v>
      </c>
      <c r="X844">
        <f t="shared" si="110"/>
        <v>2746.7739000000001</v>
      </c>
      <c r="Y844" s="5">
        <f t="shared" si="111"/>
        <v>27772.936099999999</v>
      </c>
      <c r="Z844" s="21">
        <f>DATE(K844,MATCH(J844,{"January","February","March","April","May","June","July","August","September","October","November","December"},0),1)</f>
        <v>45323</v>
      </c>
    </row>
    <row r="845" spans="1:26" x14ac:dyDescent="0.3">
      <c r="A845" s="4" t="s">
        <v>913</v>
      </c>
      <c r="B845" s="4" t="s">
        <v>145</v>
      </c>
      <c r="C845" s="4" t="s">
        <v>40</v>
      </c>
      <c r="D845" s="5">
        <v>999.54</v>
      </c>
      <c r="E845" s="6">
        <v>3</v>
      </c>
      <c r="F845" s="5">
        <v>2998.62</v>
      </c>
      <c r="G845" s="1">
        <v>45660</v>
      </c>
      <c r="H845" t="s">
        <v>18</v>
      </c>
      <c r="I845">
        <v>3.2</v>
      </c>
      <c r="J845" t="s">
        <v>53</v>
      </c>
      <c r="K845">
        <v>2025</v>
      </c>
      <c r="L845">
        <v>599.72400000000005</v>
      </c>
      <c r="M845">
        <v>14</v>
      </c>
      <c r="N845" t="s">
        <v>41</v>
      </c>
      <c r="O845" t="s">
        <v>68</v>
      </c>
      <c r="P845">
        <f>FlipkartSales[[#This Row],[Price (INR)]]*FlipkartSales[[#This Row],[Quantity Sold]]</f>
        <v>2998.62</v>
      </c>
      <c r="Q845">
        <f>FlipkartSales[[#This Row],[Total Sales (INR)]]-FlipkartSales[[#This Row],[Calculated Sales]]</f>
        <v>0</v>
      </c>
      <c r="R845" s="9">
        <f t="shared" si="104"/>
        <v>0.2</v>
      </c>
      <c r="S845">
        <f t="shared" si="105"/>
        <v>999.54</v>
      </c>
      <c r="T845">
        <f t="shared" si="106"/>
        <v>199.90800000000002</v>
      </c>
      <c r="U845">
        <f t="shared" si="107"/>
        <v>1</v>
      </c>
      <c r="V845" t="str">
        <f t="shared" si="108"/>
        <v>Q1</v>
      </c>
      <c r="W845" t="str">
        <f t="shared" si="109"/>
        <v>Jan-2025</v>
      </c>
      <c r="X845">
        <f t="shared" si="110"/>
        <v>419.80680000000001</v>
      </c>
      <c r="Y845" s="5">
        <f t="shared" si="111"/>
        <v>2578.8132000000001</v>
      </c>
      <c r="Z845" s="21">
        <f>DATE(K845,MATCH(J845,{"January","February","March","April","May","June","July","August","September","October","November","December"},0),1)</f>
        <v>45658</v>
      </c>
    </row>
    <row r="846" spans="1:26" x14ac:dyDescent="0.3">
      <c r="A846" s="4" t="s">
        <v>914</v>
      </c>
      <c r="B846" s="4" t="s">
        <v>43</v>
      </c>
      <c r="C846" s="4" t="s">
        <v>40</v>
      </c>
      <c r="D846" s="5">
        <v>15481.49</v>
      </c>
      <c r="E846" s="6">
        <v>3</v>
      </c>
      <c r="F846" s="5">
        <v>46444.47</v>
      </c>
      <c r="G846" s="1">
        <v>45432</v>
      </c>
      <c r="H846" t="s">
        <v>44</v>
      </c>
      <c r="I846">
        <v>2.1</v>
      </c>
      <c r="J846" t="s">
        <v>32</v>
      </c>
      <c r="K846">
        <v>2024</v>
      </c>
      <c r="L846">
        <v>9288.8940000000002</v>
      </c>
      <c r="M846">
        <v>14</v>
      </c>
      <c r="N846" t="s">
        <v>20</v>
      </c>
      <c r="O846" t="s">
        <v>33</v>
      </c>
      <c r="P846">
        <f>FlipkartSales[[#This Row],[Price (INR)]]*FlipkartSales[[#This Row],[Quantity Sold]]</f>
        <v>46444.47</v>
      </c>
      <c r="Q846">
        <f>FlipkartSales[[#This Row],[Total Sales (INR)]]-FlipkartSales[[#This Row],[Calculated Sales]]</f>
        <v>0</v>
      </c>
      <c r="R846" s="9">
        <f t="shared" si="104"/>
        <v>0.2</v>
      </c>
      <c r="S846">
        <f t="shared" si="105"/>
        <v>15481.49</v>
      </c>
      <c r="T846">
        <f t="shared" si="106"/>
        <v>3096.2980000000002</v>
      </c>
      <c r="U846">
        <f t="shared" si="107"/>
        <v>5</v>
      </c>
      <c r="V846" t="str">
        <f t="shared" si="108"/>
        <v>Q2</v>
      </c>
      <c r="W846" t="str">
        <f t="shared" si="109"/>
        <v>May-2024</v>
      </c>
      <c r="X846">
        <f t="shared" si="110"/>
        <v>6502.2258000000011</v>
      </c>
      <c r="Y846" s="5">
        <f t="shared" si="111"/>
        <v>39942.244200000001</v>
      </c>
      <c r="Z846" s="21">
        <f>DATE(K846,MATCH(J846,{"January","February","March","April","May","June","July","August","September","October","November","December"},0),1)</f>
        <v>45413</v>
      </c>
    </row>
    <row r="847" spans="1:26" x14ac:dyDescent="0.3">
      <c r="A847" s="4" t="s">
        <v>915</v>
      </c>
      <c r="B847" s="4" t="s">
        <v>50</v>
      </c>
      <c r="C847" s="4" t="s">
        <v>40</v>
      </c>
      <c r="D847" s="5">
        <v>33814.720000000001</v>
      </c>
      <c r="E847" s="6">
        <v>2</v>
      </c>
      <c r="F847" s="5">
        <v>67629.440000000002</v>
      </c>
      <c r="G847" s="1">
        <v>45574</v>
      </c>
      <c r="H847" t="s">
        <v>80</v>
      </c>
      <c r="I847">
        <v>1.3</v>
      </c>
      <c r="J847" t="s">
        <v>45</v>
      </c>
      <c r="K847">
        <v>2024</v>
      </c>
      <c r="L847">
        <v>13525.888000000001</v>
      </c>
      <c r="M847">
        <v>23</v>
      </c>
      <c r="N847" t="s">
        <v>27</v>
      </c>
      <c r="O847" t="s">
        <v>21</v>
      </c>
      <c r="P847">
        <f>FlipkartSales[[#This Row],[Price (INR)]]*FlipkartSales[[#This Row],[Quantity Sold]]</f>
        <v>67629.440000000002</v>
      </c>
      <c r="Q847">
        <f>FlipkartSales[[#This Row],[Total Sales (INR)]]-FlipkartSales[[#This Row],[Calculated Sales]]</f>
        <v>0</v>
      </c>
      <c r="R847" s="9">
        <f t="shared" si="104"/>
        <v>0.2</v>
      </c>
      <c r="S847">
        <f t="shared" si="105"/>
        <v>33814.720000000001</v>
      </c>
      <c r="T847">
        <f t="shared" si="106"/>
        <v>6762.9440000000004</v>
      </c>
      <c r="U847">
        <f t="shared" si="107"/>
        <v>10</v>
      </c>
      <c r="V847" t="str">
        <f t="shared" si="108"/>
        <v>Q4</v>
      </c>
      <c r="W847" t="str">
        <f t="shared" si="109"/>
        <v>Oct-2024</v>
      </c>
      <c r="X847">
        <f t="shared" si="110"/>
        <v>15554.771200000001</v>
      </c>
      <c r="Y847" s="5">
        <f t="shared" si="111"/>
        <v>52074.668799999999</v>
      </c>
      <c r="Z847" s="21">
        <f>DATE(K847,MATCH(J847,{"January","February","March","April","May","June","July","August","September","October","November","December"},0),1)</f>
        <v>45566</v>
      </c>
    </row>
    <row r="848" spans="1:26" x14ac:dyDescent="0.3">
      <c r="A848" s="4" t="s">
        <v>916</v>
      </c>
      <c r="B848" s="4" t="s">
        <v>50</v>
      </c>
      <c r="C848" s="4" t="s">
        <v>40</v>
      </c>
      <c r="D848" s="5">
        <v>13559.39</v>
      </c>
      <c r="E848" s="6">
        <v>3</v>
      </c>
      <c r="F848" s="5">
        <v>40678.17</v>
      </c>
      <c r="G848" s="1">
        <v>45550</v>
      </c>
      <c r="H848" t="s">
        <v>80</v>
      </c>
      <c r="I848">
        <v>3.6</v>
      </c>
      <c r="J848" t="s">
        <v>19</v>
      </c>
      <c r="K848">
        <v>2024</v>
      </c>
      <c r="L848">
        <v>8135.634</v>
      </c>
      <c r="M848">
        <v>21</v>
      </c>
      <c r="N848" t="s">
        <v>41</v>
      </c>
      <c r="O848" t="s">
        <v>28</v>
      </c>
      <c r="P848">
        <f>FlipkartSales[[#This Row],[Price (INR)]]*FlipkartSales[[#This Row],[Quantity Sold]]</f>
        <v>40678.17</v>
      </c>
      <c r="Q848">
        <f>FlipkartSales[[#This Row],[Total Sales (INR)]]-FlipkartSales[[#This Row],[Calculated Sales]]</f>
        <v>0</v>
      </c>
      <c r="R848" s="9">
        <f t="shared" si="104"/>
        <v>0.2</v>
      </c>
      <c r="S848">
        <f t="shared" si="105"/>
        <v>13559.39</v>
      </c>
      <c r="T848">
        <f t="shared" si="106"/>
        <v>2711.8780000000002</v>
      </c>
      <c r="U848">
        <f t="shared" si="107"/>
        <v>9</v>
      </c>
      <c r="V848" t="str">
        <f t="shared" si="108"/>
        <v>Q3</v>
      </c>
      <c r="W848" t="str">
        <f t="shared" si="109"/>
        <v>Sep-2024</v>
      </c>
      <c r="X848">
        <f t="shared" si="110"/>
        <v>8542.4156999999996</v>
      </c>
      <c r="Y848" s="5">
        <f t="shared" si="111"/>
        <v>32135.754300000001</v>
      </c>
      <c r="Z848" s="21">
        <f>DATE(K848,MATCH(J848,{"January","February","March","April","May","June","July","August","September","October","November","December"},0),1)</f>
        <v>45536</v>
      </c>
    </row>
    <row r="849" spans="1:26" x14ac:dyDescent="0.3">
      <c r="A849" s="4" t="s">
        <v>917</v>
      </c>
      <c r="B849" s="4" t="s">
        <v>78</v>
      </c>
      <c r="C849" s="4" t="s">
        <v>24</v>
      </c>
      <c r="D849" s="5">
        <v>18461.509999999998</v>
      </c>
      <c r="E849" s="6">
        <v>3</v>
      </c>
      <c r="F849" s="5">
        <v>55384.53</v>
      </c>
      <c r="G849" s="1">
        <v>45549</v>
      </c>
      <c r="H849" t="s">
        <v>64</v>
      </c>
      <c r="I849">
        <v>4.4000000000000004</v>
      </c>
      <c r="J849" t="s">
        <v>19</v>
      </c>
      <c r="K849">
        <v>2024</v>
      </c>
      <c r="L849">
        <v>11076.906000000001</v>
      </c>
      <c r="M849">
        <v>25</v>
      </c>
      <c r="N849" t="s">
        <v>20</v>
      </c>
      <c r="O849" t="s">
        <v>68</v>
      </c>
      <c r="P849">
        <f>FlipkartSales[[#This Row],[Price (INR)]]*FlipkartSales[[#This Row],[Quantity Sold]]</f>
        <v>55384.53</v>
      </c>
      <c r="Q849">
        <f>FlipkartSales[[#This Row],[Total Sales (INR)]]-FlipkartSales[[#This Row],[Calculated Sales]]</f>
        <v>0</v>
      </c>
      <c r="R849" s="9">
        <f t="shared" si="104"/>
        <v>0.2</v>
      </c>
      <c r="S849">
        <f t="shared" si="105"/>
        <v>18461.509999999998</v>
      </c>
      <c r="T849">
        <f t="shared" si="106"/>
        <v>3692.3020000000001</v>
      </c>
      <c r="U849">
        <f t="shared" si="107"/>
        <v>9</v>
      </c>
      <c r="V849" t="str">
        <f t="shared" si="108"/>
        <v>Q3</v>
      </c>
      <c r="W849" t="str">
        <f t="shared" si="109"/>
        <v>Sep-2024</v>
      </c>
      <c r="X849">
        <f t="shared" si="110"/>
        <v>13846.1325</v>
      </c>
      <c r="Y849" s="5">
        <f t="shared" si="111"/>
        <v>41538.397499999999</v>
      </c>
      <c r="Z849" s="21">
        <f>DATE(K849,MATCH(J849,{"January","February","March","April","May","June","July","August","September","October","November","December"},0),1)</f>
        <v>45536</v>
      </c>
    </row>
    <row r="850" spans="1:26" x14ac:dyDescent="0.3">
      <c r="A850" s="4" t="s">
        <v>918</v>
      </c>
      <c r="B850" s="4" t="s">
        <v>66</v>
      </c>
      <c r="C850" s="4" t="s">
        <v>36</v>
      </c>
      <c r="D850" s="5">
        <v>22868.39</v>
      </c>
      <c r="E850" s="6">
        <v>4</v>
      </c>
      <c r="F850" s="5">
        <v>91473.56</v>
      </c>
      <c r="G850" s="1">
        <v>45446</v>
      </c>
      <c r="H850" t="s">
        <v>18</v>
      </c>
      <c r="I850">
        <v>1.3</v>
      </c>
      <c r="J850" t="s">
        <v>67</v>
      </c>
      <c r="K850">
        <v>2024</v>
      </c>
      <c r="L850">
        <v>18294.712</v>
      </c>
      <c r="M850">
        <v>18</v>
      </c>
      <c r="N850" t="s">
        <v>27</v>
      </c>
      <c r="O850" t="s">
        <v>33</v>
      </c>
      <c r="P850">
        <f>FlipkartSales[[#This Row],[Price (INR)]]*FlipkartSales[[#This Row],[Quantity Sold]]</f>
        <v>91473.56</v>
      </c>
      <c r="Q850">
        <f>FlipkartSales[[#This Row],[Total Sales (INR)]]-FlipkartSales[[#This Row],[Calculated Sales]]</f>
        <v>0</v>
      </c>
      <c r="R850" s="9">
        <f t="shared" si="104"/>
        <v>0.2</v>
      </c>
      <c r="S850">
        <f t="shared" si="105"/>
        <v>22868.39</v>
      </c>
      <c r="T850">
        <f t="shared" si="106"/>
        <v>4573.6779999999999</v>
      </c>
      <c r="U850">
        <f t="shared" si="107"/>
        <v>6</v>
      </c>
      <c r="V850" t="str">
        <f t="shared" si="108"/>
        <v>Q2</v>
      </c>
      <c r="W850" t="str">
        <f t="shared" si="109"/>
        <v>Jun-2024</v>
      </c>
      <c r="X850">
        <f t="shared" si="110"/>
        <v>16465.2408</v>
      </c>
      <c r="Y850" s="5">
        <f t="shared" si="111"/>
        <v>75008.319199999998</v>
      </c>
      <c r="Z850" s="21">
        <f>DATE(K850,MATCH(J850,{"January","February","March","April","May","June","July","August","September","October","November","December"},0),1)</f>
        <v>45444</v>
      </c>
    </row>
    <row r="851" spans="1:26" x14ac:dyDescent="0.3">
      <c r="A851" s="4" t="s">
        <v>919</v>
      </c>
      <c r="B851" s="4" t="s">
        <v>145</v>
      </c>
      <c r="C851" s="4" t="s">
        <v>40</v>
      </c>
      <c r="D851" s="5">
        <v>17795.7</v>
      </c>
      <c r="E851" s="6">
        <v>2</v>
      </c>
      <c r="F851" s="5">
        <v>35591.4</v>
      </c>
      <c r="G851" s="1">
        <v>45458</v>
      </c>
      <c r="H851" t="s">
        <v>64</v>
      </c>
      <c r="I851">
        <v>4.2</v>
      </c>
      <c r="J851" t="s">
        <v>67</v>
      </c>
      <c r="K851">
        <v>2024</v>
      </c>
      <c r="L851">
        <v>7118.2800000000007</v>
      </c>
      <c r="M851">
        <v>13</v>
      </c>
      <c r="N851" t="s">
        <v>20</v>
      </c>
      <c r="O851" t="s">
        <v>33</v>
      </c>
      <c r="P851">
        <f>FlipkartSales[[#This Row],[Price (INR)]]*FlipkartSales[[#This Row],[Quantity Sold]]</f>
        <v>35591.4</v>
      </c>
      <c r="Q851">
        <f>FlipkartSales[[#This Row],[Total Sales (INR)]]-FlipkartSales[[#This Row],[Calculated Sales]]</f>
        <v>0</v>
      </c>
      <c r="R851" s="9">
        <f t="shared" si="104"/>
        <v>0.2</v>
      </c>
      <c r="S851">
        <f t="shared" si="105"/>
        <v>17795.7</v>
      </c>
      <c r="T851">
        <f t="shared" si="106"/>
        <v>3559.1400000000003</v>
      </c>
      <c r="U851">
        <f t="shared" si="107"/>
        <v>6</v>
      </c>
      <c r="V851" t="str">
        <f t="shared" si="108"/>
        <v>Q2</v>
      </c>
      <c r="W851" t="str">
        <f t="shared" si="109"/>
        <v>Jun-2024</v>
      </c>
      <c r="X851">
        <f t="shared" si="110"/>
        <v>4626.8820000000005</v>
      </c>
      <c r="Y851" s="5">
        <f t="shared" si="111"/>
        <v>30964.518</v>
      </c>
      <c r="Z851" s="21">
        <f>DATE(K851,MATCH(J851,{"January","February","March","April","May","June","July","August","September","October","November","December"},0),1)</f>
        <v>45444</v>
      </c>
    </row>
    <row r="852" spans="1:26" x14ac:dyDescent="0.3">
      <c r="A852" s="4" t="s">
        <v>920</v>
      </c>
      <c r="B852" s="4" t="s">
        <v>58</v>
      </c>
      <c r="C852" s="4" t="s">
        <v>31</v>
      </c>
      <c r="D852" s="5">
        <v>20095.189999999999</v>
      </c>
      <c r="E852" s="6">
        <v>4</v>
      </c>
      <c r="F852" s="5">
        <v>80380.759999999995</v>
      </c>
      <c r="G852" s="1">
        <v>45670</v>
      </c>
      <c r="H852" t="s">
        <v>71</v>
      </c>
      <c r="I852">
        <v>2.7</v>
      </c>
      <c r="J852" t="s">
        <v>53</v>
      </c>
      <c r="K852">
        <v>2025</v>
      </c>
      <c r="L852">
        <v>16076.152</v>
      </c>
      <c r="M852">
        <v>18</v>
      </c>
      <c r="N852" t="s">
        <v>27</v>
      </c>
      <c r="O852" t="s">
        <v>21</v>
      </c>
      <c r="P852">
        <f>FlipkartSales[[#This Row],[Price (INR)]]*FlipkartSales[[#This Row],[Quantity Sold]]</f>
        <v>80380.759999999995</v>
      </c>
      <c r="Q852">
        <f>FlipkartSales[[#This Row],[Total Sales (INR)]]-FlipkartSales[[#This Row],[Calculated Sales]]</f>
        <v>0</v>
      </c>
      <c r="R852" s="9">
        <f t="shared" si="104"/>
        <v>0.2</v>
      </c>
      <c r="S852">
        <f t="shared" si="105"/>
        <v>20095.189999999999</v>
      </c>
      <c r="T852">
        <f t="shared" si="106"/>
        <v>4019.038</v>
      </c>
      <c r="U852">
        <f t="shared" si="107"/>
        <v>1</v>
      </c>
      <c r="V852" t="str">
        <f t="shared" si="108"/>
        <v>Q1</v>
      </c>
      <c r="W852" t="str">
        <f t="shared" si="109"/>
        <v>Jan-2025</v>
      </c>
      <c r="X852">
        <f t="shared" si="110"/>
        <v>14468.5368</v>
      </c>
      <c r="Y852" s="5">
        <f t="shared" si="111"/>
        <v>65912.223199999993</v>
      </c>
      <c r="Z852" s="21">
        <f>DATE(K852,MATCH(J852,{"January","February","March","April","May","June","July","August","September","October","November","December"},0),1)</f>
        <v>45658</v>
      </c>
    </row>
    <row r="853" spans="1:26" x14ac:dyDescent="0.3">
      <c r="A853" s="4" t="s">
        <v>921</v>
      </c>
      <c r="B853" s="4" t="s">
        <v>39</v>
      </c>
      <c r="C853" s="4" t="s">
        <v>40</v>
      </c>
      <c r="D853" s="5">
        <v>13998.81</v>
      </c>
      <c r="E853" s="6">
        <v>2</v>
      </c>
      <c r="F853" s="5">
        <v>27997.62</v>
      </c>
      <c r="G853" s="1">
        <v>45486</v>
      </c>
      <c r="H853" t="s">
        <v>80</v>
      </c>
      <c r="I853">
        <v>2.7</v>
      </c>
      <c r="J853" t="s">
        <v>48</v>
      </c>
      <c r="K853">
        <v>2024</v>
      </c>
      <c r="L853">
        <v>5599.5240000000003</v>
      </c>
      <c r="M853">
        <v>5</v>
      </c>
      <c r="N853" t="s">
        <v>20</v>
      </c>
      <c r="O853" t="s">
        <v>68</v>
      </c>
      <c r="P853">
        <f>FlipkartSales[[#This Row],[Price (INR)]]*FlipkartSales[[#This Row],[Quantity Sold]]</f>
        <v>27997.62</v>
      </c>
      <c r="Q853">
        <f>FlipkartSales[[#This Row],[Total Sales (INR)]]-FlipkartSales[[#This Row],[Calculated Sales]]</f>
        <v>0</v>
      </c>
      <c r="R853" s="9">
        <f t="shared" si="104"/>
        <v>0.2</v>
      </c>
      <c r="S853">
        <f t="shared" si="105"/>
        <v>13998.81</v>
      </c>
      <c r="T853">
        <f t="shared" si="106"/>
        <v>2799.7620000000002</v>
      </c>
      <c r="U853">
        <f t="shared" si="107"/>
        <v>7</v>
      </c>
      <c r="V853" t="str">
        <f t="shared" si="108"/>
        <v>Q3</v>
      </c>
      <c r="W853" t="str">
        <f t="shared" si="109"/>
        <v>Jul-2024</v>
      </c>
      <c r="X853">
        <f t="shared" si="110"/>
        <v>1399.8810000000001</v>
      </c>
      <c r="Y853" s="5">
        <f t="shared" si="111"/>
        <v>26597.738999999998</v>
      </c>
      <c r="Z853" s="21">
        <f>DATE(K853,MATCH(J853,{"January","February","March","April","May","June","July","August","September","October","November","December"},0),1)</f>
        <v>45474</v>
      </c>
    </row>
    <row r="854" spans="1:26" x14ac:dyDescent="0.3">
      <c r="A854" s="4" t="s">
        <v>922</v>
      </c>
      <c r="B854" s="4" t="s">
        <v>43</v>
      </c>
      <c r="C854" s="4" t="s">
        <v>40</v>
      </c>
      <c r="D854" s="5">
        <v>787.27</v>
      </c>
      <c r="E854" s="6">
        <v>3</v>
      </c>
      <c r="F854" s="5">
        <v>2361.81</v>
      </c>
      <c r="G854" s="1">
        <v>45388</v>
      </c>
      <c r="H854" t="s">
        <v>25</v>
      </c>
      <c r="I854">
        <v>2.1</v>
      </c>
      <c r="J854" t="s">
        <v>62</v>
      </c>
      <c r="K854">
        <v>2024</v>
      </c>
      <c r="L854">
        <v>472.36200000000002</v>
      </c>
      <c r="M854">
        <v>23</v>
      </c>
      <c r="N854" t="s">
        <v>27</v>
      </c>
      <c r="O854" t="s">
        <v>68</v>
      </c>
      <c r="P854">
        <f>FlipkartSales[[#This Row],[Price (INR)]]*FlipkartSales[[#This Row],[Quantity Sold]]</f>
        <v>2361.81</v>
      </c>
      <c r="Q854">
        <f>FlipkartSales[[#This Row],[Total Sales (INR)]]-FlipkartSales[[#This Row],[Calculated Sales]]</f>
        <v>0</v>
      </c>
      <c r="R854" s="9">
        <f t="shared" si="104"/>
        <v>0.2</v>
      </c>
      <c r="S854">
        <f t="shared" si="105"/>
        <v>787.27</v>
      </c>
      <c r="T854">
        <f t="shared" si="106"/>
        <v>157.45400000000001</v>
      </c>
      <c r="U854">
        <f t="shared" si="107"/>
        <v>4</v>
      </c>
      <c r="V854" t="str">
        <f t="shared" si="108"/>
        <v>Q2</v>
      </c>
      <c r="W854" t="str">
        <f t="shared" si="109"/>
        <v>Apr-2024</v>
      </c>
      <c r="X854">
        <f t="shared" si="110"/>
        <v>543.21629999999993</v>
      </c>
      <c r="Y854" s="5">
        <f t="shared" si="111"/>
        <v>1818.5936999999999</v>
      </c>
      <c r="Z854" s="21">
        <f>DATE(K854,MATCH(J854,{"January","February","March","April","May","June","July","August","September","October","November","December"},0),1)</f>
        <v>45383</v>
      </c>
    </row>
    <row r="855" spans="1:26" x14ac:dyDescent="0.3">
      <c r="A855" s="4" t="s">
        <v>923</v>
      </c>
      <c r="B855" s="4" t="s">
        <v>96</v>
      </c>
      <c r="C855" s="4" t="s">
        <v>36</v>
      </c>
      <c r="D855" s="5">
        <v>47363.199999999997</v>
      </c>
      <c r="E855" s="6">
        <v>3</v>
      </c>
      <c r="F855" s="5">
        <v>142089.60000000001</v>
      </c>
      <c r="G855" s="1">
        <v>45608</v>
      </c>
      <c r="H855" t="s">
        <v>71</v>
      </c>
      <c r="I855">
        <v>3.3</v>
      </c>
      <c r="J855" t="s">
        <v>37</v>
      </c>
      <c r="K855">
        <v>2024</v>
      </c>
      <c r="L855">
        <v>28417.920000000002</v>
      </c>
      <c r="M855">
        <v>17</v>
      </c>
      <c r="N855" t="s">
        <v>41</v>
      </c>
      <c r="O855" t="s">
        <v>68</v>
      </c>
      <c r="P855">
        <f>FlipkartSales[[#This Row],[Price (INR)]]*FlipkartSales[[#This Row],[Quantity Sold]]</f>
        <v>142089.59999999998</v>
      </c>
      <c r="Q855">
        <f>FlipkartSales[[#This Row],[Total Sales (INR)]]-FlipkartSales[[#This Row],[Calculated Sales]]</f>
        <v>0</v>
      </c>
      <c r="R855" s="9">
        <f t="shared" si="104"/>
        <v>0.2</v>
      </c>
      <c r="S855">
        <f t="shared" si="105"/>
        <v>47363.200000000004</v>
      </c>
      <c r="T855">
        <f t="shared" si="106"/>
        <v>9472.6400000000012</v>
      </c>
      <c r="U855">
        <f t="shared" si="107"/>
        <v>11</v>
      </c>
      <c r="V855" t="str">
        <f t="shared" si="108"/>
        <v>Q4</v>
      </c>
      <c r="W855" t="str">
        <f t="shared" si="109"/>
        <v>Nov-2024</v>
      </c>
      <c r="X855">
        <f t="shared" si="110"/>
        <v>24155.232000000004</v>
      </c>
      <c r="Y855" s="5">
        <f t="shared" si="111"/>
        <v>117934.368</v>
      </c>
      <c r="Z855" s="21">
        <f>DATE(K855,MATCH(J855,{"January","February","March","April","May","June","July","August","September","October","November","December"},0),1)</f>
        <v>45597</v>
      </c>
    </row>
    <row r="856" spans="1:26" x14ac:dyDescent="0.3">
      <c r="A856" s="4" t="s">
        <v>924</v>
      </c>
      <c r="B856" s="4" t="s">
        <v>47</v>
      </c>
      <c r="C856" s="4" t="s">
        <v>24</v>
      </c>
      <c r="D856" s="5">
        <v>9655.0300000000007</v>
      </c>
      <c r="E856" s="6">
        <v>4</v>
      </c>
      <c r="F856" s="5">
        <v>38620.120000000003</v>
      </c>
      <c r="G856" s="1">
        <v>45612</v>
      </c>
      <c r="H856" t="s">
        <v>71</v>
      </c>
      <c r="I856">
        <v>1.5</v>
      </c>
      <c r="J856" t="s">
        <v>37</v>
      </c>
      <c r="K856">
        <v>2024</v>
      </c>
      <c r="L856">
        <v>7724.0240000000013</v>
      </c>
      <c r="M856">
        <v>17</v>
      </c>
      <c r="N856" t="s">
        <v>27</v>
      </c>
      <c r="O856" t="s">
        <v>68</v>
      </c>
      <c r="P856">
        <f>FlipkartSales[[#This Row],[Price (INR)]]*FlipkartSales[[#This Row],[Quantity Sold]]</f>
        <v>38620.120000000003</v>
      </c>
      <c r="Q856">
        <f>FlipkartSales[[#This Row],[Total Sales (INR)]]-FlipkartSales[[#This Row],[Calculated Sales]]</f>
        <v>0</v>
      </c>
      <c r="R856" s="9">
        <f t="shared" si="104"/>
        <v>0.2</v>
      </c>
      <c r="S856">
        <f t="shared" si="105"/>
        <v>9655.0300000000007</v>
      </c>
      <c r="T856">
        <f t="shared" si="106"/>
        <v>1931.0060000000003</v>
      </c>
      <c r="U856">
        <f t="shared" si="107"/>
        <v>11</v>
      </c>
      <c r="V856" t="str">
        <f t="shared" si="108"/>
        <v>Q4</v>
      </c>
      <c r="W856" t="str">
        <f t="shared" si="109"/>
        <v>Nov-2024</v>
      </c>
      <c r="X856">
        <f t="shared" si="110"/>
        <v>6565.4204</v>
      </c>
      <c r="Y856" s="5">
        <f t="shared" si="111"/>
        <v>32054.699600000004</v>
      </c>
      <c r="Z856" s="21">
        <f>DATE(K856,MATCH(J856,{"January","February","March","April","May","June","July","August","September","October","November","December"},0),1)</f>
        <v>45597</v>
      </c>
    </row>
    <row r="857" spans="1:26" x14ac:dyDescent="0.3">
      <c r="A857" s="4" t="s">
        <v>925</v>
      </c>
      <c r="B857" s="4" t="s">
        <v>39</v>
      </c>
      <c r="C857" s="4" t="s">
        <v>40</v>
      </c>
      <c r="D857" s="5">
        <v>24151.49</v>
      </c>
      <c r="E857" s="6">
        <v>1</v>
      </c>
      <c r="F857" s="5">
        <v>24151.49</v>
      </c>
      <c r="G857" s="1">
        <v>45567</v>
      </c>
      <c r="H857" t="s">
        <v>25</v>
      </c>
      <c r="I857">
        <v>4.8</v>
      </c>
      <c r="J857" t="s">
        <v>45</v>
      </c>
      <c r="K857">
        <v>2024</v>
      </c>
      <c r="L857">
        <v>4830.2980000000007</v>
      </c>
      <c r="M857">
        <v>8</v>
      </c>
      <c r="N857" t="s">
        <v>20</v>
      </c>
      <c r="O857" t="s">
        <v>28</v>
      </c>
      <c r="P857">
        <f>FlipkartSales[[#This Row],[Price (INR)]]*FlipkartSales[[#This Row],[Quantity Sold]]</f>
        <v>24151.49</v>
      </c>
      <c r="Q857">
        <f>FlipkartSales[[#This Row],[Total Sales (INR)]]-FlipkartSales[[#This Row],[Calculated Sales]]</f>
        <v>0</v>
      </c>
      <c r="R857" s="9">
        <f t="shared" si="104"/>
        <v>0.2</v>
      </c>
      <c r="S857">
        <f t="shared" si="105"/>
        <v>24151.49</v>
      </c>
      <c r="T857">
        <f t="shared" si="106"/>
        <v>4830.2980000000007</v>
      </c>
      <c r="U857">
        <f t="shared" si="107"/>
        <v>10</v>
      </c>
      <c r="V857" t="str">
        <f t="shared" si="108"/>
        <v>Q4</v>
      </c>
      <c r="W857" t="str">
        <f t="shared" si="109"/>
        <v>Oct-2024</v>
      </c>
      <c r="X857">
        <f t="shared" si="110"/>
        <v>1932.1192000000001</v>
      </c>
      <c r="Y857" s="5">
        <f t="shared" si="111"/>
        <v>22219.370800000001</v>
      </c>
      <c r="Z857" s="21">
        <f>DATE(K857,MATCH(J857,{"January","February","March","April","May","June","July","August","September","October","November","December"},0),1)</f>
        <v>45566</v>
      </c>
    </row>
    <row r="858" spans="1:26" x14ac:dyDescent="0.3">
      <c r="A858" s="4" t="s">
        <v>926</v>
      </c>
      <c r="B858" s="4" t="s">
        <v>70</v>
      </c>
      <c r="C858" s="4" t="s">
        <v>17</v>
      </c>
      <c r="D858" s="5">
        <v>3697.32</v>
      </c>
      <c r="E858" s="6">
        <v>4</v>
      </c>
      <c r="F858" s="5">
        <v>14789.28</v>
      </c>
      <c r="G858" s="1">
        <v>45349</v>
      </c>
      <c r="H858" t="s">
        <v>25</v>
      </c>
      <c r="I858">
        <v>1.3</v>
      </c>
      <c r="J858" t="s">
        <v>59</v>
      </c>
      <c r="K858">
        <v>2024</v>
      </c>
      <c r="L858">
        <v>2957.8560000000002</v>
      </c>
      <c r="M858">
        <v>5</v>
      </c>
      <c r="N858" t="s">
        <v>20</v>
      </c>
      <c r="O858" t="s">
        <v>68</v>
      </c>
      <c r="P858">
        <f>FlipkartSales[[#This Row],[Price (INR)]]*FlipkartSales[[#This Row],[Quantity Sold]]</f>
        <v>14789.28</v>
      </c>
      <c r="Q858">
        <f>FlipkartSales[[#This Row],[Total Sales (INR)]]-FlipkartSales[[#This Row],[Calculated Sales]]</f>
        <v>0</v>
      </c>
      <c r="R858" s="9">
        <f t="shared" si="104"/>
        <v>0.2</v>
      </c>
      <c r="S858">
        <f t="shared" si="105"/>
        <v>3697.32</v>
      </c>
      <c r="T858">
        <f t="shared" si="106"/>
        <v>739.46400000000006</v>
      </c>
      <c r="U858">
        <f t="shared" si="107"/>
        <v>2</v>
      </c>
      <c r="V858" t="str">
        <f t="shared" si="108"/>
        <v>Q1</v>
      </c>
      <c r="W858" t="str">
        <f t="shared" si="109"/>
        <v>Feb-2024</v>
      </c>
      <c r="X858">
        <f t="shared" si="110"/>
        <v>739.46400000000006</v>
      </c>
      <c r="Y858" s="5">
        <f t="shared" si="111"/>
        <v>14049.816000000001</v>
      </c>
      <c r="Z858" s="21">
        <f>DATE(K858,MATCH(J858,{"January","February","March","April","May","June","July","August","September","October","November","December"},0),1)</f>
        <v>45323</v>
      </c>
    </row>
    <row r="859" spans="1:26" x14ac:dyDescent="0.3">
      <c r="A859" s="4" t="s">
        <v>927</v>
      </c>
      <c r="B859" s="4" t="s">
        <v>16</v>
      </c>
      <c r="C859" s="4" t="s">
        <v>17</v>
      </c>
      <c r="D859" s="5">
        <v>43840.04</v>
      </c>
      <c r="E859" s="6">
        <v>5</v>
      </c>
      <c r="F859" s="5">
        <v>219200.2</v>
      </c>
      <c r="G859" s="1">
        <v>45638</v>
      </c>
      <c r="H859" t="s">
        <v>71</v>
      </c>
      <c r="I859">
        <v>3</v>
      </c>
      <c r="J859" t="s">
        <v>26</v>
      </c>
      <c r="K859">
        <v>2024</v>
      </c>
      <c r="L859">
        <v>43840.040000000008</v>
      </c>
      <c r="M859">
        <v>21</v>
      </c>
      <c r="N859" t="s">
        <v>27</v>
      </c>
      <c r="O859" t="s">
        <v>33</v>
      </c>
      <c r="P859">
        <f>FlipkartSales[[#This Row],[Price (INR)]]*FlipkartSales[[#This Row],[Quantity Sold]]</f>
        <v>219200.2</v>
      </c>
      <c r="Q859">
        <f>FlipkartSales[[#This Row],[Total Sales (INR)]]-FlipkartSales[[#This Row],[Calculated Sales]]</f>
        <v>0</v>
      </c>
      <c r="R859" s="9">
        <f t="shared" si="104"/>
        <v>0.20000000000000004</v>
      </c>
      <c r="S859">
        <f t="shared" si="105"/>
        <v>43840.04</v>
      </c>
      <c r="T859">
        <f t="shared" si="106"/>
        <v>8768.0080000000016</v>
      </c>
      <c r="U859">
        <f t="shared" si="107"/>
        <v>12</v>
      </c>
      <c r="V859" t="str">
        <f t="shared" si="108"/>
        <v>Q4</v>
      </c>
      <c r="W859" t="str">
        <f t="shared" si="109"/>
        <v>Dec-2024</v>
      </c>
      <c r="X859">
        <f t="shared" si="110"/>
        <v>46032.042000000001</v>
      </c>
      <c r="Y859" s="5">
        <f t="shared" si="111"/>
        <v>173168.158</v>
      </c>
      <c r="Z859" s="21">
        <f>DATE(K859,MATCH(J859,{"January","February","March","April","May","June","July","August","September","October","November","December"},0),1)</f>
        <v>45627</v>
      </c>
    </row>
    <row r="860" spans="1:26" x14ac:dyDescent="0.3">
      <c r="A860" s="4" t="s">
        <v>928</v>
      </c>
      <c r="B860" s="4" t="s">
        <v>145</v>
      </c>
      <c r="C860" s="4" t="s">
        <v>40</v>
      </c>
      <c r="D860" s="5">
        <v>6494.62</v>
      </c>
      <c r="E860" s="6">
        <v>5</v>
      </c>
      <c r="F860" s="5">
        <v>32473.1</v>
      </c>
      <c r="G860" s="1">
        <v>45539</v>
      </c>
      <c r="H860" t="s">
        <v>25</v>
      </c>
      <c r="I860">
        <v>2.6</v>
      </c>
      <c r="J860" t="s">
        <v>19</v>
      </c>
      <c r="K860">
        <v>2024</v>
      </c>
      <c r="L860">
        <v>6494.62</v>
      </c>
      <c r="M860">
        <v>12</v>
      </c>
      <c r="N860" t="s">
        <v>41</v>
      </c>
      <c r="O860" t="s">
        <v>33</v>
      </c>
      <c r="P860">
        <f>FlipkartSales[[#This Row],[Price (INR)]]*FlipkartSales[[#This Row],[Quantity Sold]]</f>
        <v>32473.1</v>
      </c>
      <c r="Q860">
        <f>FlipkartSales[[#This Row],[Total Sales (INR)]]-FlipkartSales[[#This Row],[Calculated Sales]]</f>
        <v>0</v>
      </c>
      <c r="R860" s="9">
        <f t="shared" si="104"/>
        <v>0.2</v>
      </c>
      <c r="S860">
        <f t="shared" si="105"/>
        <v>6494.62</v>
      </c>
      <c r="T860">
        <f t="shared" si="106"/>
        <v>1298.924</v>
      </c>
      <c r="U860">
        <f t="shared" si="107"/>
        <v>9</v>
      </c>
      <c r="V860" t="str">
        <f t="shared" si="108"/>
        <v>Q3</v>
      </c>
      <c r="W860" t="str">
        <f t="shared" si="109"/>
        <v>Sep-2024</v>
      </c>
      <c r="X860">
        <f t="shared" si="110"/>
        <v>3896.7719999999995</v>
      </c>
      <c r="Y860" s="5">
        <f t="shared" si="111"/>
        <v>28576.327999999998</v>
      </c>
      <c r="Z860" s="21">
        <f>DATE(K860,MATCH(J860,{"January","February","March","April","May","June","July","August","September","October","November","December"},0),1)</f>
        <v>45536</v>
      </c>
    </row>
    <row r="861" spans="1:26" x14ac:dyDescent="0.3">
      <c r="A861" s="4" t="s">
        <v>929</v>
      </c>
      <c r="B861" s="4" t="s">
        <v>16</v>
      </c>
      <c r="C861" s="4" t="s">
        <v>17</v>
      </c>
      <c r="D861" s="5">
        <v>7761.67</v>
      </c>
      <c r="E861" s="6">
        <v>1</v>
      </c>
      <c r="F861" s="5">
        <v>7761.67</v>
      </c>
      <c r="G861" s="1">
        <v>45691</v>
      </c>
      <c r="H861" t="s">
        <v>25</v>
      </c>
      <c r="I861">
        <v>4.8</v>
      </c>
      <c r="J861" t="s">
        <v>59</v>
      </c>
      <c r="K861">
        <v>2025</v>
      </c>
      <c r="L861">
        <v>1552.3340000000001</v>
      </c>
      <c r="M861">
        <v>6</v>
      </c>
      <c r="N861" t="s">
        <v>41</v>
      </c>
      <c r="O861" t="s">
        <v>28</v>
      </c>
      <c r="P861">
        <f>FlipkartSales[[#This Row],[Price (INR)]]*FlipkartSales[[#This Row],[Quantity Sold]]</f>
        <v>7761.67</v>
      </c>
      <c r="Q861">
        <f>FlipkartSales[[#This Row],[Total Sales (INR)]]-FlipkartSales[[#This Row],[Calculated Sales]]</f>
        <v>0</v>
      </c>
      <c r="R861" s="9">
        <f t="shared" si="104"/>
        <v>0.2</v>
      </c>
      <c r="S861">
        <f t="shared" si="105"/>
        <v>7761.67</v>
      </c>
      <c r="T861">
        <f t="shared" si="106"/>
        <v>1552.3340000000001</v>
      </c>
      <c r="U861">
        <f t="shared" si="107"/>
        <v>2</v>
      </c>
      <c r="V861" t="str">
        <f t="shared" si="108"/>
        <v>Q1</v>
      </c>
      <c r="W861" t="str">
        <f t="shared" si="109"/>
        <v>Feb-2025</v>
      </c>
      <c r="X861">
        <f t="shared" si="110"/>
        <v>465.70020000000005</v>
      </c>
      <c r="Y861" s="5">
        <f t="shared" si="111"/>
        <v>7295.9697999999999</v>
      </c>
      <c r="Z861" s="21">
        <f>DATE(K861,MATCH(J861,{"January","February","March","April","May","June","July","August","September","October","November","December"},0),1)</f>
        <v>45689</v>
      </c>
    </row>
    <row r="862" spans="1:26" x14ac:dyDescent="0.3">
      <c r="A862" s="4" t="s">
        <v>930</v>
      </c>
      <c r="B862" s="4" t="s">
        <v>94</v>
      </c>
      <c r="C862" s="4" t="s">
        <v>31</v>
      </c>
      <c r="D862" s="5">
        <v>43300.52</v>
      </c>
      <c r="E862" s="6">
        <v>4</v>
      </c>
      <c r="F862" s="5">
        <v>173202.08</v>
      </c>
      <c r="G862" s="1">
        <v>45588</v>
      </c>
      <c r="H862" t="s">
        <v>64</v>
      </c>
      <c r="I862">
        <v>1.1000000000000001</v>
      </c>
      <c r="J862" t="s">
        <v>45</v>
      </c>
      <c r="K862">
        <v>2024</v>
      </c>
      <c r="L862">
        <v>34640.415999999997</v>
      </c>
      <c r="M862">
        <v>12</v>
      </c>
      <c r="N862" t="s">
        <v>27</v>
      </c>
      <c r="O862" t="s">
        <v>33</v>
      </c>
      <c r="P862">
        <f>FlipkartSales[[#This Row],[Price (INR)]]*FlipkartSales[[#This Row],[Quantity Sold]]</f>
        <v>173202.08</v>
      </c>
      <c r="Q862">
        <f>FlipkartSales[[#This Row],[Total Sales (INR)]]-FlipkartSales[[#This Row],[Calculated Sales]]</f>
        <v>0</v>
      </c>
      <c r="R862" s="9">
        <f t="shared" si="104"/>
        <v>0.2</v>
      </c>
      <c r="S862">
        <f t="shared" si="105"/>
        <v>43300.52</v>
      </c>
      <c r="T862">
        <f t="shared" si="106"/>
        <v>8660.1039999999994</v>
      </c>
      <c r="U862">
        <f t="shared" si="107"/>
        <v>10</v>
      </c>
      <c r="V862" t="str">
        <f t="shared" si="108"/>
        <v>Q4</v>
      </c>
      <c r="W862" t="str">
        <f t="shared" si="109"/>
        <v>Oct-2024</v>
      </c>
      <c r="X862">
        <f t="shared" si="110"/>
        <v>20784.249599999999</v>
      </c>
      <c r="Y862" s="5">
        <f t="shared" si="111"/>
        <v>152417.83039999998</v>
      </c>
      <c r="Z862" s="21">
        <f>DATE(K862,MATCH(J862,{"January","February","March","April","May","June","July","August","September","October","November","December"},0),1)</f>
        <v>45566</v>
      </c>
    </row>
    <row r="863" spans="1:26" x14ac:dyDescent="0.3">
      <c r="A863" s="4" t="s">
        <v>931</v>
      </c>
      <c r="B863" s="4" t="s">
        <v>145</v>
      </c>
      <c r="C863" s="4" t="s">
        <v>40</v>
      </c>
      <c r="D863" s="5">
        <v>36583.040000000001</v>
      </c>
      <c r="E863" s="6">
        <v>4</v>
      </c>
      <c r="F863" s="5">
        <v>146332.16</v>
      </c>
      <c r="G863" s="1">
        <v>45400</v>
      </c>
      <c r="H863" t="s">
        <v>64</v>
      </c>
      <c r="I863">
        <v>2</v>
      </c>
      <c r="J863" t="s">
        <v>62</v>
      </c>
      <c r="K863">
        <v>2024</v>
      </c>
      <c r="L863">
        <v>29266.432000000001</v>
      </c>
      <c r="M863">
        <v>11</v>
      </c>
      <c r="N863" t="s">
        <v>27</v>
      </c>
      <c r="O863" t="s">
        <v>33</v>
      </c>
      <c r="P863">
        <f>FlipkartSales[[#This Row],[Price (INR)]]*FlipkartSales[[#This Row],[Quantity Sold]]</f>
        <v>146332.16</v>
      </c>
      <c r="Q863">
        <f>FlipkartSales[[#This Row],[Total Sales (INR)]]-FlipkartSales[[#This Row],[Calculated Sales]]</f>
        <v>0</v>
      </c>
      <c r="R863" s="9">
        <f t="shared" si="104"/>
        <v>0.2</v>
      </c>
      <c r="S863">
        <f t="shared" si="105"/>
        <v>36583.040000000001</v>
      </c>
      <c r="T863">
        <f t="shared" si="106"/>
        <v>7316.6080000000002</v>
      </c>
      <c r="U863">
        <f t="shared" si="107"/>
        <v>4</v>
      </c>
      <c r="V863" t="str">
        <f t="shared" si="108"/>
        <v>Q2</v>
      </c>
      <c r="W863" t="str">
        <f t="shared" si="109"/>
        <v>Apr-2024</v>
      </c>
      <c r="X863">
        <f t="shared" si="110"/>
        <v>16096.5376</v>
      </c>
      <c r="Y863" s="5">
        <f t="shared" si="111"/>
        <v>130235.62240000001</v>
      </c>
      <c r="Z863" s="21">
        <f>DATE(K863,MATCH(J863,{"January","February","March","April","May","June","July","August","September","October","November","December"},0),1)</f>
        <v>45383</v>
      </c>
    </row>
    <row r="864" spans="1:26" x14ac:dyDescent="0.3">
      <c r="A864" s="4" t="s">
        <v>932</v>
      </c>
      <c r="B864" s="4" t="s">
        <v>35</v>
      </c>
      <c r="C864" s="4" t="s">
        <v>36</v>
      </c>
      <c r="D864" s="5">
        <v>43298.080000000002</v>
      </c>
      <c r="E864" s="6">
        <v>3</v>
      </c>
      <c r="F864" s="5">
        <v>129894.24</v>
      </c>
      <c r="G864" s="1">
        <v>45501</v>
      </c>
      <c r="H864" t="s">
        <v>25</v>
      </c>
      <c r="I864">
        <v>1.6</v>
      </c>
      <c r="J864" t="s">
        <v>48</v>
      </c>
      <c r="K864">
        <v>2024</v>
      </c>
      <c r="L864">
        <v>25978.848000000002</v>
      </c>
      <c r="M864">
        <v>30</v>
      </c>
      <c r="N864" t="s">
        <v>20</v>
      </c>
      <c r="O864" t="s">
        <v>68</v>
      </c>
      <c r="P864">
        <f>FlipkartSales[[#This Row],[Price (INR)]]*FlipkartSales[[#This Row],[Quantity Sold]]</f>
        <v>129894.24</v>
      </c>
      <c r="Q864">
        <f>FlipkartSales[[#This Row],[Total Sales (INR)]]-FlipkartSales[[#This Row],[Calculated Sales]]</f>
        <v>0</v>
      </c>
      <c r="R864" s="9">
        <f t="shared" si="104"/>
        <v>0.2</v>
      </c>
      <c r="S864">
        <f t="shared" si="105"/>
        <v>43298.080000000002</v>
      </c>
      <c r="T864">
        <f t="shared" si="106"/>
        <v>8659.616</v>
      </c>
      <c r="U864">
        <f t="shared" si="107"/>
        <v>7</v>
      </c>
      <c r="V864" t="str">
        <f t="shared" si="108"/>
        <v>Q3</v>
      </c>
      <c r="W864" t="str">
        <f t="shared" si="109"/>
        <v>Jul-2024</v>
      </c>
      <c r="X864">
        <f t="shared" si="110"/>
        <v>38968.272000000004</v>
      </c>
      <c r="Y864" s="5">
        <f t="shared" si="111"/>
        <v>90925.967999999993</v>
      </c>
      <c r="Z864" s="21">
        <f>DATE(K864,MATCH(J864,{"January","February","March","April","May","June","July","August","September","October","November","December"},0),1)</f>
        <v>45474</v>
      </c>
    </row>
    <row r="865" spans="1:26" x14ac:dyDescent="0.3">
      <c r="A865" s="4" t="s">
        <v>933</v>
      </c>
      <c r="B865" s="4" t="s">
        <v>125</v>
      </c>
      <c r="C865" s="4" t="s">
        <v>17</v>
      </c>
      <c r="D865" s="5">
        <v>47427.3</v>
      </c>
      <c r="E865" s="6">
        <v>5</v>
      </c>
      <c r="F865" s="5">
        <v>237136.5</v>
      </c>
      <c r="G865" s="1">
        <v>45380</v>
      </c>
      <c r="H865" t="s">
        <v>44</v>
      </c>
      <c r="I865">
        <v>4</v>
      </c>
      <c r="J865" t="s">
        <v>56</v>
      </c>
      <c r="K865">
        <v>2024</v>
      </c>
      <c r="L865">
        <v>47427.3</v>
      </c>
      <c r="M865">
        <v>30</v>
      </c>
      <c r="N865" t="s">
        <v>41</v>
      </c>
      <c r="O865" t="s">
        <v>33</v>
      </c>
      <c r="P865">
        <f>FlipkartSales[[#This Row],[Price (INR)]]*FlipkartSales[[#This Row],[Quantity Sold]]</f>
        <v>237136.5</v>
      </c>
      <c r="Q865">
        <f>FlipkartSales[[#This Row],[Total Sales (INR)]]-FlipkartSales[[#This Row],[Calculated Sales]]</f>
        <v>0</v>
      </c>
      <c r="R865" s="9">
        <f t="shared" si="104"/>
        <v>0.2</v>
      </c>
      <c r="S865">
        <f t="shared" si="105"/>
        <v>47427.3</v>
      </c>
      <c r="T865">
        <f t="shared" si="106"/>
        <v>9485.4600000000009</v>
      </c>
      <c r="U865">
        <f t="shared" si="107"/>
        <v>3</v>
      </c>
      <c r="V865" t="str">
        <f t="shared" si="108"/>
        <v>Q1</v>
      </c>
      <c r="W865" t="str">
        <f t="shared" si="109"/>
        <v>Mar-2024</v>
      </c>
      <c r="X865">
        <f t="shared" si="110"/>
        <v>71140.95</v>
      </c>
      <c r="Y865" s="5">
        <f t="shared" si="111"/>
        <v>165995.54999999999</v>
      </c>
      <c r="Z865" s="21">
        <f>DATE(K865,MATCH(J865,{"January","February","March","April","May","June","July","August","September","October","November","December"},0),1)</f>
        <v>45352</v>
      </c>
    </row>
    <row r="866" spans="1:26" x14ac:dyDescent="0.3">
      <c r="A866" s="4" t="s">
        <v>934</v>
      </c>
      <c r="B866" s="4" t="s">
        <v>66</v>
      </c>
      <c r="C866" s="4" t="s">
        <v>36</v>
      </c>
      <c r="D866" s="5">
        <v>32950.949999999997</v>
      </c>
      <c r="E866" s="6">
        <v>5</v>
      </c>
      <c r="F866" s="5">
        <v>164754.75</v>
      </c>
      <c r="G866" s="1">
        <v>45499</v>
      </c>
      <c r="H866" t="s">
        <v>80</v>
      </c>
      <c r="I866">
        <v>2.2000000000000002</v>
      </c>
      <c r="J866" t="s">
        <v>48</v>
      </c>
      <c r="K866">
        <v>2024</v>
      </c>
      <c r="L866">
        <v>32950.950000000004</v>
      </c>
      <c r="M866">
        <v>6</v>
      </c>
      <c r="N866" t="s">
        <v>27</v>
      </c>
      <c r="O866" t="s">
        <v>28</v>
      </c>
      <c r="P866">
        <f>FlipkartSales[[#This Row],[Price (INR)]]*FlipkartSales[[#This Row],[Quantity Sold]]</f>
        <v>164754.75</v>
      </c>
      <c r="Q866">
        <f>FlipkartSales[[#This Row],[Total Sales (INR)]]-FlipkartSales[[#This Row],[Calculated Sales]]</f>
        <v>0</v>
      </c>
      <c r="R866" s="9">
        <f t="shared" si="104"/>
        <v>0.20000000000000004</v>
      </c>
      <c r="S866">
        <f t="shared" si="105"/>
        <v>32950.949999999997</v>
      </c>
      <c r="T866">
        <f t="shared" si="106"/>
        <v>6590.1900000000005</v>
      </c>
      <c r="U866">
        <f t="shared" si="107"/>
        <v>7</v>
      </c>
      <c r="V866" t="str">
        <f t="shared" si="108"/>
        <v>Q3</v>
      </c>
      <c r="W866" t="str">
        <f t="shared" si="109"/>
        <v>Jul-2024</v>
      </c>
      <c r="X866">
        <f t="shared" si="110"/>
        <v>9885.2849999999999</v>
      </c>
      <c r="Y866" s="5">
        <f t="shared" si="111"/>
        <v>154869.465</v>
      </c>
      <c r="Z866" s="21">
        <f>DATE(K866,MATCH(J866,{"January","February","March","April","May","June","July","August","September","October","November","December"},0),1)</f>
        <v>45474</v>
      </c>
    </row>
    <row r="867" spans="1:26" x14ac:dyDescent="0.3">
      <c r="A867" s="4" t="s">
        <v>935</v>
      </c>
      <c r="B867" s="4" t="s">
        <v>30</v>
      </c>
      <c r="C867" s="4" t="s">
        <v>31</v>
      </c>
      <c r="D867" s="5">
        <v>14064.35</v>
      </c>
      <c r="E867" s="6">
        <v>2</v>
      </c>
      <c r="F867" s="5">
        <v>28128.7</v>
      </c>
      <c r="G867" s="1">
        <v>45401</v>
      </c>
      <c r="H867" t="s">
        <v>80</v>
      </c>
      <c r="I867">
        <v>2.9</v>
      </c>
      <c r="J867" t="s">
        <v>62</v>
      </c>
      <c r="K867">
        <v>2024</v>
      </c>
      <c r="L867">
        <v>5625.7400000000007</v>
      </c>
      <c r="M867">
        <v>26</v>
      </c>
      <c r="N867" t="s">
        <v>41</v>
      </c>
      <c r="O867" t="s">
        <v>68</v>
      </c>
      <c r="P867">
        <f>FlipkartSales[[#This Row],[Price (INR)]]*FlipkartSales[[#This Row],[Quantity Sold]]</f>
        <v>28128.7</v>
      </c>
      <c r="Q867">
        <f>FlipkartSales[[#This Row],[Total Sales (INR)]]-FlipkartSales[[#This Row],[Calculated Sales]]</f>
        <v>0</v>
      </c>
      <c r="R867" s="9">
        <f t="shared" si="104"/>
        <v>0.2</v>
      </c>
      <c r="S867">
        <f t="shared" si="105"/>
        <v>14064.35</v>
      </c>
      <c r="T867">
        <f t="shared" si="106"/>
        <v>2812.8700000000003</v>
      </c>
      <c r="U867">
        <f t="shared" si="107"/>
        <v>4</v>
      </c>
      <c r="V867" t="str">
        <f t="shared" si="108"/>
        <v>Q2</v>
      </c>
      <c r="W867" t="str">
        <f t="shared" si="109"/>
        <v>Apr-2024</v>
      </c>
      <c r="X867">
        <f t="shared" si="110"/>
        <v>7313.4620000000004</v>
      </c>
      <c r="Y867" s="5">
        <f t="shared" si="111"/>
        <v>20815.238000000001</v>
      </c>
      <c r="Z867" s="21">
        <f>DATE(K867,MATCH(J867,{"January","February","March","April","May","June","July","August","September","October","November","December"},0),1)</f>
        <v>45383</v>
      </c>
    </row>
    <row r="868" spans="1:26" x14ac:dyDescent="0.3">
      <c r="A868" s="4" t="s">
        <v>936</v>
      </c>
      <c r="B868" s="4" t="s">
        <v>61</v>
      </c>
      <c r="C868" s="4" t="s">
        <v>31</v>
      </c>
      <c r="D868" s="5">
        <v>49911.75</v>
      </c>
      <c r="E868" s="6">
        <v>3</v>
      </c>
      <c r="F868" s="5">
        <v>149735.25</v>
      </c>
      <c r="G868" s="1">
        <v>45430</v>
      </c>
      <c r="H868" t="s">
        <v>44</v>
      </c>
      <c r="I868">
        <v>3.1</v>
      </c>
      <c r="J868" t="s">
        <v>32</v>
      </c>
      <c r="K868">
        <v>2024</v>
      </c>
      <c r="L868">
        <v>29947.050000000003</v>
      </c>
      <c r="M868">
        <v>26</v>
      </c>
      <c r="N868" t="s">
        <v>27</v>
      </c>
      <c r="O868" t="s">
        <v>21</v>
      </c>
      <c r="P868">
        <f>FlipkartSales[[#This Row],[Price (INR)]]*FlipkartSales[[#This Row],[Quantity Sold]]</f>
        <v>149735.25</v>
      </c>
      <c r="Q868">
        <f>FlipkartSales[[#This Row],[Total Sales (INR)]]-FlipkartSales[[#This Row],[Calculated Sales]]</f>
        <v>0</v>
      </c>
      <c r="R868" s="9">
        <f t="shared" si="104"/>
        <v>0.2</v>
      </c>
      <c r="S868">
        <f t="shared" si="105"/>
        <v>49911.75</v>
      </c>
      <c r="T868">
        <f t="shared" si="106"/>
        <v>9982.35</v>
      </c>
      <c r="U868">
        <f t="shared" si="107"/>
        <v>5</v>
      </c>
      <c r="V868" t="str">
        <f t="shared" si="108"/>
        <v>Q2</v>
      </c>
      <c r="W868" t="str">
        <f t="shared" si="109"/>
        <v>May-2024</v>
      </c>
      <c r="X868">
        <f t="shared" si="110"/>
        <v>38931.165000000001</v>
      </c>
      <c r="Y868" s="5">
        <f t="shared" si="111"/>
        <v>110804.08499999999</v>
      </c>
      <c r="Z868" s="21">
        <f>DATE(K868,MATCH(J868,{"January","February","March","April","May","June","July","August","September","October","November","December"},0),1)</f>
        <v>45413</v>
      </c>
    </row>
    <row r="869" spans="1:26" x14ac:dyDescent="0.3">
      <c r="A869" s="4" t="s">
        <v>937</v>
      </c>
      <c r="B869" s="4" t="s">
        <v>107</v>
      </c>
      <c r="C869" s="4" t="s">
        <v>36</v>
      </c>
      <c r="D869" s="5">
        <v>40986.82</v>
      </c>
      <c r="E869" s="6">
        <v>3</v>
      </c>
      <c r="F869" s="5">
        <v>122960.46</v>
      </c>
      <c r="G869" s="1">
        <v>45679</v>
      </c>
      <c r="H869" t="s">
        <v>64</v>
      </c>
      <c r="I869">
        <v>3.5</v>
      </c>
      <c r="J869" t="s">
        <v>53</v>
      </c>
      <c r="K869">
        <v>2025</v>
      </c>
      <c r="L869">
        <v>24592.092000000004</v>
      </c>
      <c r="M869">
        <v>7</v>
      </c>
      <c r="N869" t="s">
        <v>27</v>
      </c>
      <c r="O869" t="s">
        <v>68</v>
      </c>
      <c r="P869">
        <f>FlipkartSales[[#This Row],[Price (INR)]]*FlipkartSales[[#This Row],[Quantity Sold]]</f>
        <v>122960.45999999999</v>
      </c>
      <c r="Q869">
        <f>FlipkartSales[[#This Row],[Total Sales (INR)]]-FlipkartSales[[#This Row],[Calculated Sales]]</f>
        <v>0</v>
      </c>
      <c r="R869" s="9">
        <f t="shared" si="104"/>
        <v>0.2</v>
      </c>
      <c r="S869">
        <f t="shared" si="105"/>
        <v>40986.82</v>
      </c>
      <c r="T869">
        <f t="shared" si="106"/>
        <v>8197.3640000000014</v>
      </c>
      <c r="U869">
        <f t="shared" si="107"/>
        <v>1</v>
      </c>
      <c r="V869" t="str">
        <f t="shared" si="108"/>
        <v>Q1</v>
      </c>
      <c r="W869" t="str">
        <f t="shared" si="109"/>
        <v>Jan-2025</v>
      </c>
      <c r="X869">
        <f t="shared" si="110"/>
        <v>8607.2322000000004</v>
      </c>
      <c r="Y869" s="5">
        <f t="shared" si="111"/>
        <v>114353.22780000001</v>
      </c>
      <c r="Z869" s="21">
        <f>DATE(K869,MATCH(J869,{"January","February","March","April","May","June","July","August","September","October","November","December"},0),1)</f>
        <v>45658</v>
      </c>
    </row>
    <row r="870" spans="1:26" x14ac:dyDescent="0.3">
      <c r="A870" s="4" t="s">
        <v>938</v>
      </c>
      <c r="B870" s="4" t="s">
        <v>145</v>
      </c>
      <c r="C870" s="4" t="s">
        <v>40</v>
      </c>
      <c r="D870" s="5">
        <v>32863.879999999997</v>
      </c>
      <c r="E870" s="6">
        <v>4</v>
      </c>
      <c r="F870" s="5">
        <v>131455.51999999999</v>
      </c>
      <c r="G870" s="1">
        <v>45366</v>
      </c>
      <c r="H870" t="s">
        <v>44</v>
      </c>
      <c r="I870">
        <v>4.9000000000000004</v>
      </c>
      <c r="J870" t="s">
        <v>56</v>
      </c>
      <c r="K870">
        <v>2024</v>
      </c>
      <c r="L870">
        <v>26291.103999999999</v>
      </c>
      <c r="M870">
        <v>22</v>
      </c>
      <c r="N870" t="s">
        <v>41</v>
      </c>
      <c r="O870" t="s">
        <v>28</v>
      </c>
      <c r="P870">
        <f>FlipkartSales[[#This Row],[Price (INR)]]*FlipkartSales[[#This Row],[Quantity Sold]]</f>
        <v>131455.51999999999</v>
      </c>
      <c r="Q870">
        <f>FlipkartSales[[#This Row],[Total Sales (INR)]]-FlipkartSales[[#This Row],[Calculated Sales]]</f>
        <v>0</v>
      </c>
      <c r="R870" s="9">
        <f t="shared" si="104"/>
        <v>0.2</v>
      </c>
      <c r="S870">
        <f t="shared" si="105"/>
        <v>32863.879999999997</v>
      </c>
      <c r="T870">
        <f t="shared" si="106"/>
        <v>6572.7759999999998</v>
      </c>
      <c r="U870">
        <f t="shared" si="107"/>
        <v>3</v>
      </c>
      <c r="V870" t="str">
        <f t="shared" si="108"/>
        <v>Q1</v>
      </c>
      <c r="W870" t="str">
        <f t="shared" si="109"/>
        <v>Mar-2024</v>
      </c>
      <c r="X870">
        <f t="shared" si="110"/>
        <v>28920.214400000001</v>
      </c>
      <c r="Y870" s="5">
        <f t="shared" si="111"/>
        <v>102535.30559999999</v>
      </c>
      <c r="Z870" s="21">
        <f>DATE(K870,MATCH(J870,{"January","February","March","April","May","June","July","August","September","October","November","December"},0),1)</f>
        <v>45352</v>
      </c>
    </row>
    <row r="871" spans="1:26" x14ac:dyDescent="0.3">
      <c r="A871" s="4" t="s">
        <v>939</v>
      </c>
      <c r="B871" s="4" t="s">
        <v>58</v>
      </c>
      <c r="C871" s="4" t="s">
        <v>31</v>
      </c>
      <c r="D871" s="5">
        <v>37424.589999999997</v>
      </c>
      <c r="E871" s="6">
        <v>4</v>
      </c>
      <c r="F871" s="5">
        <v>149698.35999999999</v>
      </c>
      <c r="G871" s="1">
        <v>45505</v>
      </c>
      <c r="H871" t="s">
        <v>80</v>
      </c>
      <c r="I871">
        <v>1.2</v>
      </c>
      <c r="J871" t="s">
        <v>88</v>
      </c>
      <c r="K871">
        <v>2024</v>
      </c>
      <c r="L871">
        <v>29939.671999999999</v>
      </c>
      <c r="M871">
        <v>16</v>
      </c>
      <c r="N871" t="s">
        <v>27</v>
      </c>
      <c r="O871" t="s">
        <v>68</v>
      </c>
      <c r="P871">
        <f>FlipkartSales[[#This Row],[Price (INR)]]*FlipkartSales[[#This Row],[Quantity Sold]]</f>
        <v>149698.35999999999</v>
      </c>
      <c r="Q871">
        <f>FlipkartSales[[#This Row],[Total Sales (INR)]]-FlipkartSales[[#This Row],[Calculated Sales]]</f>
        <v>0</v>
      </c>
      <c r="R871" s="9">
        <f t="shared" si="104"/>
        <v>0.2</v>
      </c>
      <c r="S871">
        <f t="shared" si="105"/>
        <v>37424.589999999997</v>
      </c>
      <c r="T871">
        <f t="shared" si="106"/>
        <v>7484.9179999999997</v>
      </c>
      <c r="U871">
        <f t="shared" si="107"/>
        <v>8</v>
      </c>
      <c r="V871" t="str">
        <f t="shared" si="108"/>
        <v>Q3</v>
      </c>
      <c r="W871" t="str">
        <f t="shared" si="109"/>
        <v>Aug-2024</v>
      </c>
      <c r="X871">
        <f t="shared" si="110"/>
        <v>23951.737599999997</v>
      </c>
      <c r="Y871" s="5">
        <f t="shared" si="111"/>
        <v>125746.62239999999</v>
      </c>
      <c r="Z871" s="21">
        <f>DATE(K871,MATCH(J871,{"January","February","March","April","May","June","July","August","September","October","November","December"},0),1)</f>
        <v>45505</v>
      </c>
    </row>
    <row r="872" spans="1:26" x14ac:dyDescent="0.3">
      <c r="A872" s="4" t="s">
        <v>940</v>
      </c>
      <c r="B872" s="4" t="s">
        <v>50</v>
      </c>
      <c r="C872" s="4" t="s">
        <v>40</v>
      </c>
      <c r="D872" s="5">
        <v>36930.76</v>
      </c>
      <c r="E872" s="6">
        <v>2</v>
      </c>
      <c r="F872" s="5">
        <v>73861.52</v>
      </c>
      <c r="G872" s="1">
        <v>45427</v>
      </c>
      <c r="H872" t="s">
        <v>18</v>
      </c>
      <c r="I872">
        <v>1.9</v>
      </c>
      <c r="J872" t="s">
        <v>32</v>
      </c>
      <c r="K872">
        <v>2024</v>
      </c>
      <c r="L872">
        <v>14772.304000000002</v>
      </c>
      <c r="M872">
        <v>5</v>
      </c>
      <c r="N872" t="s">
        <v>27</v>
      </c>
      <c r="O872" t="s">
        <v>68</v>
      </c>
      <c r="P872">
        <f>FlipkartSales[[#This Row],[Price (INR)]]*FlipkartSales[[#This Row],[Quantity Sold]]</f>
        <v>73861.52</v>
      </c>
      <c r="Q872">
        <f>FlipkartSales[[#This Row],[Total Sales (INR)]]-FlipkartSales[[#This Row],[Calculated Sales]]</f>
        <v>0</v>
      </c>
      <c r="R872" s="9">
        <f t="shared" si="104"/>
        <v>0.2</v>
      </c>
      <c r="S872">
        <f t="shared" si="105"/>
        <v>36930.76</v>
      </c>
      <c r="T872">
        <f t="shared" si="106"/>
        <v>7386.152000000001</v>
      </c>
      <c r="U872">
        <f t="shared" si="107"/>
        <v>5</v>
      </c>
      <c r="V872" t="str">
        <f t="shared" si="108"/>
        <v>Q2</v>
      </c>
      <c r="W872" t="str">
        <f t="shared" si="109"/>
        <v>May-2024</v>
      </c>
      <c r="X872">
        <f t="shared" si="110"/>
        <v>3693.0760000000005</v>
      </c>
      <c r="Y872" s="5">
        <f t="shared" si="111"/>
        <v>70168.444000000003</v>
      </c>
      <c r="Z872" s="21">
        <f>DATE(K872,MATCH(J872,{"January","February","March","April","May","June","July","August","September","October","November","December"},0),1)</f>
        <v>45413</v>
      </c>
    </row>
    <row r="873" spans="1:26" x14ac:dyDescent="0.3">
      <c r="A873" s="4" t="s">
        <v>941</v>
      </c>
      <c r="B873" s="4" t="s">
        <v>74</v>
      </c>
      <c r="C873" s="4" t="s">
        <v>17</v>
      </c>
      <c r="D873" s="5">
        <v>40379.730000000003</v>
      </c>
      <c r="E873" s="6">
        <v>1</v>
      </c>
      <c r="F873" s="5">
        <v>40379.730000000003</v>
      </c>
      <c r="G873" s="1">
        <v>45598</v>
      </c>
      <c r="H873" t="s">
        <v>64</v>
      </c>
      <c r="I873">
        <v>3.8</v>
      </c>
      <c r="J873" t="s">
        <v>37</v>
      </c>
      <c r="K873">
        <v>2024</v>
      </c>
      <c r="L873">
        <v>8075.9460000000008</v>
      </c>
      <c r="M873">
        <v>26</v>
      </c>
      <c r="N873" t="s">
        <v>20</v>
      </c>
      <c r="O873" t="s">
        <v>28</v>
      </c>
      <c r="P873">
        <f>FlipkartSales[[#This Row],[Price (INR)]]*FlipkartSales[[#This Row],[Quantity Sold]]</f>
        <v>40379.730000000003</v>
      </c>
      <c r="Q873">
        <f>FlipkartSales[[#This Row],[Total Sales (INR)]]-FlipkartSales[[#This Row],[Calculated Sales]]</f>
        <v>0</v>
      </c>
      <c r="R873" s="9">
        <f t="shared" si="104"/>
        <v>0.2</v>
      </c>
      <c r="S873">
        <f t="shared" si="105"/>
        <v>40379.730000000003</v>
      </c>
      <c r="T873">
        <f t="shared" si="106"/>
        <v>8075.9460000000008</v>
      </c>
      <c r="U873">
        <f t="shared" si="107"/>
        <v>11</v>
      </c>
      <c r="V873" t="str">
        <f t="shared" si="108"/>
        <v>Q4</v>
      </c>
      <c r="W873" t="str">
        <f t="shared" si="109"/>
        <v>Nov-2024</v>
      </c>
      <c r="X873">
        <f t="shared" si="110"/>
        <v>10498.729799999999</v>
      </c>
      <c r="Y873" s="5">
        <f t="shared" si="111"/>
        <v>29881.000200000002</v>
      </c>
      <c r="Z873" s="21">
        <f>DATE(K873,MATCH(J873,{"January","February","March","April","May","June","July","August","September","October","November","December"},0),1)</f>
        <v>45597</v>
      </c>
    </row>
    <row r="874" spans="1:26" x14ac:dyDescent="0.3">
      <c r="A874" s="4" t="s">
        <v>942</v>
      </c>
      <c r="B874" s="4" t="s">
        <v>78</v>
      </c>
      <c r="C874" s="4" t="s">
        <v>24</v>
      </c>
      <c r="D874" s="5">
        <v>16938.75</v>
      </c>
      <c r="E874" s="6">
        <v>5</v>
      </c>
      <c r="F874" s="5">
        <v>84693.75</v>
      </c>
      <c r="G874" s="1">
        <v>45351</v>
      </c>
      <c r="H874" t="s">
        <v>18</v>
      </c>
      <c r="I874">
        <v>3.2</v>
      </c>
      <c r="J874" t="s">
        <v>59</v>
      </c>
      <c r="K874">
        <v>2024</v>
      </c>
      <c r="L874">
        <v>16938.75</v>
      </c>
      <c r="M874">
        <v>16</v>
      </c>
      <c r="N874" t="s">
        <v>27</v>
      </c>
      <c r="O874" t="s">
        <v>68</v>
      </c>
      <c r="P874">
        <f>FlipkartSales[[#This Row],[Price (INR)]]*FlipkartSales[[#This Row],[Quantity Sold]]</f>
        <v>84693.75</v>
      </c>
      <c r="Q874">
        <f>FlipkartSales[[#This Row],[Total Sales (INR)]]-FlipkartSales[[#This Row],[Calculated Sales]]</f>
        <v>0</v>
      </c>
      <c r="R874" s="9">
        <f t="shared" si="104"/>
        <v>0.2</v>
      </c>
      <c r="S874">
        <f t="shared" si="105"/>
        <v>16938.75</v>
      </c>
      <c r="T874">
        <f t="shared" si="106"/>
        <v>3387.75</v>
      </c>
      <c r="U874">
        <f t="shared" si="107"/>
        <v>2</v>
      </c>
      <c r="V874" t="str">
        <f t="shared" si="108"/>
        <v>Q1</v>
      </c>
      <c r="W874" t="str">
        <f t="shared" si="109"/>
        <v>Feb-2024</v>
      </c>
      <c r="X874">
        <f t="shared" si="110"/>
        <v>13551</v>
      </c>
      <c r="Y874" s="5">
        <f t="shared" si="111"/>
        <v>71142.75</v>
      </c>
      <c r="Z874" s="21">
        <f>DATE(K874,MATCH(J874,{"January","February","March","April","May","June","July","August","September","October","November","December"},0),1)</f>
        <v>45323</v>
      </c>
    </row>
    <row r="875" spans="1:26" x14ac:dyDescent="0.3">
      <c r="A875" s="4" t="s">
        <v>943</v>
      </c>
      <c r="B875" s="4" t="s">
        <v>176</v>
      </c>
      <c r="C875" s="4" t="s">
        <v>24</v>
      </c>
      <c r="D875" s="5">
        <v>2415.3200000000002</v>
      </c>
      <c r="E875" s="6">
        <v>5</v>
      </c>
      <c r="F875" s="5">
        <v>12076.6</v>
      </c>
      <c r="G875" s="1">
        <v>45559</v>
      </c>
      <c r="H875" t="s">
        <v>64</v>
      </c>
      <c r="I875">
        <v>3.2</v>
      </c>
      <c r="J875" t="s">
        <v>19</v>
      </c>
      <c r="K875">
        <v>2024</v>
      </c>
      <c r="L875">
        <v>2415.3200000000002</v>
      </c>
      <c r="M875">
        <v>9</v>
      </c>
      <c r="N875" t="s">
        <v>27</v>
      </c>
      <c r="O875" t="s">
        <v>28</v>
      </c>
      <c r="P875">
        <f>FlipkartSales[[#This Row],[Price (INR)]]*FlipkartSales[[#This Row],[Quantity Sold]]</f>
        <v>12076.6</v>
      </c>
      <c r="Q875">
        <f>FlipkartSales[[#This Row],[Total Sales (INR)]]-FlipkartSales[[#This Row],[Calculated Sales]]</f>
        <v>0</v>
      </c>
      <c r="R875" s="9">
        <f t="shared" si="104"/>
        <v>0.2</v>
      </c>
      <c r="S875">
        <f t="shared" si="105"/>
        <v>2415.3200000000002</v>
      </c>
      <c r="T875">
        <f t="shared" si="106"/>
        <v>483.06400000000002</v>
      </c>
      <c r="U875">
        <f t="shared" si="107"/>
        <v>9</v>
      </c>
      <c r="V875" t="str">
        <f t="shared" si="108"/>
        <v>Q3</v>
      </c>
      <c r="W875" t="str">
        <f t="shared" si="109"/>
        <v>Sep-2024</v>
      </c>
      <c r="X875">
        <f t="shared" si="110"/>
        <v>1086.894</v>
      </c>
      <c r="Y875" s="5">
        <f t="shared" si="111"/>
        <v>10989.706</v>
      </c>
      <c r="Z875" s="21">
        <f>DATE(K875,MATCH(J875,{"January","February","March","April","May","June","July","August","September","October","November","December"},0),1)</f>
        <v>45536</v>
      </c>
    </row>
    <row r="876" spans="1:26" x14ac:dyDescent="0.3">
      <c r="A876" s="4" t="s">
        <v>944</v>
      </c>
      <c r="B876" s="4" t="s">
        <v>94</v>
      </c>
      <c r="C876" s="4" t="s">
        <v>31</v>
      </c>
      <c r="D876" s="5">
        <v>49127.14</v>
      </c>
      <c r="E876" s="6">
        <v>3</v>
      </c>
      <c r="F876" s="5">
        <v>147381.42000000001</v>
      </c>
      <c r="G876" s="1">
        <v>45535</v>
      </c>
      <c r="H876" t="s">
        <v>25</v>
      </c>
      <c r="I876">
        <v>1</v>
      </c>
      <c r="J876" t="s">
        <v>88</v>
      </c>
      <c r="K876">
        <v>2024</v>
      </c>
      <c r="L876">
        <v>29476.284000000003</v>
      </c>
      <c r="M876">
        <v>29</v>
      </c>
      <c r="N876" t="s">
        <v>27</v>
      </c>
      <c r="O876" t="s">
        <v>28</v>
      </c>
      <c r="P876">
        <f>FlipkartSales[[#This Row],[Price (INR)]]*FlipkartSales[[#This Row],[Quantity Sold]]</f>
        <v>147381.41999999998</v>
      </c>
      <c r="Q876">
        <f>FlipkartSales[[#This Row],[Total Sales (INR)]]-FlipkartSales[[#This Row],[Calculated Sales]]</f>
        <v>0</v>
      </c>
      <c r="R876" s="9">
        <f t="shared" si="104"/>
        <v>0.2</v>
      </c>
      <c r="S876">
        <f t="shared" si="105"/>
        <v>49127.140000000007</v>
      </c>
      <c r="T876">
        <f t="shared" si="106"/>
        <v>9825.4280000000017</v>
      </c>
      <c r="U876">
        <f t="shared" si="107"/>
        <v>8</v>
      </c>
      <c r="V876" t="str">
        <f t="shared" si="108"/>
        <v>Q3</v>
      </c>
      <c r="W876" t="str">
        <f t="shared" si="109"/>
        <v>Aug-2024</v>
      </c>
      <c r="X876">
        <f t="shared" si="110"/>
        <v>42740.611800000006</v>
      </c>
      <c r="Y876" s="5">
        <f t="shared" si="111"/>
        <v>104640.8082</v>
      </c>
      <c r="Z876" s="21">
        <f>DATE(K876,MATCH(J876,{"January","February","March","April","May","June","July","August","September","October","November","December"},0),1)</f>
        <v>45505</v>
      </c>
    </row>
    <row r="877" spans="1:26" x14ac:dyDescent="0.3">
      <c r="A877" s="4" t="s">
        <v>945</v>
      </c>
      <c r="B877" s="4" t="s">
        <v>52</v>
      </c>
      <c r="C877" s="4" t="s">
        <v>24</v>
      </c>
      <c r="D877" s="5">
        <v>1416.84</v>
      </c>
      <c r="E877" s="6">
        <v>3</v>
      </c>
      <c r="F877" s="5">
        <v>4250.5200000000004</v>
      </c>
      <c r="G877" s="1">
        <v>45450</v>
      </c>
      <c r="H877" t="s">
        <v>80</v>
      </c>
      <c r="I877">
        <v>1.8</v>
      </c>
      <c r="J877" t="s">
        <v>67</v>
      </c>
      <c r="K877">
        <v>2024</v>
      </c>
      <c r="L877">
        <v>850.10400000000016</v>
      </c>
      <c r="M877">
        <v>21</v>
      </c>
      <c r="N877" t="s">
        <v>20</v>
      </c>
      <c r="O877" t="s">
        <v>21</v>
      </c>
      <c r="P877">
        <f>FlipkartSales[[#This Row],[Price (INR)]]*FlipkartSales[[#This Row],[Quantity Sold]]</f>
        <v>4250.5199999999995</v>
      </c>
      <c r="Q877">
        <f>FlipkartSales[[#This Row],[Total Sales (INR)]]-FlipkartSales[[#This Row],[Calculated Sales]]</f>
        <v>0</v>
      </c>
      <c r="R877" s="9">
        <f t="shared" si="104"/>
        <v>0.2</v>
      </c>
      <c r="S877">
        <f t="shared" si="105"/>
        <v>1416.8400000000001</v>
      </c>
      <c r="T877">
        <f t="shared" si="106"/>
        <v>283.36800000000005</v>
      </c>
      <c r="U877">
        <f t="shared" si="107"/>
        <v>6</v>
      </c>
      <c r="V877" t="str">
        <f t="shared" si="108"/>
        <v>Q2</v>
      </c>
      <c r="W877" t="str">
        <f t="shared" si="109"/>
        <v>Jun-2024</v>
      </c>
      <c r="X877">
        <f t="shared" si="110"/>
        <v>892.6092000000001</v>
      </c>
      <c r="Y877" s="5">
        <f t="shared" si="111"/>
        <v>3357.9108000000006</v>
      </c>
      <c r="Z877" s="21">
        <f>DATE(K877,MATCH(J877,{"January","February","March","April","May","June","July","August","September","October","November","December"},0),1)</f>
        <v>45444</v>
      </c>
    </row>
    <row r="878" spans="1:26" x14ac:dyDescent="0.3">
      <c r="A878" s="4" t="s">
        <v>946</v>
      </c>
      <c r="B878" s="4" t="s">
        <v>94</v>
      </c>
      <c r="C878" s="4" t="s">
        <v>31</v>
      </c>
      <c r="D878" s="5">
        <v>21112.13</v>
      </c>
      <c r="E878" s="6">
        <v>3</v>
      </c>
      <c r="F878" s="5">
        <v>63336.39</v>
      </c>
      <c r="G878" s="1">
        <v>45526</v>
      </c>
      <c r="H878" t="s">
        <v>25</v>
      </c>
      <c r="I878">
        <v>1.9</v>
      </c>
      <c r="J878" t="s">
        <v>88</v>
      </c>
      <c r="K878">
        <v>2024</v>
      </c>
      <c r="L878">
        <v>12667.278</v>
      </c>
      <c r="M878">
        <v>20</v>
      </c>
      <c r="N878" t="s">
        <v>41</v>
      </c>
      <c r="O878" t="s">
        <v>33</v>
      </c>
      <c r="P878">
        <f>FlipkartSales[[#This Row],[Price (INR)]]*FlipkartSales[[#This Row],[Quantity Sold]]</f>
        <v>63336.39</v>
      </c>
      <c r="Q878">
        <f>FlipkartSales[[#This Row],[Total Sales (INR)]]-FlipkartSales[[#This Row],[Calculated Sales]]</f>
        <v>0</v>
      </c>
      <c r="R878" s="9">
        <f t="shared" si="104"/>
        <v>0.2</v>
      </c>
      <c r="S878">
        <f t="shared" si="105"/>
        <v>21112.13</v>
      </c>
      <c r="T878">
        <f t="shared" si="106"/>
        <v>4222.4260000000004</v>
      </c>
      <c r="U878">
        <f t="shared" si="107"/>
        <v>8</v>
      </c>
      <c r="V878" t="str">
        <f t="shared" si="108"/>
        <v>Q3</v>
      </c>
      <c r="W878" t="str">
        <f t="shared" si="109"/>
        <v>Aug-2024</v>
      </c>
      <c r="X878">
        <f t="shared" si="110"/>
        <v>12667.278</v>
      </c>
      <c r="Y878" s="5">
        <f t="shared" si="111"/>
        <v>50669.112000000001</v>
      </c>
      <c r="Z878" s="21">
        <f>DATE(K878,MATCH(J878,{"January","February","March","April","May","June","July","August","September","October","November","December"},0),1)</f>
        <v>45505</v>
      </c>
    </row>
    <row r="879" spans="1:26" x14ac:dyDescent="0.3">
      <c r="A879" s="4" t="s">
        <v>947</v>
      </c>
      <c r="B879" s="4" t="s">
        <v>61</v>
      </c>
      <c r="C879" s="4" t="s">
        <v>31</v>
      </c>
      <c r="D879" s="5">
        <v>13061.91</v>
      </c>
      <c r="E879" s="6">
        <v>5</v>
      </c>
      <c r="F879" s="5">
        <v>65309.55</v>
      </c>
      <c r="G879" s="1">
        <v>45589</v>
      </c>
      <c r="H879" t="s">
        <v>18</v>
      </c>
      <c r="I879">
        <v>1.9</v>
      </c>
      <c r="J879" t="s">
        <v>45</v>
      </c>
      <c r="K879">
        <v>2024</v>
      </c>
      <c r="L879">
        <v>13061.910000000002</v>
      </c>
      <c r="M879">
        <v>19</v>
      </c>
      <c r="N879" t="s">
        <v>20</v>
      </c>
      <c r="O879" t="s">
        <v>33</v>
      </c>
      <c r="P879">
        <f>FlipkartSales[[#This Row],[Price (INR)]]*FlipkartSales[[#This Row],[Quantity Sold]]</f>
        <v>65309.55</v>
      </c>
      <c r="Q879">
        <f>FlipkartSales[[#This Row],[Total Sales (INR)]]-FlipkartSales[[#This Row],[Calculated Sales]]</f>
        <v>0</v>
      </c>
      <c r="R879" s="9">
        <f t="shared" si="104"/>
        <v>0.2</v>
      </c>
      <c r="S879">
        <f t="shared" si="105"/>
        <v>13061.91</v>
      </c>
      <c r="T879">
        <f t="shared" si="106"/>
        <v>2612.3820000000005</v>
      </c>
      <c r="U879">
        <f t="shared" si="107"/>
        <v>10</v>
      </c>
      <c r="V879" t="str">
        <f t="shared" si="108"/>
        <v>Q4</v>
      </c>
      <c r="W879" t="str">
        <f t="shared" si="109"/>
        <v>Oct-2024</v>
      </c>
      <c r="X879">
        <f t="shared" si="110"/>
        <v>12408.8145</v>
      </c>
      <c r="Y879" s="5">
        <f t="shared" si="111"/>
        <v>52900.735500000003</v>
      </c>
      <c r="Z879" s="21">
        <f>DATE(K879,MATCH(J879,{"January","February","March","April","May","June","July","August","September","October","November","December"},0),1)</f>
        <v>45566</v>
      </c>
    </row>
    <row r="880" spans="1:26" x14ac:dyDescent="0.3">
      <c r="A880" s="4" t="s">
        <v>948</v>
      </c>
      <c r="B880" s="4" t="s">
        <v>125</v>
      </c>
      <c r="C880" s="4" t="s">
        <v>17</v>
      </c>
      <c r="D880" s="5">
        <v>7465.89</v>
      </c>
      <c r="E880" s="6">
        <v>5</v>
      </c>
      <c r="F880" s="5">
        <v>37329.449999999997</v>
      </c>
      <c r="G880" s="1">
        <v>45379</v>
      </c>
      <c r="H880" t="s">
        <v>18</v>
      </c>
      <c r="I880">
        <v>4.4000000000000004</v>
      </c>
      <c r="J880" t="s">
        <v>56</v>
      </c>
      <c r="K880">
        <v>2024</v>
      </c>
      <c r="L880">
        <v>7465.8899999999994</v>
      </c>
      <c r="M880">
        <v>27</v>
      </c>
      <c r="N880" t="s">
        <v>20</v>
      </c>
      <c r="O880" t="s">
        <v>68</v>
      </c>
      <c r="P880">
        <f>FlipkartSales[[#This Row],[Price (INR)]]*FlipkartSales[[#This Row],[Quantity Sold]]</f>
        <v>37329.450000000004</v>
      </c>
      <c r="Q880">
        <f>FlipkartSales[[#This Row],[Total Sales (INR)]]-FlipkartSales[[#This Row],[Calculated Sales]]</f>
        <v>0</v>
      </c>
      <c r="R880" s="9">
        <f t="shared" si="104"/>
        <v>0.2</v>
      </c>
      <c r="S880">
        <f t="shared" si="105"/>
        <v>7465.8899999999994</v>
      </c>
      <c r="T880">
        <f t="shared" si="106"/>
        <v>1493.1779999999999</v>
      </c>
      <c r="U880">
        <f t="shared" si="107"/>
        <v>3</v>
      </c>
      <c r="V880" t="str">
        <f t="shared" si="108"/>
        <v>Q1</v>
      </c>
      <c r="W880" t="str">
        <f t="shared" si="109"/>
        <v>Mar-2024</v>
      </c>
      <c r="X880">
        <f t="shared" si="110"/>
        <v>10078.951499999999</v>
      </c>
      <c r="Y880" s="5">
        <f t="shared" si="111"/>
        <v>27250.498499999998</v>
      </c>
      <c r="Z880" s="21">
        <f>DATE(K880,MATCH(J880,{"January","February","March","April","May","June","July","August","September","October","November","December"},0),1)</f>
        <v>45352</v>
      </c>
    </row>
    <row r="881" spans="1:26" x14ac:dyDescent="0.3">
      <c r="A881" s="4" t="s">
        <v>949</v>
      </c>
      <c r="B881" s="4" t="s">
        <v>118</v>
      </c>
      <c r="C881" s="4" t="s">
        <v>17</v>
      </c>
      <c r="D881" s="5">
        <v>38005.050000000003</v>
      </c>
      <c r="E881" s="6">
        <v>1</v>
      </c>
      <c r="F881" s="5">
        <v>38005.050000000003</v>
      </c>
      <c r="G881" s="1">
        <v>45658</v>
      </c>
      <c r="H881" t="s">
        <v>25</v>
      </c>
      <c r="I881">
        <v>4</v>
      </c>
      <c r="J881" t="s">
        <v>53</v>
      </c>
      <c r="K881">
        <v>2025</v>
      </c>
      <c r="L881">
        <v>7601.0100000000011</v>
      </c>
      <c r="M881">
        <v>19</v>
      </c>
      <c r="N881" t="s">
        <v>41</v>
      </c>
      <c r="O881" t="s">
        <v>68</v>
      </c>
      <c r="P881">
        <f>FlipkartSales[[#This Row],[Price (INR)]]*FlipkartSales[[#This Row],[Quantity Sold]]</f>
        <v>38005.050000000003</v>
      </c>
      <c r="Q881">
        <f>FlipkartSales[[#This Row],[Total Sales (INR)]]-FlipkartSales[[#This Row],[Calculated Sales]]</f>
        <v>0</v>
      </c>
      <c r="R881" s="9">
        <f t="shared" si="104"/>
        <v>0.2</v>
      </c>
      <c r="S881">
        <f t="shared" si="105"/>
        <v>38005.050000000003</v>
      </c>
      <c r="T881">
        <f t="shared" si="106"/>
        <v>7601.0100000000011</v>
      </c>
      <c r="U881">
        <f t="shared" si="107"/>
        <v>1</v>
      </c>
      <c r="V881" t="str">
        <f t="shared" si="108"/>
        <v>Q1</v>
      </c>
      <c r="W881" t="str">
        <f t="shared" si="109"/>
        <v>Jan-2025</v>
      </c>
      <c r="X881">
        <f t="shared" si="110"/>
        <v>7220.9595000000008</v>
      </c>
      <c r="Y881" s="5">
        <f t="shared" si="111"/>
        <v>30784.090500000002</v>
      </c>
      <c r="Z881" s="21">
        <f>DATE(K881,MATCH(J881,{"January","February","March","April","May","June","July","August","September","October","November","December"},0),1)</f>
        <v>45658</v>
      </c>
    </row>
    <row r="882" spans="1:26" x14ac:dyDescent="0.3">
      <c r="A882" s="4" t="s">
        <v>950</v>
      </c>
      <c r="B882" s="4" t="s">
        <v>78</v>
      </c>
      <c r="C882" s="4" t="s">
        <v>24</v>
      </c>
      <c r="D882" s="5">
        <v>42307.18</v>
      </c>
      <c r="E882" s="6">
        <v>5</v>
      </c>
      <c r="F882" s="5">
        <v>211535.9</v>
      </c>
      <c r="G882" s="1">
        <v>45525</v>
      </c>
      <c r="H882" t="s">
        <v>64</v>
      </c>
      <c r="I882">
        <v>4.0999999999999996</v>
      </c>
      <c r="J882" t="s">
        <v>88</v>
      </c>
      <c r="K882">
        <v>2024</v>
      </c>
      <c r="L882">
        <v>42307.18</v>
      </c>
      <c r="M882">
        <v>9</v>
      </c>
      <c r="N882" t="s">
        <v>20</v>
      </c>
      <c r="O882" t="s">
        <v>21</v>
      </c>
      <c r="P882">
        <f>FlipkartSales[[#This Row],[Price (INR)]]*FlipkartSales[[#This Row],[Quantity Sold]]</f>
        <v>211535.9</v>
      </c>
      <c r="Q882">
        <f>FlipkartSales[[#This Row],[Total Sales (INR)]]-FlipkartSales[[#This Row],[Calculated Sales]]</f>
        <v>0</v>
      </c>
      <c r="R882" s="9">
        <f t="shared" si="104"/>
        <v>0.2</v>
      </c>
      <c r="S882">
        <f t="shared" si="105"/>
        <v>42307.18</v>
      </c>
      <c r="T882">
        <f t="shared" si="106"/>
        <v>8461.4359999999997</v>
      </c>
      <c r="U882">
        <f t="shared" si="107"/>
        <v>8</v>
      </c>
      <c r="V882" t="str">
        <f t="shared" si="108"/>
        <v>Q3</v>
      </c>
      <c r="W882" t="str">
        <f t="shared" si="109"/>
        <v>Aug-2024</v>
      </c>
      <c r="X882">
        <f t="shared" si="110"/>
        <v>19038.231</v>
      </c>
      <c r="Y882" s="5">
        <f t="shared" si="111"/>
        <v>192497.66899999999</v>
      </c>
      <c r="Z882" s="21">
        <f>DATE(K882,MATCH(J882,{"January","February","March","April","May","June","July","August","September","October","November","December"},0),1)</f>
        <v>45505</v>
      </c>
    </row>
    <row r="883" spans="1:26" x14ac:dyDescent="0.3">
      <c r="A883" s="4" t="s">
        <v>951</v>
      </c>
      <c r="B883" s="4" t="s">
        <v>43</v>
      </c>
      <c r="C883" s="4" t="s">
        <v>40</v>
      </c>
      <c r="D883" s="5">
        <v>28727.4</v>
      </c>
      <c r="E883" s="6">
        <v>3</v>
      </c>
      <c r="F883" s="5">
        <v>86182.2</v>
      </c>
      <c r="G883" s="1">
        <v>45434</v>
      </c>
      <c r="H883" t="s">
        <v>64</v>
      </c>
      <c r="I883">
        <v>4.7</v>
      </c>
      <c r="J883" t="s">
        <v>32</v>
      </c>
      <c r="K883">
        <v>2024</v>
      </c>
      <c r="L883">
        <v>17236.439999999999</v>
      </c>
      <c r="M883">
        <v>25</v>
      </c>
      <c r="N883" t="s">
        <v>41</v>
      </c>
      <c r="O883" t="s">
        <v>21</v>
      </c>
      <c r="P883">
        <f>FlipkartSales[[#This Row],[Price (INR)]]*FlipkartSales[[#This Row],[Quantity Sold]]</f>
        <v>86182.200000000012</v>
      </c>
      <c r="Q883">
        <f>FlipkartSales[[#This Row],[Total Sales (INR)]]-FlipkartSales[[#This Row],[Calculated Sales]]</f>
        <v>0</v>
      </c>
      <c r="R883" s="9">
        <f t="shared" si="104"/>
        <v>0.19999999999999998</v>
      </c>
      <c r="S883">
        <f t="shared" si="105"/>
        <v>28727.399999999998</v>
      </c>
      <c r="T883">
        <f t="shared" si="106"/>
        <v>5745.48</v>
      </c>
      <c r="U883">
        <f t="shared" si="107"/>
        <v>5</v>
      </c>
      <c r="V883" t="str">
        <f t="shared" si="108"/>
        <v>Q2</v>
      </c>
      <c r="W883" t="str">
        <f t="shared" si="109"/>
        <v>May-2024</v>
      </c>
      <c r="X883">
        <f t="shared" si="110"/>
        <v>21545.55</v>
      </c>
      <c r="Y883" s="5">
        <f t="shared" si="111"/>
        <v>64636.649999999994</v>
      </c>
      <c r="Z883" s="21">
        <f>DATE(K883,MATCH(J883,{"January","February","March","April","May","June","July","August","September","October","November","December"},0),1)</f>
        <v>45413</v>
      </c>
    </row>
    <row r="884" spans="1:26" x14ac:dyDescent="0.3">
      <c r="A884" s="4" t="s">
        <v>952</v>
      </c>
      <c r="B884" s="4" t="s">
        <v>94</v>
      </c>
      <c r="C884" s="4" t="s">
        <v>31</v>
      </c>
      <c r="D884" s="5">
        <v>8465.2800000000007</v>
      </c>
      <c r="E884" s="6">
        <v>3</v>
      </c>
      <c r="F884" s="5">
        <v>25395.84</v>
      </c>
      <c r="G884" s="1">
        <v>45638</v>
      </c>
      <c r="H884" t="s">
        <v>71</v>
      </c>
      <c r="I884">
        <v>1.8</v>
      </c>
      <c r="J884" t="s">
        <v>26</v>
      </c>
      <c r="K884">
        <v>2024</v>
      </c>
      <c r="L884">
        <v>5079.1680000000006</v>
      </c>
      <c r="M884">
        <v>18</v>
      </c>
      <c r="N884" t="s">
        <v>20</v>
      </c>
      <c r="O884" t="s">
        <v>21</v>
      </c>
      <c r="P884">
        <f>FlipkartSales[[#This Row],[Price (INR)]]*FlipkartSales[[#This Row],[Quantity Sold]]</f>
        <v>25395.840000000004</v>
      </c>
      <c r="Q884">
        <f>FlipkartSales[[#This Row],[Total Sales (INR)]]-FlipkartSales[[#This Row],[Calculated Sales]]</f>
        <v>0</v>
      </c>
      <c r="R884" s="9">
        <f t="shared" si="104"/>
        <v>0.2</v>
      </c>
      <c r="S884">
        <f t="shared" si="105"/>
        <v>8465.2800000000007</v>
      </c>
      <c r="T884">
        <f t="shared" si="106"/>
        <v>1693.0560000000003</v>
      </c>
      <c r="U884">
        <f t="shared" si="107"/>
        <v>12</v>
      </c>
      <c r="V884" t="str">
        <f t="shared" si="108"/>
        <v>Q4</v>
      </c>
      <c r="W884" t="str">
        <f t="shared" si="109"/>
        <v>Dec-2024</v>
      </c>
      <c r="X884">
        <f t="shared" si="110"/>
        <v>4571.2511999999997</v>
      </c>
      <c r="Y884" s="5">
        <f t="shared" si="111"/>
        <v>20824.588800000001</v>
      </c>
      <c r="Z884" s="21">
        <f>DATE(K884,MATCH(J884,{"January","February","March","April","May","June","July","August","September","October","November","December"},0),1)</f>
        <v>45627</v>
      </c>
    </row>
    <row r="885" spans="1:26" x14ac:dyDescent="0.3">
      <c r="A885" s="4" t="s">
        <v>953</v>
      </c>
      <c r="B885" s="4" t="s">
        <v>74</v>
      </c>
      <c r="C885" s="4" t="s">
        <v>17</v>
      </c>
      <c r="D885" s="5">
        <v>17194.75</v>
      </c>
      <c r="E885" s="6">
        <v>3</v>
      </c>
      <c r="F885" s="5">
        <v>51584.25</v>
      </c>
      <c r="G885" s="1">
        <v>45427</v>
      </c>
      <c r="H885" t="s">
        <v>44</v>
      </c>
      <c r="I885">
        <v>1.9</v>
      </c>
      <c r="J885" t="s">
        <v>32</v>
      </c>
      <c r="K885">
        <v>2024</v>
      </c>
      <c r="L885">
        <v>10316.85</v>
      </c>
      <c r="M885">
        <v>6</v>
      </c>
      <c r="N885" t="s">
        <v>41</v>
      </c>
      <c r="O885" t="s">
        <v>28</v>
      </c>
      <c r="P885">
        <f>FlipkartSales[[#This Row],[Price (INR)]]*FlipkartSales[[#This Row],[Quantity Sold]]</f>
        <v>51584.25</v>
      </c>
      <c r="Q885">
        <f>FlipkartSales[[#This Row],[Total Sales (INR)]]-FlipkartSales[[#This Row],[Calculated Sales]]</f>
        <v>0</v>
      </c>
      <c r="R885" s="9">
        <f t="shared" si="104"/>
        <v>0.2</v>
      </c>
      <c r="S885">
        <f t="shared" si="105"/>
        <v>17194.75</v>
      </c>
      <c r="T885">
        <f t="shared" si="106"/>
        <v>3438.9500000000003</v>
      </c>
      <c r="U885">
        <f t="shared" si="107"/>
        <v>5</v>
      </c>
      <c r="V885" t="str">
        <f t="shared" si="108"/>
        <v>Q2</v>
      </c>
      <c r="W885" t="str">
        <f t="shared" si="109"/>
        <v>May-2024</v>
      </c>
      <c r="X885">
        <f t="shared" si="110"/>
        <v>3095.0549999999998</v>
      </c>
      <c r="Y885" s="5">
        <f t="shared" si="111"/>
        <v>48489.195</v>
      </c>
      <c r="Z885" s="21">
        <f>DATE(K885,MATCH(J885,{"January","February","March","April","May","June","July","August","September","October","November","December"},0),1)</f>
        <v>45413</v>
      </c>
    </row>
    <row r="886" spans="1:26" x14ac:dyDescent="0.3">
      <c r="A886" s="4" t="s">
        <v>954</v>
      </c>
      <c r="B886" s="4" t="s">
        <v>47</v>
      </c>
      <c r="C886" s="4" t="s">
        <v>24</v>
      </c>
      <c r="D886" s="5">
        <v>26550.66</v>
      </c>
      <c r="E886" s="6">
        <v>4</v>
      </c>
      <c r="F886" s="5">
        <v>106202.64</v>
      </c>
      <c r="G886" s="1">
        <v>45360</v>
      </c>
      <c r="H886" t="s">
        <v>64</v>
      </c>
      <c r="I886">
        <v>3.3</v>
      </c>
      <c r="J886" t="s">
        <v>56</v>
      </c>
      <c r="K886">
        <v>2024</v>
      </c>
      <c r="L886">
        <v>21240.528000000002</v>
      </c>
      <c r="M886">
        <v>15</v>
      </c>
      <c r="N886" t="s">
        <v>27</v>
      </c>
      <c r="O886" t="s">
        <v>21</v>
      </c>
      <c r="P886">
        <f>FlipkartSales[[#This Row],[Price (INR)]]*FlipkartSales[[#This Row],[Quantity Sold]]</f>
        <v>106202.64</v>
      </c>
      <c r="Q886">
        <f>FlipkartSales[[#This Row],[Total Sales (INR)]]-FlipkartSales[[#This Row],[Calculated Sales]]</f>
        <v>0</v>
      </c>
      <c r="R886" s="9">
        <f t="shared" si="104"/>
        <v>0.2</v>
      </c>
      <c r="S886">
        <f t="shared" si="105"/>
        <v>26550.66</v>
      </c>
      <c r="T886">
        <f t="shared" si="106"/>
        <v>5310.1320000000005</v>
      </c>
      <c r="U886">
        <f t="shared" si="107"/>
        <v>3</v>
      </c>
      <c r="V886" t="str">
        <f t="shared" si="108"/>
        <v>Q1</v>
      </c>
      <c r="W886" t="str">
        <f t="shared" si="109"/>
        <v>Mar-2024</v>
      </c>
      <c r="X886">
        <f t="shared" si="110"/>
        <v>15930.396000000001</v>
      </c>
      <c r="Y886" s="5">
        <f t="shared" si="111"/>
        <v>90272.244000000006</v>
      </c>
      <c r="Z886" s="21">
        <f>DATE(K886,MATCH(J886,{"January","February","March","April","May","June","July","August","September","October","November","December"},0),1)</f>
        <v>45352</v>
      </c>
    </row>
    <row r="887" spans="1:26" x14ac:dyDescent="0.3">
      <c r="A887" s="4" t="s">
        <v>955</v>
      </c>
      <c r="B887" s="4" t="s">
        <v>16</v>
      </c>
      <c r="C887" s="4" t="s">
        <v>17</v>
      </c>
      <c r="D887" s="5">
        <v>24335.78</v>
      </c>
      <c r="E887" s="6">
        <v>4</v>
      </c>
      <c r="F887" s="5">
        <v>97343.12</v>
      </c>
      <c r="G887" s="1">
        <v>45391</v>
      </c>
      <c r="H887" t="s">
        <v>25</v>
      </c>
      <c r="I887">
        <v>3.1</v>
      </c>
      <c r="J887" t="s">
        <v>62</v>
      </c>
      <c r="K887">
        <v>2024</v>
      </c>
      <c r="L887">
        <v>19468.624</v>
      </c>
      <c r="M887">
        <v>23</v>
      </c>
      <c r="N887" t="s">
        <v>20</v>
      </c>
      <c r="O887" t="s">
        <v>21</v>
      </c>
      <c r="P887">
        <f>FlipkartSales[[#This Row],[Price (INR)]]*FlipkartSales[[#This Row],[Quantity Sold]]</f>
        <v>97343.12</v>
      </c>
      <c r="Q887">
        <f>FlipkartSales[[#This Row],[Total Sales (INR)]]-FlipkartSales[[#This Row],[Calculated Sales]]</f>
        <v>0</v>
      </c>
      <c r="R887" s="9">
        <f t="shared" si="104"/>
        <v>0.2</v>
      </c>
      <c r="S887">
        <f t="shared" si="105"/>
        <v>24335.78</v>
      </c>
      <c r="T887">
        <f t="shared" si="106"/>
        <v>4867.1559999999999</v>
      </c>
      <c r="U887">
        <f t="shared" si="107"/>
        <v>4</v>
      </c>
      <c r="V887" t="str">
        <f t="shared" si="108"/>
        <v>Q2</v>
      </c>
      <c r="W887" t="str">
        <f t="shared" si="109"/>
        <v>Apr-2024</v>
      </c>
      <c r="X887">
        <f t="shared" si="110"/>
        <v>22388.917599999997</v>
      </c>
      <c r="Y887" s="5">
        <f t="shared" si="111"/>
        <v>74954.202399999995</v>
      </c>
      <c r="Z887" s="21">
        <f>DATE(K887,MATCH(J887,{"January","February","March","April","May","June","July","August","September","October","November","December"},0),1)</f>
        <v>45383</v>
      </c>
    </row>
    <row r="888" spans="1:26" x14ac:dyDescent="0.3">
      <c r="A888" s="4" t="s">
        <v>956</v>
      </c>
      <c r="B888" s="4" t="s">
        <v>145</v>
      </c>
      <c r="C888" s="4" t="s">
        <v>40</v>
      </c>
      <c r="D888" s="5">
        <v>17308.52</v>
      </c>
      <c r="E888" s="6">
        <v>1</v>
      </c>
      <c r="F888" s="5">
        <v>17308.52</v>
      </c>
      <c r="G888" s="1">
        <v>45594</v>
      </c>
      <c r="H888" t="s">
        <v>80</v>
      </c>
      <c r="I888">
        <v>2.2000000000000002</v>
      </c>
      <c r="J888" t="s">
        <v>45</v>
      </c>
      <c r="K888">
        <v>2024</v>
      </c>
      <c r="L888">
        <v>3461.7040000000002</v>
      </c>
      <c r="M888">
        <v>11</v>
      </c>
      <c r="N888" t="s">
        <v>20</v>
      </c>
      <c r="O888" t="s">
        <v>68</v>
      </c>
      <c r="P888">
        <f>FlipkartSales[[#This Row],[Price (INR)]]*FlipkartSales[[#This Row],[Quantity Sold]]</f>
        <v>17308.52</v>
      </c>
      <c r="Q888">
        <f>FlipkartSales[[#This Row],[Total Sales (INR)]]-FlipkartSales[[#This Row],[Calculated Sales]]</f>
        <v>0</v>
      </c>
      <c r="R888" s="9">
        <f t="shared" si="104"/>
        <v>0.2</v>
      </c>
      <c r="S888">
        <f t="shared" si="105"/>
        <v>17308.52</v>
      </c>
      <c r="T888">
        <f t="shared" si="106"/>
        <v>3461.7040000000002</v>
      </c>
      <c r="U888">
        <f t="shared" si="107"/>
        <v>10</v>
      </c>
      <c r="V888" t="str">
        <f t="shared" si="108"/>
        <v>Q4</v>
      </c>
      <c r="W888" t="str">
        <f t="shared" si="109"/>
        <v>Oct-2024</v>
      </c>
      <c r="X888">
        <f t="shared" si="110"/>
        <v>1903.9372000000001</v>
      </c>
      <c r="Y888" s="5">
        <f t="shared" si="111"/>
        <v>15404.5828</v>
      </c>
      <c r="Z888" s="21">
        <f>DATE(K888,MATCH(J888,{"January","February","March","April","May","June","July","August","September","October","November","December"},0),1)</f>
        <v>45566</v>
      </c>
    </row>
    <row r="889" spans="1:26" x14ac:dyDescent="0.3">
      <c r="A889" s="4" t="s">
        <v>957</v>
      </c>
      <c r="B889" s="4" t="s">
        <v>96</v>
      </c>
      <c r="C889" s="4" t="s">
        <v>36</v>
      </c>
      <c r="D889" s="5">
        <v>18097.79</v>
      </c>
      <c r="E889" s="6">
        <v>1</v>
      </c>
      <c r="F889" s="5">
        <v>18097.79</v>
      </c>
      <c r="G889" s="1">
        <v>45434</v>
      </c>
      <c r="H889" t="s">
        <v>80</v>
      </c>
      <c r="I889">
        <v>3.8</v>
      </c>
      <c r="J889" t="s">
        <v>32</v>
      </c>
      <c r="K889">
        <v>2024</v>
      </c>
      <c r="L889">
        <v>3619.5580000000004</v>
      </c>
      <c r="M889">
        <v>10</v>
      </c>
      <c r="N889" t="s">
        <v>20</v>
      </c>
      <c r="O889" t="s">
        <v>21</v>
      </c>
      <c r="P889">
        <f>FlipkartSales[[#This Row],[Price (INR)]]*FlipkartSales[[#This Row],[Quantity Sold]]</f>
        <v>18097.79</v>
      </c>
      <c r="Q889">
        <f>FlipkartSales[[#This Row],[Total Sales (INR)]]-FlipkartSales[[#This Row],[Calculated Sales]]</f>
        <v>0</v>
      </c>
      <c r="R889" s="9">
        <f t="shared" si="104"/>
        <v>0.2</v>
      </c>
      <c r="S889">
        <f t="shared" si="105"/>
        <v>18097.79</v>
      </c>
      <c r="T889">
        <f t="shared" si="106"/>
        <v>3619.5580000000004</v>
      </c>
      <c r="U889">
        <f t="shared" si="107"/>
        <v>5</v>
      </c>
      <c r="V889" t="str">
        <f t="shared" si="108"/>
        <v>Q2</v>
      </c>
      <c r="W889" t="str">
        <f t="shared" si="109"/>
        <v>May-2024</v>
      </c>
      <c r="X889">
        <f t="shared" si="110"/>
        <v>1809.7790000000002</v>
      </c>
      <c r="Y889" s="5">
        <f t="shared" si="111"/>
        <v>16288.011</v>
      </c>
      <c r="Z889" s="21">
        <f>DATE(K889,MATCH(J889,{"January","February","March","April","May","June","July","August","September","October","November","December"},0),1)</f>
        <v>45413</v>
      </c>
    </row>
    <row r="890" spans="1:26" x14ac:dyDescent="0.3">
      <c r="A890" s="4" t="s">
        <v>958</v>
      </c>
      <c r="B890" s="4" t="s">
        <v>74</v>
      </c>
      <c r="C890" s="4" t="s">
        <v>17</v>
      </c>
      <c r="D890" s="5">
        <v>45792.57</v>
      </c>
      <c r="E890" s="6">
        <v>2</v>
      </c>
      <c r="F890" s="5">
        <v>91585.14</v>
      </c>
      <c r="G890" s="1">
        <v>45453</v>
      </c>
      <c r="H890" t="s">
        <v>71</v>
      </c>
      <c r="I890">
        <v>3.1</v>
      </c>
      <c r="J890" t="s">
        <v>67</v>
      </c>
      <c r="K890">
        <v>2024</v>
      </c>
      <c r="L890">
        <v>18317.028000000002</v>
      </c>
      <c r="M890">
        <v>6</v>
      </c>
      <c r="N890" t="s">
        <v>20</v>
      </c>
      <c r="O890" t="s">
        <v>28</v>
      </c>
      <c r="P890">
        <f>FlipkartSales[[#This Row],[Price (INR)]]*FlipkartSales[[#This Row],[Quantity Sold]]</f>
        <v>91585.14</v>
      </c>
      <c r="Q890">
        <f>FlipkartSales[[#This Row],[Total Sales (INR)]]-FlipkartSales[[#This Row],[Calculated Sales]]</f>
        <v>0</v>
      </c>
      <c r="R890" s="9">
        <f t="shared" si="104"/>
        <v>0.2</v>
      </c>
      <c r="S890">
        <f t="shared" si="105"/>
        <v>45792.57</v>
      </c>
      <c r="T890">
        <f t="shared" si="106"/>
        <v>9158.514000000001</v>
      </c>
      <c r="U890">
        <f t="shared" si="107"/>
        <v>6</v>
      </c>
      <c r="V890" t="str">
        <f t="shared" si="108"/>
        <v>Q2</v>
      </c>
      <c r="W890" t="str">
        <f t="shared" si="109"/>
        <v>Jun-2024</v>
      </c>
      <c r="X890">
        <f t="shared" si="110"/>
        <v>5495.1084000000001</v>
      </c>
      <c r="Y890" s="5">
        <f t="shared" si="111"/>
        <v>86090.031600000002</v>
      </c>
      <c r="Z890" s="21">
        <f>DATE(K890,MATCH(J890,{"January","February","March","April","May","June","July","August","September","October","November","December"},0),1)</f>
        <v>45444</v>
      </c>
    </row>
    <row r="891" spans="1:26" x14ac:dyDescent="0.3">
      <c r="A891" s="4" t="s">
        <v>959</v>
      </c>
      <c r="B891" s="4" t="s">
        <v>94</v>
      </c>
      <c r="C891" s="4" t="s">
        <v>31</v>
      </c>
      <c r="D891" s="5">
        <v>35879.79</v>
      </c>
      <c r="E891" s="6">
        <v>4</v>
      </c>
      <c r="F891" s="5">
        <v>143519.16</v>
      </c>
      <c r="G891" s="1">
        <v>45353</v>
      </c>
      <c r="H891" t="s">
        <v>25</v>
      </c>
      <c r="I891">
        <v>4.4000000000000004</v>
      </c>
      <c r="J891" t="s">
        <v>56</v>
      </c>
      <c r="K891">
        <v>2024</v>
      </c>
      <c r="L891">
        <v>28703.832000000002</v>
      </c>
      <c r="M891">
        <v>10</v>
      </c>
      <c r="N891" t="s">
        <v>27</v>
      </c>
      <c r="O891" t="s">
        <v>28</v>
      </c>
      <c r="P891">
        <f>FlipkartSales[[#This Row],[Price (INR)]]*FlipkartSales[[#This Row],[Quantity Sold]]</f>
        <v>143519.16</v>
      </c>
      <c r="Q891">
        <f>FlipkartSales[[#This Row],[Total Sales (INR)]]-FlipkartSales[[#This Row],[Calculated Sales]]</f>
        <v>0</v>
      </c>
      <c r="R891" s="9">
        <f t="shared" si="104"/>
        <v>0.2</v>
      </c>
      <c r="S891">
        <f t="shared" si="105"/>
        <v>35879.79</v>
      </c>
      <c r="T891">
        <f t="shared" si="106"/>
        <v>7175.9580000000005</v>
      </c>
      <c r="U891">
        <f t="shared" si="107"/>
        <v>3</v>
      </c>
      <c r="V891" t="str">
        <f t="shared" si="108"/>
        <v>Q1</v>
      </c>
      <c r="W891" t="str">
        <f t="shared" si="109"/>
        <v>Mar-2024</v>
      </c>
      <c r="X891">
        <f t="shared" si="110"/>
        <v>14351.916000000001</v>
      </c>
      <c r="Y891" s="5">
        <f t="shared" si="111"/>
        <v>129167.24400000001</v>
      </c>
      <c r="Z891" s="21">
        <f>DATE(K891,MATCH(J891,{"January","February","March","April","May","June","July","August","September","October","November","December"},0),1)</f>
        <v>45352</v>
      </c>
    </row>
    <row r="892" spans="1:26" x14ac:dyDescent="0.3">
      <c r="A892" s="4" t="s">
        <v>960</v>
      </c>
      <c r="B892" s="4" t="s">
        <v>39</v>
      </c>
      <c r="C892" s="4" t="s">
        <v>40</v>
      </c>
      <c r="D892" s="5">
        <v>16158.74</v>
      </c>
      <c r="E892" s="6">
        <v>3</v>
      </c>
      <c r="F892" s="5">
        <v>48476.22</v>
      </c>
      <c r="G892" s="1">
        <v>45528</v>
      </c>
      <c r="H892" t="s">
        <v>64</v>
      </c>
      <c r="I892">
        <v>4.2</v>
      </c>
      <c r="J892" t="s">
        <v>88</v>
      </c>
      <c r="K892">
        <v>2024</v>
      </c>
      <c r="L892">
        <v>9695.2440000000006</v>
      </c>
      <c r="M892">
        <v>22</v>
      </c>
      <c r="N892" t="s">
        <v>20</v>
      </c>
      <c r="O892" t="s">
        <v>68</v>
      </c>
      <c r="P892">
        <f>FlipkartSales[[#This Row],[Price (INR)]]*FlipkartSales[[#This Row],[Quantity Sold]]</f>
        <v>48476.22</v>
      </c>
      <c r="Q892">
        <f>FlipkartSales[[#This Row],[Total Sales (INR)]]-FlipkartSales[[#This Row],[Calculated Sales]]</f>
        <v>0</v>
      </c>
      <c r="R892" s="9">
        <f t="shared" si="104"/>
        <v>0.2</v>
      </c>
      <c r="S892">
        <f t="shared" si="105"/>
        <v>16158.74</v>
      </c>
      <c r="T892">
        <f t="shared" si="106"/>
        <v>3231.748</v>
      </c>
      <c r="U892">
        <f t="shared" si="107"/>
        <v>8</v>
      </c>
      <c r="V892" t="str">
        <f t="shared" si="108"/>
        <v>Q3</v>
      </c>
      <c r="W892" t="str">
        <f t="shared" si="109"/>
        <v>Aug-2024</v>
      </c>
      <c r="X892">
        <f t="shared" si="110"/>
        <v>10664.768400000001</v>
      </c>
      <c r="Y892" s="5">
        <f t="shared" si="111"/>
        <v>37811.4516</v>
      </c>
      <c r="Z892" s="21">
        <f>DATE(K892,MATCH(J892,{"January","February","March","April","May","June","July","August","September","October","November","December"},0),1)</f>
        <v>45505</v>
      </c>
    </row>
    <row r="893" spans="1:26" x14ac:dyDescent="0.3">
      <c r="A893" s="4" t="s">
        <v>961</v>
      </c>
      <c r="B893" s="4" t="s">
        <v>23</v>
      </c>
      <c r="C893" s="4" t="s">
        <v>24</v>
      </c>
      <c r="D893" s="5">
        <v>15387.4</v>
      </c>
      <c r="E893" s="6">
        <v>1</v>
      </c>
      <c r="F893" s="5">
        <v>15387.4</v>
      </c>
      <c r="G893" s="1">
        <v>45354</v>
      </c>
      <c r="H893" t="s">
        <v>25</v>
      </c>
      <c r="I893">
        <v>4.2</v>
      </c>
      <c r="J893" t="s">
        <v>56</v>
      </c>
      <c r="K893">
        <v>2024</v>
      </c>
      <c r="L893">
        <v>3077.48</v>
      </c>
      <c r="M893">
        <v>6</v>
      </c>
      <c r="N893" t="s">
        <v>27</v>
      </c>
      <c r="O893" t="s">
        <v>21</v>
      </c>
      <c r="P893">
        <f>FlipkartSales[[#This Row],[Price (INR)]]*FlipkartSales[[#This Row],[Quantity Sold]]</f>
        <v>15387.4</v>
      </c>
      <c r="Q893">
        <f>FlipkartSales[[#This Row],[Total Sales (INR)]]-FlipkartSales[[#This Row],[Calculated Sales]]</f>
        <v>0</v>
      </c>
      <c r="R893" s="9">
        <f t="shared" si="104"/>
        <v>0.2</v>
      </c>
      <c r="S893">
        <f t="shared" si="105"/>
        <v>15387.4</v>
      </c>
      <c r="T893">
        <f t="shared" si="106"/>
        <v>3077.48</v>
      </c>
      <c r="U893">
        <f t="shared" si="107"/>
        <v>3</v>
      </c>
      <c r="V893" t="str">
        <f t="shared" si="108"/>
        <v>Q1</v>
      </c>
      <c r="W893" t="str">
        <f t="shared" si="109"/>
        <v>Mar-2024</v>
      </c>
      <c r="X893">
        <f t="shared" si="110"/>
        <v>923.24399999999991</v>
      </c>
      <c r="Y893" s="5">
        <f t="shared" si="111"/>
        <v>14464.155999999999</v>
      </c>
      <c r="Z893" s="21">
        <f>DATE(K893,MATCH(J893,{"January","February","March","April","May","June","July","August","September","October","November","December"},0),1)</f>
        <v>45352</v>
      </c>
    </row>
    <row r="894" spans="1:26" x14ac:dyDescent="0.3">
      <c r="A894" s="4" t="s">
        <v>962</v>
      </c>
      <c r="B894" s="4" t="s">
        <v>118</v>
      </c>
      <c r="C894" s="4" t="s">
        <v>17</v>
      </c>
      <c r="D894" s="5">
        <v>11134.83</v>
      </c>
      <c r="E894" s="6">
        <v>5</v>
      </c>
      <c r="F894" s="5">
        <v>55674.15</v>
      </c>
      <c r="G894" s="1">
        <v>45574</v>
      </c>
      <c r="H894" t="s">
        <v>80</v>
      </c>
      <c r="I894">
        <v>3.2</v>
      </c>
      <c r="J894" t="s">
        <v>45</v>
      </c>
      <c r="K894">
        <v>2024</v>
      </c>
      <c r="L894">
        <v>11134.830000000002</v>
      </c>
      <c r="M894">
        <v>22</v>
      </c>
      <c r="N894" t="s">
        <v>27</v>
      </c>
      <c r="O894" t="s">
        <v>21</v>
      </c>
      <c r="P894">
        <f>FlipkartSales[[#This Row],[Price (INR)]]*FlipkartSales[[#This Row],[Quantity Sold]]</f>
        <v>55674.15</v>
      </c>
      <c r="Q894">
        <f>FlipkartSales[[#This Row],[Total Sales (INR)]]-FlipkartSales[[#This Row],[Calculated Sales]]</f>
        <v>0</v>
      </c>
      <c r="R894" s="9">
        <f t="shared" si="104"/>
        <v>0.20000000000000004</v>
      </c>
      <c r="S894">
        <f t="shared" si="105"/>
        <v>11134.83</v>
      </c>
      <c r="T894">
        <f t="shared" si="106"/>
        <v>2226.9660000000003</v>
      </c>
      <c r="U894">
        <f t="shared" si="107"/>
        <v>10</v>
      </c>
      <c r="V894" t="str">
        <f t="shared" si="108"/>
        <v>Q4</v>
      </c>
      <c r="W894" t="str">
        <f t="shared" si="109"/>
        <v>Oct-2024</v>
      </c>
      <c r="X894">
        <f t="shared" si="110"/>
        <v>12248.313</v>
      </c>
      <c r="Y894" s="5">
        <f t="shared" si="111"/>
        <v>43425.837</v>
      </c>
      <c r="Z894" s="21">
        <f>DATE(K894,MATCH(J894,{"January","February","March","April","May","June","July","August","September","October","November","December"},0),1)</f>
        <v>45566</v>
      </c>
    </row>
    <row r="895" spans="1:26" x14ac:dyDescent="0.3">
      <c r="A895" s="4" t="s">
        <v>963</v>
      </c>
      <c r="B895" s="4" t="s">
        <v>30</v>
      </c>
      <c r="C895" s="4" t="s">
        <v>31</v>
      </c>
      <c r="D895" s="5">
        <v>49835.85</v>
      </c>
      <c r="E895" s="6">
        <v>3</v>
      </c>
      <c r="F895" s="5">
        <v>149507.54999999999</v>
      </c>
      <c r="G895" s="1">
        <v>45537</v>
      </c>
      <c r="H895" t="s">
        <v>71</v>
      </c>
      <c r="I895">
        <v>4.5</v>
      </c>
      <c r="J895" t="s">
        <v>19</v>
      </c>
      <c r="K895">
        <v>2024</v>
      </c>
      <c r="L895">
        <v>29901.51</v>
      </c>
      <c r="M895">
        <v>19</v>
      </c>
      <c r="N895" t="s">
        <v>27</v>
      </c>
      <c r="O895" t="s">
        <v>28</v>
      </c>
      <c r="P895">
        <f>FlipkartSales[[#This Row],[Price (INR)]]*FlipkartSales[[#This Row],[Quantity Sold]]</f>
        <v>149507.54999999999</v>
      </c>
      <c r="Q895">
        <f>FlipkartSales[[#This Row],[Total Sales (INR)]]-FlipkartSales[[#This Row],[Calculated Sales]]</f>
        <v>0</v>
      </c>
      <c r="R895" s="9">
        <f t="shared" si="104"/>
        <v>0.2</v>
      </c>
      <c r="S895">
        <f t="shared" si="105"/>
        <v>49835.85</v>
      </c>
      <c r="T895">
        <f t="shared" si="106"/>
        <v>9967.17</v>
      </c>
      <c r="U895">
        <f t="shared" si="107"/>
        <v>9</v>
      </c>
      <c r="V895" t="str">
        <f t="shared" si="108"/>
        <v>Q3</v>
      </c>
      <c r="W895" t="str">
        <f t="shared" si="109"/>
        <v>Sep-2024</v>
      </c>
      <c r="X895">
        <f t="shared" si="110"/>
        <v>28406.434499999996</v>
      </c>
      <c r="Y895" s="5">
        <f t="shared" si="111"/>
        <v>121101.11549999999</v>
      </c>
      <c r="Z895" s="21">
        <f>DATE(K895,MATCH(J895,{"January","February","March","April","May","June","July","August","September","October","November","December"},0),1)</f>
        <v>45536</v>
      </c>
    </row>
    <row r="896" spans="1:26" x14ac:dyDescent="0.3">
      <c r="A896" s="4" t="s">
        <v>964</v>
      </c>
      <c r="B896" s="4" t="s">
        <v>55</v>
      </c>
      <c r="C896" s="4" t="s">
        <v>36</v>
      </c>
      <c r="D896" s="5">
        <v>1002.29</v>
      </c>
      <c r="E896" s="6">
        <v>1</v>
      </c>
      <c r="F896" s="5">
        <v>1002.29</v>
      </c>
      <c r="G896" s="1">
        <v>45665</v>
      </c>
      <c r="H896" t="s">
        <v>25</v>
      </c>
      <c r="I896">
        <v>1.4</v>
      </c>
      <c r="J896" t="s">
        <v>53</v>
      </c>
      <c r="K896">
        <v>2025</v>
      </c>
      <c r="L896">
        <v>200.458</v>
      </c>
      <c r="M896">
        <v>23</v>
      </c>
      <c r="N896" t="s">
        <v>27</v>
      </c>
      <c r="O896" t="s">
        <v>21</v>
      </c>
      <c r="P896">
        <f>FlipkartSales[[#This Row],[Price (INR)]]*FlipkartSales[[#This Row],[Quantity Sold]]</f>
        <v>1002.29</v>
      </c>
      <c r="Q896">
        <f>FlipkartSales[[#This Row],[Total Sales (INR)]]-FlipkartSales[[#This Row],[Calculated Sales]]</f>
        <v>0</v>
      </c>
      <c r="R896" s="9">
        <f t="shared" si="104"/>
        <v>0.2</v>
      </c>
      <c r="S896">
        <f t="shared" si="105"/>
        <v>1002.29</v>
      </c>
      <c r="T896">
        <f t="shared" si="106"/>
        <v>200.458</v>
      </c>
      <c r="U896">
        <f t="shared" si="107"/>
        <v>1</v>
      </c>
      <c r="V896" t="str">
        <f t="shared" si="108"/>
        <v>Q1</v>
      </c>
      <c r="W896" t="str">
        <f t="shared" si="109"/>
        <v>Jan-2025</v>
      </c>
      <c r="X896">
        <f t="shared" si="110"/>
        <v>230.52669999999998</v>
      </c>
      <c r="Y896" s="5">
        <f t="shared" si="111"/>
        <v>771.76329999999996</v>
      </c>
      <c r="Z896" s="21">
        <f>DATE(K896,MATCH(J896,{"January","February","March","April","May","June","July","August","September","October","November","December"},0),1)</f>
        <v>45658</v>
      </c>
    </row>
    <row r="897" spans="1:26" x14ac:dyDescent="0.3">
      <c r="A897" s="4" t="s">
        <v>965</v>
      </c>
      <c r="B897" s="4" t="s">
        <v>107</v>
      </c>
      <c r="C897" s="4" t="s">
        <v>36</v>
      </c>
      <c r="D897" s="5">
        <v>26448.240000000002</v>
      </c>
      <c r="E897" s="6">
        <v>4</v>
      </c>
      <c r="F897" s="5">
        <v>105792.96000000001</v>
      </c>
      <c r="G897" s="1">
        <v>45493</v>
      </c>
      <c r="H897" t="s">
        <v>80</v>
      </c>
      <c r="I897">
        <v>1.2</v>
      </c>
      <c r="J897" t="s">
        <v>48</v>
      </c>
      <c r="K897">
        <v>2024</v>
      </c>
      <c r="L897">
        <v>21158.592000000004</v>
      </c>
      <c r="M897">
        <v>6</v>
      </c>
      <c r="N897" t="s">
        <v>41</v>
      </c>
      <c r="O897" t="s">
        <v>21</v>
      </c>
      <c r="P897">
        <f>FlipkartSales[[#This Row],[Price (INR)]]*FlipkartSales[[#This Row],[Quantity Sold]]</f>
        <v>105792.96000000001</v>
      </c>
      <c r="Q897">
        <f>FlipkartSales[[#This Row],[Total Sales (INR)]]-FlipkartSales[[#This Row],[Calculated Sales]]</f>
        <v>0</v>
      </c>
      <c r="R897" s="9">
        <f t="shared" si="104"/>
        <v>0.20000000000000004</v>
      </c>
      <c r="S897">
        <f t="shared" si="105"/>
        <v>26448.240000000002</v>
      </c>
      <c r="T897">
        <f t="shared" si="106"/>
        <v>5289.648000000001</v>
      </c>
      <c r="U897">
        <f t="shared" si="107"/>
        <v>7</v>
      </c>
      <c r="V897" t="str">
        <f t="shared" si="108"/>
        <v>Q3</v>
      </c>
      <c r="W897" t="str">
        <f t="shared" si="109"/>
        <v>Jul-2024</v>
      </c>
      <c r="X897">
        <f t="shared" si="110"/>
        <v>6347.5776000000005</v>
      </c>
      <c r="Y897" s="5">
        <f t="shared" si="111"/>
        <v>99445.382400000002</v>
      </c>
      <c r="Z897" s="21">
        <f>DATE(K897,MATCH(J897,{"January","February","March","April","May","June","July","August","September","October","November","December"},0),1)</f>
        <v>45474</v>
      </c>
    </row>
    <row r="898" spans="1:26" x14ac:dyDescent="0.3">
      <c r="A898" s="4" t="s">
        <v>966</v>
      </c>
      <c r="B898" s="4" t="s">
        <v>61</v>
      </c>
      <c r="C898" s="4" t="s">
        <v>31</v>
      </c>
      <c r="D898" s="5">
        <v>30650.46</v>
      </c>
      <c r="E898" s="6">
        <v>5</v>
      </c>
      <c r="F898" s="5">
        <v>153252.29999999999</v>
      </c>
      <c r="G898" s="1">
        <v>45547</v>
      </c>
      <c r="H898" t="s">
        <v>80</v>
      </c>
      <c r="I898">
        <v>1.6</v>
      </c>
      <c r="J898" t="s">
        <v>19</v>
      </c>
      <c r="K898">
        <v>2024</v>
      </c>
      <c r="L898">
        <v>30650.46</v>
      </c>
      <c r="M898">
        <v>24</v>
      </c>
      <c r="N898" t="s">
        <v>41</v>
      </c>
      <c r="O898" t="s">
        <v>21</v>
      </c>
      <c r="P898">
        <f>FlipkartSales[[#This Row],[Price (INR)]]*FlipkartSales[[#This Row],[Quantity Sold]]</f>
        <v>153252.29999999999</v>
      </c>
      <c r="Q898">
        <f>FlipkartSales[[#This Row],[Total Sales (INR)]]-FlipkartSales[[#This Row],[Calculated Sales]]</f>
        <v>0</v>
      </c>
      <c r="R898" s="9">
        <f t="shared" ref="R898:R961" si="112">L898/F898</f>
        <v>0.2</v>
      </c>
      <c r="S898">
        <f t="shared" ref="S898:S961" si="113">F898/E898</f>
        <v>30650.46</v>
      </c>
      <c r="T898">
        <f t="shared" ref="T898:T961" si="114">L898/E898</f>
        <v>6130.0919999999996</v>
      </c>
      <c r="U898">
        <f t="shared" ref="U898:U961" si="115">MONTH(G898)</f>
        <v>9</v>
      </c>
      <c r="V898" t="str">
        <f t="shared" ref="V898:V961" si="116">"Q"&amp;ROUNDUP(MONTH(G898)/3,0)</f>
        <v>Q3</v>
      </c>
      <c r="W898" t="str">
        <f t="shared" ref="W898:W961" si="117">TEXT(G898,"mmm-yyyy")</f>
        <v>Sep-2024</v>
      </c>
      <c r="X898">
        <f t="shared" ref="X898:X961" si="118">F898*M898/100</f>
        <v>36780.551999999996</v>
      </c>
      <c r="Y898" s="5">
        <f t="shared" ref="Y898:Y961" si="119">F898-X898</f>
        <v>116471.74799999999</v>
      </c>
      <c r="Z898" s="21">
        <f>DATE(K898,MATCH(J898,{"January","February","March","April","May","June","July","August","September","October","November","December"},0),1)</f>
        <v>45536</v>
      </c>
    </row>
    <row r="899" spans="1:26" x14ac:dyDescent="0.3">
      <c r="A899" s="4" t="s">
        <v>967</v>
      </c>
      <c r="B899" s="4" t="s">
        <v>43</v>
      </c>
      <c r="C899" s="4" t="s">
        <v>40</v>
      </c>
      <c r="D899" s="5">
        <v>31978.03</v>
      </c>
      <c r="E899" s="6">
        <v>2</v>
      </c>
      <c r="F899" s="5">
        <v>63956.06</v>
      </c>
      <c r="G899" s="1">
        <v>45431</v>
      </c>
      <c r="H899" t="s">
        <v>71</v>
      </c>
      <c r="I899">
        <v>3.7</v>
      </c>
      <c r="J899" t="s">
        <v>32</v>
      </c>
      <c r="K899">
        <v>2024</v>
      </c>
      <c r="L899">
        <v>12791.212</v>
      </c>
      <c r="M899">
        <v>29</v>
      </c>
      <c r="N899" t="s">
        <v>20</v>
      </c>
      <c r="O899" t="s">
        <v>33</v>
      </c>
      <c r="P899">
        <f>FlipkartSales[[#This Row],[Price (INR)]]*FlipkartSales[[#This Row],[Quantity Sold]]</f>
        <v>63956.06</v>
      </c>
      <c r="Q899">
        <f>FlipkartSales[[#This Row],[Total Sales (INR)]]-FlipkartSales[[#This Row],[Calculated Sales]]</f>
        <v>0</v>
      </c>
      <c r="R899" s="9">
        <f t="shared" si="112"/>
        <v>0.2</v>
      </c>
      <c r="S899">
        <f t="shared" si="113"/>
        <v>31978.03</v>
      </c>
      <c r="T899">
        <f t="shared" si="114"/>
        <v>6395.6059999999998</v>
      </c>
      <c r="U899">
        <f t="shared" si="115"/>
        <v>5</v>
      </c>
      <c r="V899" t="str">
        <f t="shared" si="116"/>
        <v>Q2</v>
      </c>
      <c r="W899" t="str">
        <f t="shared" si="117"/>
        <v>May-2024</v>
      </c>
      <c r="X899">
        <f t="shared" si="118"/>
        <v>18547.257399999999</v>
      </c>
      <c r="Y899" s="5">
        <f t="shared" si="119"/>
        <v>45408.802599999995</v>
      </c>
      <c r="Z899" s="21">
        <f>DATE(K899,MATCH(J899,{"January","February","March","April","May","June","July","August","September","October","November","December"},0),1)</f>
        <v>45413</v>
      </c>
    </row>
    <row r="900" spans="1:26" x14ac:dyDescent="0.3">
      <c r="A900" s="4" t="s">
        <v>968</v>
      </c>
      <c r="B900" s="4" t="s">
        <v>176</v>
      </c>
      <c r="C900" s="4" t="s">
        <v>24</v>
      </c>
      <c r="D900" s="5">
        <v>45516.21</v>
      </c>
      <c r="E900" s="6">
        <v>1</v>
      </c>
      <c r="F900" s="5">
        <v>45516.21</v>
      </c>
      <c r="G900" s="1">
        <v>45492</v>
      </c>
      <c r="H900" t="s">
        <v>25</v>
      </c>
      <c r="I900">
        <v>1</v>
      </c>
      <c r="J900" t="s">
        <v>48</v>
      </c>
      <c r="K900">
        <v>2024</v>
      </c>
      <c r="L900">
        <v>9103.2420000000002</v>
      </c>
      <c r="M900">
        <v>10</v>
      </c>
      <c r="N900" t="s">
        <v>41</v>
      </c>
      <c r="O900" t="s">
        <v>68</v>
      </c>
      <c r="P900">
        <f>FlipkartSales[[#This Row],[Price (INR)]]*FlipkartSales[[#This Row],[Quantity Sold]]</f>
        <v>45516.21</v>
      </c>
      <c r="Q900">
        <f>FlipkartSales[[#This Row],[Total Sales (INR)]]-FlipkartSales[[#This Row],[Calculated Sales]]</f>
        <v>0</v>
      </c>
      <c r="R900" s="9">
        <f t="shared" si="112"/>
        <v>0.2</v>
      </c>
      <c r="S900">
        <f t="shared" si="113"/>
        <v>45516.21</v>
      </c>
      <c r="T900">
        <f t="shared" si="114"/>
        <v>9103.2420000000002</v>
      </c>
      <c r="U900">
        <f t="shared" si="115"/>
        <v>7</v>
      </c>
      <c r="V900" t="str">
        <f t="shared" si="116"/>
        <v>Q3</v>
      </c>
      <c r="W900" t="str">
        <f t="shared" si="117"/>
        <v>Jul-2024</v>
      </c>
      <c r="X900">
        <f t="shared" si="118"/>
        <v>4551.6210000000001</v>
      </c>
      <c r="Y900" s="5">
        <f t="shared" si="119"/>
        <v>40964.589</v>
      </c>
      <c r="Z900" s="21">
        <f>DATE(K900,MATCH(J900,{"January","February","March","April","May","June","July","August","September","October","November","December"},0),1)</f>
        <v>45474</v>
      </c>
    </row>
    <row r="901" spans="1:26" x14ac:dyDescent="0.3">
      <c r="A901" s="4" t="s">
        <v>969</v>
      </c>
      <c r="B901" s="4" t="s">
        <v>70</v>
      </c>
      <c r="C901" s="4" t="s">
        <v>17</v>
      </c>
      <c r="D901" s="5">
        <v>31922.03</v>
      </c>
      <c r="E901" s="6">
        <v>1</v>
      </c>
      <c r="F901" s="5">
        <v>31922.03</v>
      </c>
      <c r="G901" s="1">
        <v>45433</v>
      </c>
      <c r="H901" t="s">
        <v>80</v>
      </c>
      <c r="I901">
        <v>2.5</v>
      </c>
      <c r="J901" t="s">
        <v>32</v>
      </c>
      <c r="K901">
        <v>2024</v>
      </c>
      <c r="L901">
        <v>6384.4059999999999</v>
      </c>
      <c r="M901">
        <v>5</v>
      </c>
      <c r="N901" t="s">
        <v>41</v>
      </c>
      <c r="O901" t="s">
        <v>33</v>
      </c>
      <c r="P901">
        <f>FlipkartSales[[#This Row],[Price (INR)]]*FlipkartSales[[#This Row],[Quantity Sold]]</f>
        <v>31922.03</v>
      </c>
      <c r="Q901">
        <f>FlipkartSales[[#This Row],[Total Sales (INR)]]-FlipkartSales[[#This Row],[Calculated Sales]]</f>
        <v>0</v>
      </c>
      <c r="R901" s="9">
        <f t="shared" si="112"/>
        <v>0.2</v>
      </c>
      <c r="S901">
        <f t="shared" si="113"/>
        <v>31922.03</v>
      </c>
      <c r="T901">
        <f t="shared" si="114"/>
        <v>6384.4059999999999</v>
      </c>
      <c r="U901">
        <f t="shared" si="115"/>
        <v>5</v>
      </c>
      <c r="V901" t="str">
        <f t="shared" si="116"/>
        <v>Q2</v>
      </c>
      <c r="W901" t="str">
        <f t="shared" si="117"/>
        <v>May-2024</v>
      </c>
      <c r="X901">
        <f t="shared" si="118"/>
        <v>1596.1015</v>
      </c>
      <c r="Y901" s="5">
        <f t="shared" si="119"/>
        <v>30325.928499999998</v>
      </c>
      <c r="Z901" s="21">
        <f>DATE(K901,MATCH(J901,{"January","February","March","April","May","June","July","August","September","October","November","December"},0),1)</f>
        <v>45413</v>
      </c>
    </row>
    <row r="902" spans="1:26" x14ac:dyDescent="0.3">
      <c r="A902" s="4" t="s">
        <v>970</v>
      </c>
      <c r="B902" s="4" t="s">
        <v>61</v>
      </c>
      <c r="C902" s="4" t="s">
        <v>31</v>
      </c>
      <c r="D902" s="5">
        <v>3481.52</v>
      </c>
      <c r="E902" s="6">
        <v>3</v>
      </c>
      <c r="F902" s="5">
        <v>10444.56</v>
      </c>
      <c r="G902" s="1">
        <v>45508</v>
      </c>
      <c r="H902" t="s">
        <v>80</v>
      </c>
      <c r="I902">
        <v>1.1000000000000001</v>
      </c>
      <c r="J902" t="s">
        <v>88</v>
      </c>
      <c r="K902">
        <v>2024</v>
      </c>
      <c r="L902">
        <v>2088.9119999999998</v>
      </c>
      <c r="M902">
        <v>28</v>
      </c>
      <c r="N902" t="s">
        <v>20</v>
      </c>
      <c r="O902" t="s">
        <v>68</v>
      </c>
      <c r="P902">
        <f>FlipkartSales[[#This Row],[Price (INR)]]*FlipkartSales[[#This Row],[Quantity Sold]]</f>
        <v>10444.56</v>
      </c>
      <c r="Q902">
        <f>FlipkartSales[[#This Row],[Total Sales (INR)]]-FlipkartSales[[#This Row],[Calculated Sales]]</f>
        <v>0</v>
      </c>
      <c r="R902" s="9">
        <f t="shared" si="112"/>
        <v>0.19999999999999998</v>
      </c>
      <c r="S902">
        <f t="shared" si="113"/>
        <v>3481.52</v>
      </c>
      <c r="T902">
        <f t="shared" si="114"/>
        <v>696.30399999999997</v>
      </c>
      <c r="U902">
        <f t="shared" si="115"/>
        <v>8</v>
      </c>
      <c r="V902" t="str">
        <f t="shared" si="116"/>
        <v>Q3</v>
      </c>
      <c r="W902" t="str">
        <f t="shared" si="117"/>
        <v>Aug-2024</v>
      </c>
      <c r="X902">
        <f t="shared" si="118"/>
        <v>2924.4767999999999</v>
      </c>
      <c r="Y902" s="5">
        <f t="shared" si="119"/>
        <v>7520.0831999999991</v>
      </c>
      <c r="Z902" s="21">
        <f>DATE(K902,MATCH(J902,{"January","February","March","April","May","June","July","August","September","October","November","December"},0),1)</f>
        <v>45505</v>
      </c>
    </row>
    <row r="903" spans="1:26" x14ac:dyDescent="0.3">
      <c r="A903" s="4" t="s">
        <v>971</v>
      </c>
      <c r="B903" s="4" t="s">
        <v>50</v>
      </c>
      <c r="C903" s="4" t="s">
        <v>40</v>
      </c>
      <c r="D903" s="5">
        <v>27507.360000000001</v>
      </c>
      <c r="E903" s="6">
        <v>4</v>
      </c>
      <c r="F903" s="5">
        <v>110029.44</v>
      </c>
      <c r="G903" s="1">
        <v>45549</v>
      </c>
      <c r="H903" t="s">
        <v>71</v>
      </c>
      <c r="I903">
        <v>4.5</v>
      </c>
      <c r="J903" t="s">
        <v>19</v>
      </c>
      <c r="K903">
        <v>2024</v>
      </c>
      <c r="L903">
        <v>22005.888000000003</v>
      </c>
      <c r="M903">
        <v>19</v>
      </c>
      <c r="N903" t="s">
        <v>20</v>
      </c>
      <c r="O903" t="s">
        <v>28</v>
      </c>
      <c r="P903">
        <f>FlipkartSales[[#This Row],[Price (INR)]]*FlipkartSales[[#This Row],[Quantity Sold]]</f>
        <v>110029.44</v>
      </c>
      <c r="Q903">
        <f>FlipkartSales[[#This Row],[Total Sales (INR)]]-FlipkartSales[[#This Row],[Calculated Sales]]</f>
        <v>0</v>
      </c>
      <c r="R903" s="9">
        <f t="shared" si="112"/>
        <v>0.2</v>
      </c>
      <c r="S903">
        <f t="shared" si="113"/>
        <v>27507.360000000001</v>
      </c>
      <c r="T903">
        <f t="shared" si="114"/>
        <v>5501.4720000000007</v>
      </c>
      <c r="U903">
        <f t="shared" si="115"/>
        <v>9</v>
      </c>
      <c r="V903" t="str">
        <f t="shared" si="116"/>
        <v>Q3</v>
      </c>
      <c r="W903" t="str">
        <f t="shared" si="117"/>
        <v>Sep-2024</v>
      </c>
      <c r="X903">
        <f t="shared" si="118"/>
        <v>20905.5936</v>
      </c>
      <c r="Y903" s="5">
        <f t="shared" si="119"/>
        <v>89123.846400000009</v>
      </c>
      <c r="Z903" s="21">
        <f>DATE(K903,MATCH(J903,{"January","February","March","April","May","June","July","August","September","October","November","December"},0),1)</f>
        <v>45536</v>
      </c>
    </row>
    <row r="904" spans="1:26" x14ac:dyDescent="0.3">
      <c r="A904" s="4" t="s">
        <v>972</v>
      </c>
      <c r="B904" s="4" t="s">
        <v>50</v>
      </c>
      <c r="C904" s="4" t="s">
        <v>40</v>
      </c>
      <c r="D904" s="5">
        <v>34870.120000000003</v>
      </c>
      <c r="E904" s="6">
        <v>5</v>
      </c>
      <c r="F904" s="5">
        <v>174350.6</v>
      </c>
      <c r="G904" s="1">
        <v>45680</v>
      </c>
      <c r="H904" t="s">
        <v>18</v>
      </c>
      <c r="I904">
        <v>2.7</v>
      </c>
      <c r="J904" t="s">
        <v>53</v>
      </c>
      <c r="K904">
        <v>2025</v>
      </c>
      <c r="L904">
        <v>34870.120000000003</v>
      </c>
      <c r="M904">
        <v>27</v>
      </c>
      <c r="N904" t="s">
        <v>20</v>
      </c>
      <c r="O904" t="s">
        <v>21</v>
      </c>
      <c r="P904">
        <f>FlipkartSales[[#This Row],[Price (INR)]]*FlipkartSales[[#This Row],[Quantity Sold]]</f>
        <v>174350.6</v>
      </c>
      <c r="Q904">
        <f>FlipkartSales[[#This Row],[Total Sales (INR)]]-FlipkartSales[[#This Row],[Calculated Sales]]</f>
        <v>0</v>
      </c>
      <c r="R904" s="9">
        <f t="shared" si="112"/>
        <v>0.2</v>
      </c>
      <c r="S904">
        <f t="shared" si="113"/>
        <v>34870.120000000003</v>
      </c>
      <c r="T904">
        <f t="shared" si="114"/>
        <v>6974.0240000000003</v>
      </c>
      <c r="U904">
        <f t="shared" si="115"/>
        <v>1</v>
      </c>
      <c r="V904" t="str">
        <f t="shared" si="116"/>
        <v>Q1</v>
      </c>
      <c r="W904" t="str">
        <f t="shared" si="117"/>
        <v>Jan-2025</v>
      </c>
      <c r="X904">
        <f t="shared" si="118"/>
        <v>47074.662000000004</v>
      </c>
      <c r="Y904" s="5">
        <f t="shared" si="119"/>
        <v>127275.93799999999</v>
      </c>
      <c r="Z904" s="21">
        <f>DATE(K904,MATCH(J904,{"January","February","March","April","May","June","July","August","September","October","November","December"},0),1)</f>
        <v>45658</v>
      </c>
    </row>
    <row r="905" spans="1:26" x14ac:dyDescent="0.3">
      <c r="A905" s="4" t="s">
        <v>973</v>
      </c>
      <c r="B905" s="4" t="s">
        <v>50</v>
      </c>
      <c r="C905" s="4" t="s">
        <v>40</v>
      </c>
      <c r="D905" s="5">
        <v>11540.73</v>
      </c>
      <c r="E905" s="6">
        <v>1</v>
      </c>
      <c r="F905" s="5">
        <v>11540.73</v>
      </c>
      <c r="G905" s="1">
        <v>45512</v>
      </c>
      <c r="H905" t="s">
        <v>44</v>
      </c>
      <c r="I905">
        <v>3.6</v>
      </c>
      <c r="J905" t="s">
        <v>88</v>
      </c>
      <c r="K905">
        <v>2024</v>
      </c>
      <c r="L905">
        <v>2308.1460000000002</v>
      </c>
      <c r="M905">
        <v>14</v>
      </c>
      <c r="N905" t="s">
        <v>41</v>
      </c>
      <c r="O905" t="s">
        <v>68</v>
      </c>
      <c r="P905">
        <f>FlipkartSales[[#This Row],[Price (INR)]]*FlipkartSales[[#This Row],[Quantity Sold]]</f>
        <v>11540.73</v>
      </c>
      <c r="Q905">
        <f>FlipkartSales[[#This Row],[Total Sales (INR)]]-FlipkartSales[[#This Row],[Calculated Sales]]</f>
        <v>0</v>
      </c>
      <c r="R905" s="9">
        <f t="shared" si="112"/>
        <v>0.2</v>
      </c>
      <c r="S905">
        <f t="shared" si="113"/>
        <v>11540.73</v>
      </c>
      <c r="T905">
        <f t="shared" si="114"/>
        <v>2308.1460000000002</v>
      </c>
      <c r="U905">
        <f t="shared" si="115"/>
        <v>8</v>
      </c>
      <c r="V905" t="str">
        <f t="shared" si="116"/>
        <v>Q3</v>
      </c>
      <c r="W905" t="str">
        <f t="shared" si="117"/>
        <v>Aug-2024</v>
      </c>
      <c r="X905">
        <f t="shared" si="118"/>
        <v>1615.7021999999999</v>
      </c>
      <c r="Y905" s="5">
        <f t="shared" si="119"/>
        <v>9925.0277999999998</v>
      </c>
      <c r="Z905" s="21">
        <f>DATE(K905,MATCH(J905,{"January","February","March","April","May","June","July","August","September","October","November","December"},0),1)</f>
        <v>45505</v>
      </c>
    </row>
    <row r="906" spans="1:26" x14ac:dyDescent="0.3">
      <c r="A906" s="4" t="s">
        <v>974</v>
      </c>
      <c r="B906" s="4" t="s">
        <v>96</v>
      </c>
      <c r="C906" s="4" t="s">
        <v>36</v>
      </c>
      <c r="D906" s="5">
        <v>2926.8</v>
      </c>
      <c r="E906" s="6">
        <v>4</v>
      </c>
      <c r="F906" s="5">
        <v>11707.2</v>
      </c>
      <c r="G906" s="1">
        <v>45341</v>
      </c>
      <c r="H906" t="s">
        <v>71</v>
      </c>
      <c r="I906">
        <v>2.2999999999999998</v>
      </c>
      <c r="J906" t="s">
        <v>59</v>
      </c>
      <c r="K906">
        <v>2024</v>
      </c>
      <c r="L906">
        <v>2341.44</v>
      </c>
      <c r="M906">
        <v>23</v>
      </c>
      <c r="N906" t="s">
        <v>41</v>
      </c>
      <c r="O906" t="s">
        <v>33</v>
      </c>
      <c r="P906">
        <f>FlipkartSales[[#This Row],[Price (INR)]]*FlipkartSales[[#This Row],[Quantity Sold]]</f>
        <v>11707.2</v>
      </c>
      <c r="Q906">
        <f>FlipkartSales[[#This Row],[Total Sales (INR)]]-FlipkartSales[[#This Row],[Calculated Sales]]</f>
        <v>0</v>
      </c>
      <c r="R906" s="9">
        <f t="shared" si="112"/>
        <v>0.19999999999999998</v>
      </c>
      <c r="S906">
        <f t="shared" si="113"/>
        <v>2926.8</v>
      </c>
      <c r="T906">
        <f t="shared" si="114"/>
        <v>585.36</v>
      </c>
      <c r="U906">
        <f t="shared" si="115"/>
        <v>2</v>
      </c>
      <c r="V906" t="str">
        <f t="shared" si="116"/>
        <v>Q1</v>
      </c>
      <c r="W906" t="str">
        <f t="shared" si="117"/>
        <v>Feb-2024</v>
      </c>
      <c r="X906">
        <f t="shared" si="118"/>
        <v>2692.6560000000004</v>
      </c>
      <c r="Y906" s="5">
        <f t="shared" si="119"/>
        <v>9014.5439999999999</v>
      </c>
      <c r="Z906" s="21">
        <f>DATE(K906,MATCH(J906,{"January","February","March","April","May","June","July","August","September","October","November","December"},0),1)</f>
        <v>45323</v>
      </c>
    </row>
    <row r="907" spans="1:26" x14ac:dyDescent="0.3">
      <c r="A907" s="4" t="s">
        <v>975</v>
      </c>
      <c r="B907" s="4" t="s">
        <v>16</v>
      </c>
      <c r="C907" s="4" t="s">
        <v>17</v>
      </c>
      <c r="D907" s="5">
        <v>37341.949999999997</v>
      </c>
      <c r="E907" s="6">
        <v>2</v>
      </c>
      <c r="F907" s="5">
        <v>74683.899999999994</v>
      </c>
      <c r="G907" s="1">
        <v>45567</v>
      </c>
      <c r="H907" t="s">
        <v>18</v>
      </c>
      <c r="I907">
        <v>4.8</v>
      </c>
      <c r="J907" t="s">
        <v>45</v>
      </c>
      <c r="K907">
        <v>2024</v>
      </c>
      <c r="L907">
        <v>14936.779999999999</v>
      </c>
      <c r="M907">
        <v>21</v>
      </c>
      <c r="N907" t="s">
        <v>20</v>
      </c>
      <c r="O907" t="s">
        <v>21</v>
      </c>
      <c r="P907">
        <f>FlipkartSales[[#This Row],[Price (INR)]]*FlipkartSales[[#This Row],[Quantity Sold]]</f>
        <v>74683.899999999994</v>
      </c>
      <c r="Q907">
        <f>FlipkartSales[[#This Row],[Total Sales (INR)]]-FlipkartSales[[#This Row],[Calculated Sales]]</f>
        <v>0</v>
      </c>
      <c r="R907" s="9">
        <f t="shared" si="112"/>
        <v>0.2</v>
      </c>
      <c r="S907">
        <f t="shared" si="113"/>
        <v>37341.949999999997</v>
      </c>
      <c r="T907">
        <f t="shared" si="114"/>
        <v>7468.3899999999994</v>
      </c>
      <c r="U907">
        <f t="shared" si="115"/>
        <v>10</v>
      </c>
      <c r="V907" t="str">
        <f t="shared" si="116"/>
        <v>Q4</v>
      </c>
      <c r="W907" t="str">
        <f t="shared" si="117"/>
        <v>Oct-2024</v>
      </c>
      <c r="X907">
        <f t="shared" si="118"/>
        <v>15683.618999999999</v>
      </c>
      <c r="Y907" s="5">
        <f t="shared" si="119"/>
        <v>59000.280999999995</v>
      </c>
      <c r="Z907" s="21">
        <f>DATE(K907,MATCH(J907,{"January","February","March","April","May","June","July","August","September","October","November","December"},0),1)</f>
        <v>45566</v>
      </c>
    </row>
    <row r="908" spans="1:26" x14ac:dyDescent="0.3">
      <c r="A908" s="4" t="s">
        <v>976</v>
      </c>
      <c r="B908" s="4" t="s">
        <v>50</v>
      </c>
      <c r="C908" s="4" t="s">
        <v>40</v>
      </c>
      <c r="D908" s="5">
        <v>30100.73</v>
      </c>
      <c r="E908" s="6">
        <v>1</v>
      </c>
      <c r="F908" s="5">
        <v>30100.73</v>
      </c>
      <c r="G908" s="1">
        <v>45352</v>
      </c>
      <c r="H908" t="s">
        <v>25</v>
      </c>
      <c r="I908">
        <v>1.7</v>
      </c>
      <c r="J908" t="s">
        <v>56</v>
      </c>
      <c r="K908">
        <v>2024</v>
      </c>
      <c r="L908">
        <v>6020.1460000000006</v>
      </c>
      <c r="M908">
        <v>9</v>
      </c>
      <c r="N908" t="s">
        <v>27</v>
      </c>
      <c r="O908" t="s">
        <v>28</v>
      </c>
      <c r="P908">
        <f>FlipkartSales[[#This Row],[Price (INR)]]*FlipkartSales[[#This Row],[Quantity Sold]]</f>
        <v>30100.73</v>
      </c>
      <c r="Q908">
        <f>FlipkartSales[[#This Row],[Total Sales (INR)]]-FlipkartSales[[#This Row],[Calculated Sales]]</f>
        <v>0</v>
      </c>
      <c r="R908" s="9">
        <f t="shared" si="112"/>
        <v>0.2</v>
      </c>
      <c r="S908">
        <f t="shared" si="113"/>
        <v>30100.73</v>
      </c>
      <c r="T908">
        <f t="shared" si="114"/>
        <v>6020.1460000000006</v>
      </c>
      <c r="U908">
        <f t="shared" si="115"/>
        <v>3</v>
      </c>
      <c r="V908" t="str">
        <f t="shared" si="116"/>
        <v>Q1</v>
      </c>
      <c r="W908" t="str">
        <f t="shared" si="117"/>
        <v>Mar-2024</v>
      </c>
      <c r="X908">
        <f t="shared" si="118"/>
        <v>2709.0657000000001</v>
      </c>
      <c r="Y908" s="5">
        <f t="shared" si="119"/>
        <v>27391.6643</v>
      </c>
      <c r="Z908" s="21">
        <f>DATE(K908,MATCH(J908,{"January","February","March","April","May","June","July","August","September","October","November","December"},0),1)</f>
        <v>45352</v>
      </c>
    </row>
    <row r="909" spans="1:26" x14ac:dyDescent="0.3">
      <c r="A909" s="4" t="s">
        <v>977</v>
      </c>
      <c r="B909" s="4" t="s">
        <v>23</v>
      </c>
      <c r="C909" s="4" t="s">
        <v>24</v>
      </c>
      <c r="D909" s="5">
        <v>4442.1000000000004</v>
      </c>
      <c r="E909" s="6">
        <v>3</v>
      </c>
      <c r="F909" s="5">
        <v>13326.3</v>
      </c>
      <c r="G909" s="1">
        <v>45380</v>
      </c>
      <c r="H909" t="s">
        <v>18</v>
      </c>
      <c r="I909">
        <v>2.8</v>
      </c>
      <c r="J909" t="s">
        <v>56</v>
      </c>
      <c r="K909">
        <v>2024</v>
      </c>
      <c r="L909">
        <v>2665.26</v>
      </c>
      <c r="M909">
        <v>8</v>
      </c>
      <c r="N909" t="s">
        <v>20</v>
      </c>
      <c r="O909" t="s">
        <v>68</v>
      </c>
      <c r="P909">
        <f>FlipkartSales[[#This Row],[Price (INR)]]*FlipkartSales[[#This Row],[Quantity Sold]]</f>
        <v>13326.300000000001</v>
      </c>
      <c r="Q909">
        <f>FlipkartSales[[#This Row],[Total Sales (INR)]]-FlipkartSales[[#This Row],[Calculated Sales]]</f>
        <v>0</v>
      </c>
      <c r="R909" s="9">
        <f t="shared" si="112"/>
        <v>0.20000000000000004</v>
      </c>
      <c r="S909">
        <f t="shared" si="113"/>
        <v>4442.0999999999995</v>
      </c>
      <c r="T909">
        <f t="shared" si="114"/>
        <v>888.42000000000007</v>
      </c>
      <c r="U909">
        <f t="shared" si="115"/>
        <v>3</v>
      </c>
      <c r="V909" t="str">
        <f t="shared" si="116"/>
        <v>Q1</v>
      </c>
      <c r="W909" t="str">
        <f t="shared" si="117"/>
        <v>Mar-2024</v>
      </c>
      <c r="X909">
        <f t="shared" si="118"/>
        <v>1066.104</v>
      </c>
      <c r="Y909" s="5">
        <f t="shared" si="119"/>
        <v>12260.196</v>
      </c>
      <c r="Z909" s="21">
        <f>DATE(K909,MATCH(J909,{"January","February","March","April","May","June","July","August","September","October","November","December"},0),1)</f>
        <v>45352</v>
      </c>
    </row>
    <row r="910" spans="1:26" x14ac:dyDescent="0.3">
      <c r="A910" s="4" t="s">
        <v>978</v>
      </c>
      <c r="B910" s="4" t="s">
        <v>84</v>
      </c>
      <c r="C910" s="4" t="s">
        <v>40</v>
      </c>
      <c r="D910" s="5">
        <v>18657.990000000002</v>
      </c>
      <c r="E910" s="6">
        <v>5</v>
      </c>
      <c r="F910" s="5">
        <v>93289.95</v>
      </c>
      <c r="G910" s="1">
        <v>45659</v>
      </c>
      <c r="H910" t="s">
        <v>80</v>
      </c>
      <c r="I910">
        <v>1.7</v>
      </c>
      <c r="J910" t="s">
        <v>53</v>
      </c>
      <c r="K910">
        <v>2025</v>
      </c>
      <c r="L910">
        <v>18657.990000000002</v>
      </c>
      <c r="M910">
        <v>14</v>
      </c>
      <c r="N910" t="s">
        <v>27</v>
      </c>
      <c r="O910" t="s">
        <v>68</v>
      </c>
      <c r="P910">
        <f>FlipkartSales[[#This Row],[Price (INR)]]*FlipkartSales[[#This Row],[Quantity Sold]]</f>
        <v>93289.950000000012</v>
      </c>
      <c r="Q910">
        <f>FlipkartSales[[#This Row],[Total Sales (INR)]]-FlipkartSales[[#This Row],[Calculated Sales]]</f>
        <v>0</v>
      </c>
      <c r="R910" s="9">
        <f t="shared" si="112"/>
        <v>0.2</v>
      </c>
      <c r="S910">
        <f t="shared" si="113"/>
        <v>18657.989999999998</v>
      </c>
      <c r="T910">
        <f t="shared" si="114"/>
        <v>3731.5980000000004</v>
      </c>
      <c r="U910">
        <f t="shared" si="115"/>
        <v>1</v>
      </c>
      <c r="V910" t="str">
        <f t="shared" si="116"/>
        <v>Q1</v>
      </c>
      <c r="W910" t="str">
        <f t="shared" si="117"/>
        <v>Jan-2025</v>
      </c>
      <c r="X910">
        <f t="shared" si="118"/>
        <v>13060.593000000001</v>
      </c>
      <c r="Y910" s="5">
        <f t="shared" si="119"/>
        <v>80229.356999999989</v>
      </c>
      <c r="Z910" s="21">
        <f>DATE(K910,MATCH(J910,{"January","February","March","April","May","June","July","August","September","October","November","December"},0),1)</f>
        <v>45658</v>
      </c>
    </row>
    <row r="911" spans="1:26" x14ac:dyDescent="0.3">
      <c r="A911" s="4" t="s">
        <v>979</v>
      </c>
      <c r="B911" s="4" t="s">
        <v>100</v>
      </c>
      <c r="C911" s="4" t="s">
        <v>31</v>
      </c>
      <c r="D911" s="5">
        <v>41402.76</v>
      </c>
      <c r="E911" s="6">
        <v>1</v>
      </c>
      <c r="F911" s="5">
        <v>41402.76</v>
      </c>
      <c r="G911" s="1">
        <v>45483</v>
      </c>
      <c r="H911" t="s">
        <v>71</v>
      </c>
      <c r="I911">
        <v>3.2</v>
      </c>
      <c r="J911" t="s">
        <v>48</v>
      </c>
      <c r="K911">
        <v>2024</v>
      </c>
      <c r="L911">
        <v>8280.5520000000015</v>
      </c>
      <c r="M911">
        <v>28</v>
      </c>
      <c r="N911" t="s">
        <v>27</v>
      </c>
      <c r="O911" t="s">
        <v>68</v>
      </c>
      <c r="P911">
        <f>FlipkartSales[[#This Row],[Price (INR)]]*FlipkartSales[[#This Row],[Quantity Sold]]</f>
        <v>41402.76</v>
      </c>
      <c r="Q911">
        <f>FlipkartSales[[#This Row],[Total Sales (INR)]]-FlipkartSales[[#This Row],[Calculated Sales]]</f>
        <v>0</v>
      </c>
      <c r="R911" s="9">
        <f t="shared" si="112"/>
        <v>0.20000000000000004</v>
      </c>
      <c r="S911">
        <f t="shared" si="113"/>
        <v>41402.76</v>
      </c>
      <c r="T911">
        <f t="shared" si="114"/>
        <v>8280.5520000000015</v>
      </c>
      <c r="U911">
        <f t="shared" si="115"/>
        <v>7</v>
      </c>
      <c r="V911" t="str">
        <f t="shared" si="116"/>
        <v>Q3</v>
      </c>
      <c r="W911" t="str">
        <f t="shared" si="117"/>
        <v>Jul-2024</v>
      </c>
      <c r="X911">
        <f t="shared" si="118"/>
        <v>11592.772800000001</v>
      </c>
      <c r="Y911" s="5">
        <f t="shared" si="119"/>
        <v>29809.987200000003</v>
      </c>
      <c r="Z911" s="21">
        <f>DATE(K911,MATCH(J911,{"January","February","March","April","May","June","July","August","September","October","November","December"},0),1)</f>
        <v>45474</v>
      </c>
    </row>
    <row r="912" spans="1:26" x14ac:dyDescent="0.3">
      <c r="A912" s="4" t="s">
        <v>980</v>
      </c>
      <c r="B912" s="4" t="s">
        <v>16</v>
      </c>
      <c r="C912" s="4" t="s">
        <v>17</v>
      </c>
      <c r="D912" s="5">
        <v>49796.61</v>
      </c>
      <c r="E912" s="6">
        <v>1</v>
      </c>
      <c r="F912" s="5">
        <v>49796.61</v>
      </c>
      <c r="G912" s="1">
        <v>45590</v>
      </c>
      <c r="H912" t="s">
        <v>64</v>
      </c>
      <c r="I912">
        <v>4.0999999999999996</v>
      </c>
      <c r="J912" t="s">
        <v>45</v>
      </c>
      <c r="K912">
        <v>2024</v>
      </c>
      <c r="L912">
        <v>9959.3220000000001</v>
      </c>
      <c r="M912">
        <v>21</v>
      </c>
      <c r="N912" t="s">
        <v>20</v>
      </c>
      <c r="O912" t="s">
        <v>21</v>
      </c>
      <c r="P912">
        <f>FlipkartSales[[#This Row],[Price (INR)]]*FlipkartSales[[#This Row],[Quantity Sold]]</f>
        <v>49796.61</v>
      </c>
      <c r="Q912">
        <f>FlipkartSales[[#This Row],[Total Sales (INR)]]-FlipkartSales[[#This Row],[Calculated Sales]]</f>
        <v>0</v>
      </c>
      <c r="R912" s="9">
        <f t="shared" si="112"/>
        <v>0.2</v>
      </c>
      <c r="S912">
        <f t="shared" si="113"/>
        <v>49796.61</v>
      </c>
      <c r="T912">
        <f t="shared" si="114"/>
        <v>9959.3220000000001</v>
      </c>
      <c r="U912">
        <f t="shared" si="115"/>
        <v>10</v>
      </c>
      <c r="V912" t="str">
        <f t="shared" si="116"/>
        <v>Q4</v>
      </c>
      <c r="W912" t="str">
        <f t="shared" si="117"/>
        <v>Oct-2024</v>
      </c>
      <c r="X912">
        <f t="shared" si="118"/>
        <v>10457.2881</v>
      </c>
      <c r="Y912" s="5">
        <f t="shared" si="119"/>
        <v>39339.321900000003</v>
      </c>
      <c r="Z912" s="21">
        <f>DATE(K912,MATCH(J912,{"January","February","March","April","May","June","July","August","September","October","November","December"},0),1)</f>
        <v>45566</v>
      </c>
    </row>
    <row r="913" spans="1:26" x14ac:dyDescent="0.3">
      <c r="A913" s="4" t="s">
        <v>981</v>
      </c>
      <c r="B913" s="4" t="s">
        <v>58</v>
      </c>
      <c r="C913" s="4" t="s">
        <v>31</v>
      </c>
      <c r="D913" s="5">
        <v>32712.91</v>
      </c>
      <c r="E913" s="6">
        <v>2</v>
      </c>
      <c r="F913" s="5">
        <v>65425.82</v>
      </c>
      <c r="G913" s="1">
        <v>45415</v>
      </c>
      <c r="H913" t="s">
        <v>80</v>
      </c>
      <c r="I913">
        <v>4.2</v>
      </c>
      <c r="J913" t="s">
        <v>32</v>
      </c>
      <c r="K913">
        <v>2024</v>
      </c>
      <c r="L913">
        <v>13085.164000000001</v>
      </c>
      <c r="M913">
        <v>14</v>
      </c>
      <c r="N913" t="s">
        <v>20</v>
      </c>
      <c r="O913" t="s">
        <v>33</v>
      </c>
      <c r="P913">
        <f>FlipkartSales[[#This Row],[Price (INR)]]*FlipkartSales[[#This Row],[Quantity Sold]]</f>
        <v>65425.82</v>
      </c>
      <c r="Q913">
        <f>FlipkartSales[[#This Row],[Total Sales (INR)]]-FlipkartSales[[#This Row],[Calculated Sales]]</f>
        <v>0</v>
      </c>
      <c r="R913" s="9">
        <f t="shared" si="112"/>
        <v>0.2</v>
      </c>
      <c r="S913">
        <f t="shared" si="113"/>
        <v>32712.91</v>
      </c>
      <c r="T913">
        <f t="shared" si="114"/>
        <v>6542.5820000000003</v>
      </c>
      <c r="U913">
        <f t="shared" si="115"/>
        <v>5</v>
      </c>
      <c r="V913" t="str">
        <f t="shared" si="116"/>
        <v>Q2</v>
      </c>
      <c r="W913" t="str">
        <f t="shared" si="117"/>
        <v>May-2024</v>
      </c>
      <c r="X913">
        <f t="shared" si="118"/>
        <v>9159.6147999999994</v>
      </c>
      <c r="Y913" s="5">
        <f t="shared" si="119"/>
        <v>56266.205199999997</v>
      </c>
      <c r="Z913" s="21">
        <f>DATE(K913,MATCH(J913,{"January","February","March","April","May","June","July","August","September","October","November","December"},0),1)</f>
        <v>45413</v>
      </c>
    </row>
    <row r="914" spans="1:26" x14ac:dyDescent="0.3">
      <c r="A914" s="4" t="s">
        <v>982</v>
      </c>
      <c r="B914" s="4" t="s">
        <v>30</v>
      </c>
      <c r="C914" s="4" t="s">
        <v>31</v>
      </c>
      <c r="D914" s="5">
        <v>26281.98</v>
      </c>
      <c r="E914" s="6">
        <v>1</v>
      </c>
      <c r="F914" s="5">
        <v>26281.98</v>
      </c>
      <c r="G914" s="1">
        <v>45467</v>
      </c>
      <c r="H914" t="s">
        <v>18</v>
      </c>
      <c r="I914">
        <v>4.3</v>
      </c>
      <c r="J914" t="s">
        <v>67</v>
      </c>
      <c r="K914">
        <v>2024</v>
      </c>
      <c r="L914">
        <v>5256.3960000000006</v>
      </c>
      <c r="M914">
        <v>21</v>
      </c>
      <c r="N914" t="s">
        <v>20</v>
      </c>
      <c r="O914" t="s">
        <v>33</v>
      </c>
      <c r="P914">
        <f>FlipkartSales[[#This Row],[Price (INR)]]*FlipkartSales[[#This Row],[Quantity Sold]]</f>
        <v>26281.98</v>
      </c>
      <c r="Q914">
        <f>FlipkartSales[[#This Row],[Total Sales (INR)]]-FlipkartSales[[#This Row],[Calculated Sales]]</f>
        <v>0</v>
      </c>
      <c r="R914" s="9">
        <f t="shared" si="112"/>
        <v>0.20000000000000004</v>
      </c>
      <c r="S914">
        <f t="shared" si="113"/>
        <v>26281.98</v>
      </c>
      <c r="T914">
        <f t="shared" si="114"/>
        <v>5256.3960000000006</v>
      </c>
      <c r="U914">
        <f t="shared" si="115"/>
        <v>6</v>
      </c>
      <c r="V914" t="str">
        <f t="shared" si="116"/>
        <v>Q2</v>
      </c>
      <c r="W914" t="str">
        <f t="shared" si="117"/>
        <v>Jun-2024</v>
      </c>
      <c r="X914">
        <f t="shared" si="118"/>
        <v>5519.2157999999999</v>
      </c>
      <c r="Y914" s="5">
        <f t="shared" si="119"/>
        <v>20762.764199999998</v>
      </c>
      <c r="Z914" s="21">
        <f>DATE(K914,MATCH(J914,{"January","February","March","April","May","June","July","August","September","October","November","December"},0),1)</f>
        <v>45444</v>
      </c>
    </row>
    <row r="915" spans="1:26" x14ac:dyDescent="0.3">
      <c r="A915" s="4" t="s">
        <v>983</v>
      </c>
      <c r="B915" s="4" t="s">
        <v>50</v>
      </c>
      <c r="C915" s="4" t="s">
        <v>40</v>
      </c>
      <c r="D915" s="5">
        <v>30805.88</v>
      </c>
      <c r="E915" s="6">
        <v>5</v>
      </c>
      <c r="F915" s="5">
        <v>154029.4</v>
      </c>
      <c r="G915" s="1">
        <v>45458</v>
      </c>
      <c r="H915" t="s">
        <v>71</v>
      </c>
      <c r="I915">
        <v>1.1000000000000001</v>
      </c>
      <c r="J915" t="s">
        <v>67</v>
      </c>
      <c r="K915">
        <v>2024</v>
      </c>
      <c r="L915">
        <v>30805.88</v>
      </c>
      <c r="M915">
        <v>24</v>
      </c>
      <c r="N915" t="s">
        <v>41</v>
      </c>
      <c r="O915" t="s">
        <v>68</v>
      </c>
      <c r="P915">
        <f>FlipkartSales[[#This Row],[Price (INR)]]*FlipkartSales[[#This Row],[Quantity Sold]]</f>
        <v>154029.4</v>
      </c>
      <c r="Q915">
        <f>FlipkartSales[[#This Row],[Total Sales (INR)]]-FlipkartSales[[#This Row],[Calculated Sales]]</f>
        <v>0</v>
      </c>
      <c r="R915" s="9">
        <f t="shared" si="112"/>
        <v>0.2</v>
      </c>
      <c r="S915">
        <f t="shared" si="113"/>
        <v>30805.879999999997</v>
      </c>
      <c r="T915">
        <f t="shared" si="114"/>
        <v>6161.1760000000004</v>
      </c>
      <c r="U915">
        <f t="shared" si="115"/>
        <v>6</v>
      </c>
      <c r="V915" t="str">
        <f t="shared" si="116"/>
        <v>Q2</v>
      </c>
      <c r="W915" t="str">
        <f t="shared" si="117"/>
        <v>Jun-2024</v>
      </c>
      <c r="X915">
        <f t="shared" si="118"/>
        <v>36967.055999999997</v>
      </c>
      <c r="Y915" s="5">
        <f t="shared" si="119"/>
        <v>117062.344</v>
      </c>
      <c r="Z915" s="21">
        <f>DATE(K915,MATCH(J915,{"January","February","March","April","May","June","July","August","September","October","November","December"},0),1)</f>
        <v>45444</v>
      </c>
    </row>
    <row r="916" spans="1:26" x14ac:dyDescent="0.3">
      <c r="A916" s="4" t="s">
        <v>984</v>
      </c>
      <c r="B916" s="4" t="s">
        <v>176</v>
      </c>
      <c r="C916" s="4" t="s">
        <v>24</v>
      </c>
      <c r="D916" s="5">
        <v>9045.23</v>
      </c>
      <c r="E916" s="6">
        <v>5</v>
      </c>
      <c r="F916" s="5">
        <v>45226.15</v>
      </c>
      <c r="G916" s="1">
        <v>45477</v>
      </c>
      <c r="H916" t="s">
        <v>64</v>
      </c>
      <c r="I916">
        <v>4.5999999999999996</v>
      </c>
      <c r="J916" t="s">
        <v>48</v>
      </c>
      <c r="K916">
        <v>2024</v>
      </c>
      <c r="L916">
        <v>9045.2300000000014</v>
      </c>
      <c r="M916">
        <v>28</v>
      </c>
      <c r="N916" t="s">
        <v>27</v>
      </c>
      <c r="O916" t="s">
        <v>28</v>
      </c>
      <c r="P916">
        <f>FlipkartSales[[#This Row],[Price (INR)]]*FlipkartSales[[#This Row],[Quantity Sold]]</f>
        <v>45226.149999999994</v>
      </c>
      <c r="Q916">
        <f>FlipkartSales[[#This Row],[Total Sales (INR)]]-FlipkartSales[[#This Row],[Calculated Sales]]</f>
        <v>0</v>
      </c>
      <c r="R916" s="9">
        <f t="shared" si="112"/>
        <v>0.2</v>
      </c>
      <c r="S916">
        <f t="shared" si="113"/>
        <v>9045.23</v>
      </c>
      <c r="T916">
        <f t="shared" si="114"/>
        <v>1809.0460000000003</v>
      </c>
      <c r="U916">
        <f t="shared" si="115"/>
        <v>7</v>
      </c>
      <c r="V916" t="str">
        <f t="shared" si="116"/>
        <v>Q3</v>
      </c>
      <c r="W916" t="str">
        <f t="shared" si="117"/>
        <v>Jul-2024</v>
      </c>
      <c r="X916">
        <f t="shared" si="118"/>
        <v>12663.322</v>
      </c>
      <c r="Y916" s="5">
        <f t="shared" si="119"/>
        <v>32562.828000000001</v>
      </c>
      <c r="Z916" s="21">
        <f>DATE(K916,MATCH(J916,{"January","February","March","April","May","June","July","August","September","October","November","December"},0),1)</f>
        <v>45474</v>
      </c>
    </row>
    <row r="917" spans="1:26" x14ac:dyDescent="0.3">
      <c r="A917" s="4" t="s">
        <v>985</v>
      </c>
      <c r="B917" s="4" t="s">
        <v>107</v>
      </c>
      <c r="C917" s="4" t="s">
        <v>36</v>
      </c>
      <c r="D917" s="5">
        <v>16003.38</v>
      </c>
      <c r="E917" s="6">
        <v>2</v>
      </c>
      <c r="F917" s="5">
        <v>32006.76</v>
      </c>
      <c r="G917" s="1">
        <v>45548</v>
      </c>
      <c r="H917" t="s">
        <v>25</v>
      </c>
      <c r="I917">
        <v>4.0999999999999996</v>
      </c>
      <c r="J917" t="s">
        <v>19</v>
      </c>
      <c r="K917">
        <v>2024</v>
      </c>
      <c r="L917">
        <v>6401.3519999999999</v>
      </c>
      <c r="M917">
        <v>9</v>
      </c>
      <c r="N917" t="s">
        <v>41</v>
      </c>
      <c r="O917" t="s">
        <v>28</v>
      </c>
      <c r="P917">
        <f>FlipkartSales[[#This Row],[Price (INR)]]*FlipkartSales[[#This Row],[Quantity Sold]]</f>
        <v>32006.76</v>
      </c>
      <c r="Q917">
        <f>FlipkartSales[[#This Row],[Total Sales (INR)]]-FlipkartSales[[#This Row],[Calculated Sales]]</f>
        <v>0</v>
      </c>
      <c r="R917" s="9">
        <f t="shared" si="112"/>
        <v>0.2</v>
      </c>
      <c r="S917">
        <f t="shared" si="113"/>
        <v>16003.38</v>
      </c>
      <c r="T917">
        <f t="shared" si="114"/>
        <v>3200.6759999999999</v>
      </c>
      <c r="U917">
        <f t="shared" si="115"/>
        <v>9</v>
      </c>
      <c r="V917" t="str">
        <f t="shared" si="116"/>
        <v>Q3</v>
      </c>
      <c r="W917" t="str">
        <f t="shared" si="117"/>
        <v>Sep-2024</v>
      </c>
      <c r="X917">
        <f t="shared" si="118"/>
        <v>2880.6083999999996</v>
      </c>
      <c r="Y917" s="5">
        <f t="shared" si="119"/>
        <v>29126.151599999997</v>
      </c>
      <c r="Z917" s="21">
        <f>DATE(K917,MATCH(J917,{"January","February","March","April","May","June","July","August","September","October","November","December"},0),1)</f>
        <v>45536</v>
      </c>
    </row>
    <row r="918" spans="1:26" x14ac:dyDescent="0.3">
      <c r="A918" s="4" t="s">
        <v>986</v>
      </c>
      <c r="B918" s="4" t="s">
        <v>23</v>
      </c>
      <c r="C918" s="4" t="s">
        <v>24</v>
      </c>
      <c r="D918" s="5">
        <v>35139.53</v>
      </c>
      <c r="E918" s="6">
        <v>1</v>
      </c>
      <c r="F918" s="5">
        <v>35139.53</v>
      </c>
      <c r="G918" s="1">
        <v>45431</v>
      </c>
      <c r="H918" t="s">
        <v>44</v>
      </c>
      <c r="I918">
        <v>2.9</v>
      </c>
      <c r="J918" t="s">
        <v>32</v>
      </c>
      <c r="K918">
        <v>2024</v>
      </c>
      <c r="L918">
        <v>7027.9059999999999</v>
      </c>
      <c r="M918">
        <v>6</v>
      </c>
      <c r="N918" t="s">
        <v>41</v>
      </c>
      <c r="O918" t="s">
        <v>33</v>
      </c>
      <c r="P918">
        <f>FlipkartSales[[#This Row],[Price (INR)]]*FlipkartSales[[#This Row],[Quantity Sold]]</f>
        <v>35139.53</v>
      </c>
      <c r="Q918">
        <f>FlipkartSales[[#This Row],[Total Sales (INR)]]-FlipkartSales[[#This Row],[Calculated Sales]]</f>
        <v>0</v>
      </c>
      <c r="R918" s="9">
        <f t="shared" si="112"/>
        <v>0.2</v>
      </c>
      <c r="S918">
        <f t="shared" si="113"/>
        <v>35139.53</v>
      </c>
      <c r="T918">
        <f t="shared" si="114"/>
        <v>7027.9059999999999</v>
      </c>
      <c r="U918">
        <f t="shared" si="115"/>
        <v>5</v>
      </c>
      <c r="V918" t="str">
        <f t="shared" si="116"/>
        <v>Q2</v>
      </c>
      <c r="W918" t="str">
        <f t="shared" si="117"/>
        <v>May-2024</v>
      </c>
      <c r="X918">
        <f t="shared" si="118"/>
        <v>2108.3717999999999</v>
      </c>
      <c r="Y918" s="5">
        <f t="shared" si="119"/>
        <v>33031.158199999998</v>
      </c>
      <c r="Z918" s="21">
        <f>DATE(K918,MATCH(J918,{"January","February","March","April","May","June","July","August","September","October","November","December"},0),1)</f>
        <v>45413</v>
      </c>
    </row>
    <row r="919" spans="1:26" x14ac:dyDescent="0.3">
      <c r="A919" s="4" t="s">
        <v>987</v>
      </c>
      <c r="B919" s="4" t="s">
        <v>118</v>
      </c>
      <c r="C919" s="4" t="s">
        <v>17</v>
      </c>
      <c r="D919" s="5">
        <v>13640.1</v>
      </c>
      <c r="E919" s="6">
        <v>4</v>
      </c>
      <c r="F919" s="5">
        <v>54560.4</v>
      </c>
      <c r="G919" s="1">
        <v>45392</v>
      </c>
      <c r="H919" t="s">
        <v>44</v>
      </c>
      <c r="I919">
        <v>3.3</v>
      </c>
      <c r="J919" t="s">
        <v>62</v>
      </c>
      <c r="K919">
        <v>2024</v>
      </c>
      <c r="L919">
        <v>10912.080000000002</v>
      </c>
      <c r="M919">
        <v>10</v>
      </c>
      <c r="N919" t="s">
        <v>20</v>
      </c>
      <c r="O919" t="s">
        <v>28</v>
      </c>
      <c r="P919">
        <f>FlipkartSales[[#This Row],[Price (INR)]]*FlipkartSales[[#This Row],[Quantity Sold]]</f>
        <v>54560.4</v>
      </c>
      <c r="Q919">
        <f>FlipkartSales[[#This Row],[Total Sales (INR)]]-FlipkartSales[[#This Row],[Calculated Sales]]</f>
        <v>0</v>
      </c>
      <c r="R919" s="9">
        <f t="shared" si="112"/>
        <v>0.20000000000000004</v>
      </c>
      <c r="S919">
        <f t="shared" si="113"/>
        <v>13640.1</v>
      </c>
      <c r="T919">
        <f t="shared" si="114"/>
        <v>2728.0200000000004</v>
      </c>
      <c r="U919">
        <f t="shared" si="115"/>
        <v>4</v>
      </c>
      <c r="V919" t="str">
        <f t="shared" si="116"/>
        <v>Q2</v>
      </c>
      <c r="W919" t="str">
        <f t="shared" si="117"/>
        <v>Apr-2024</v>
      </c>
      <c r="X919">
        <f t="shared" si="118"/>
        <v>5456.04</v>
      </c>
      <c r="Y919" s="5">
        <f t="shared" si="119"/>
        <v>49104.36</v>
      </c>
      <c r="Z919" s="21">
        <f>DATE(K919,MATCH(J919,{"January","February","March","April","May","June","July","August","September","October","November","December"},0),1)</f>
        <v>45383</v>
      </c>
    </row>
    <row r="920" spans="1:26" x14ac:dyDescent="0.3">
      <c r="A920" s="4" t="s">
        <v>988</v>
      </c>
      <c r="B920" s="4" t="s">
        <v>39</v>
      </c>
      <c r="C920" s="4" t="s">
        <v>40</v>
      </c>
      <c r="D920" s="5">
        <v>5535.76</v>
      </c>
      <c r="E920" s="6">
        <v>2</v>
      </c>
      <c r="F920" s="5">
        <v>11071.52</v>
      </c>
      <c r="G920" s="1">
        <v>45692</v>
      </c>
      <c r="H920" t="s">
        <v>25</v>
      </c>
      <c r="I920">
        <v>3.6</v>
      </c>
      <c r="J920" t="s">
        <v>59</v>
      </c>
      <c r="K920">
        <v>2025</v>
      </c>
      <c r="L920">
        <v>2214.3040000000001</v>
      </c>
      <c r="M920">
        <v>25</v>
      </c>
      <c r="N920" t="s">
        <v>41</v>
      </c>
      <c r="O920" t="s">
        <v>33</v>
      </c>
      <c r="P920">
        <f>FlipkartSales[[#This Row],[Price (INR)]]*FlipkartSales[[#This Row],[Quantity Sold]]</f>
        <v>11071.52</v>
      </c>
      <c r="Q920">
        <f>FlipkartSales[[#This Row],[Total Sales (INR)]]-FlipkartSales[[#This Row],[Calculated Sales]]</f>
        <v>0</v>
      </c>
      <c r="R920" s="9">
        <f t="shared" si="112"/>
        <v>0.2</v>
      </c>
      <c r="S920">
        <f t="shared" si="113"/>
        <v>5535.76</v>
      </c>
      <c r="T920">
        <f t="shared" si="114"/>
        <v>1107.152</v>
      </c>
      <c r="U920">
        <f t="shared" si="115"/>
        <v>2</v>
      </c>
      <c r="V920" t="str">
        <f t="shared" si="116"/>
        <v>Q1</v>
      </c>
      <c r="W920" t="str">
        <f t="shared" si="117"/>
        <v>Feb-2025</v>
      </c>
      <c r="X920">
        <f t="shared" si="118"/>
        <v>2767.88</v>
      </c>
      <c r="Y920" s="5">
        <f t="shared" si="119"/>
        <v>8303.64</v>
      </c>
      <c r="Z920" s="21">
        <f>DATE(K920,MATCH(J920,{"January","February","March","April","May","June","July","August","September","October","November","December"},0),1)</f>
        <v>45689</v>
      </c>
    </row>
    <row r="921" spans="1:26" x14ac:dyDescent="0.3">
      <c r="A921" s="4" t="s">
        <v>989</v>
      </c>
      <c r="B921" s="4" t="s">
        <v>43</v>
      </c>
      <c r="C921" s="4" t="s">
        <v>40</v>
      </c>
      <c r="D921" s="5">
        <v>1039.1099999999999</v>
      </c>
      <c r="E921" s="6">
        <v>4</v>
      </c>
      <c r="F921" s="5">
        <v>4156.4399999999996</v>
      </c>
      <c r="G921" s="1">
        <v>45582</v>
      </c>
      <c r="H921" t="s">
        <v>71</v>
      </c>
      <c r="I921">
        <v>3.8</v>
      </c>
      <c r="J921" t="s">
        <v>45</v>
      </c>
      <c r="K921">
        <v>2024</v>
      </c>
      <c r="L921">
        <v>831.28800000000001</v>
      </c>
      <c r="M921">
        <v>6</v>
      </c>
      <c r="N921" t="s">
        <v>20</v>
      </c>
      <c r="O921" t="s">
        <v>68</v>
      </c>
      <c r="P921">
        <f>FlipkartSales[[#This Row],[Price (INR)]]*FlipkartSales[[#This Row],[Quantity Sold]]</f>
        <v>4156.4399999999996</v>
      </c>
      <c r="Q921">
        <f>FlipkartSales[[#This Row],[Total Sales (INR)]]-FlipkartSales[[#This Row],[Calculated Sales]]</f>
        <v>0</v>
      </c>
      <c r="R921" s="9">
        <f t="shared" si="112"/>
        <v>0.2</v>
      </c>
      <c r="S921">
        <f t="shared" si="113"/>
        <v>1039.1099999999999</v>
      </c>
      <c r="T921">
        <f t="shared" si="114"/>
        <v>207.822</v>
      </c>
      <c r="U921">
        <f t="shared" si="115"/>
        <v>10</v>
      </c>
      <c r="V921" t="str">
        <f t="shared" si="116"/>
        <v>Q4</v>
      </c>
      <c r="W921" t="str">
        <f t="shared" si="117"/>
        <v>Oct-2024</v>
      </c>
      <c r="X921">
        <f t="shared" si="118"/>
        <v>249.38639999999998</v>
      </c>
      <c r="Y921" s="5">
        <f t="shared" si="119"/>
        <v>3907.0535999999997</v>
      </c>
      <c r="Z921" s="21">
        <f>DATE(K921,MATCH(J921,{"January","February","March","April","May","June","July","August","September","October","November","December"},0),1)</f>
        <v>45566</v>
      </c>
    </row>
    <row r="922" spans="1:26" x14ac:dyDescent="0.3">
      <c r="A922" s="4" t="s">
        <v>990</v>
      </c>
      <c r="B922" s="4" t="s">
        <v>50</v>
      </c>
      <c r="C922" s="4" t="s">
        <v>40</v>
      </c>
      <c r="D922" s="5">
        <v>41169.65</v>
      </c>
      <c r="E922" s="6">
        <v>5</v>
      </c>
      <c r="F922" s="5">
        <v>205848.25</v>
      </c>
      <c r="G922" s="1">
        <v>45641</v>
      </c>
      <c r="H922" t="s">
        <v>71</v>
      </c>
      <c r="I922">
        <v>2.7</v>
      </c>
      <c r="J922" t="s">
        <v>26</v>
      </c>
      <c r="K922">
        <v>2024</v>
      </c>
      <c r="L922">
        <v>41169.65</v>
      </c>
      <c r="M922">
        <v>17</v>
      </c>
      <c r="N922" t="s">
        <v>27</v>
      </c>
      <c r="O922" t="s">
        <v>33</v>
      </c>
      <c r="P922">
        <f>FlipkartSales[[#This Row],[Price (INR)]]*FlipkartSales[[#This Row],[Quantity Sold]]</f>
        <v>205848.25</v>
      </c>
      <c r="Q922">
        <f>FlipkartSales[[#This Row],[Total Sales (INR)]]-FlipkartSales[[#This Row],[Calculated Sales]]</f>
        <v>0</v>
      </c>
      <c r="R922" s="9">
        <f t="shared" si="112"/>
        <v>0.2</v>
      </c>
      <c r="S922">
        <f t="shared" si="113"/>
        <v>41169.65</v>
      </c>
      <c r="T922">
        <f t="shared" si="114"/>
        <v>8233.93</v>
      </c>
      <c r="U922">
        <f t="shared" si="115"/>
        <v>12</v>
      </c>
      <c r="V922" t="str">
        <f t="shared" si="116"/>
        <v>Q4</v>
      </c>
      <c r="W922" t="str">
        <f t="shared" si="117"/>
        <v>Dec-2024</v>
      </c>
      <c r="X922">
        <f t="shared" si="118"/>
        <v>34994.202499999999</v>
      </c>
      <c r="Y922" s="5">
        <f t="shared" si="119"/>
        <v>170854.04749999999</v>
      </c>
      <c r="Z922" s="21">
        <f>DATE(K922,MATCH(J922,{"January","February","March","April","May","June","July","August","September","October","November","December"},0),1)</f>
        <v>45627</v>
      </c>
    </row>
    <row r="923" spans="1:26" x14ac:dyDescent="0.3">
      <c r="A923" s="4" t="s">
        <v>991</v>
      </c>
      <c r="B923" s="4" t="s">
        <v>96</v>
      </c>
      <c r="C923" s="4" t="s">
        <v>36</v>
      </c>
      <c r="D923" s="5">
        <v>21472.14</v>
      </c>
      <c r="E923" s="6">
        <v>2</v>
      </c>
      <c r="F923" s="5">
        <v>42944.28</v>
      </c>
      <c r="G923" s="1">
        <v>45543</v>
      </c>
      <c r="H923" t="s">
        <v>18</v>
      </c>
      <c r="I923">
        <v>3.4</v>
      </c>
      <c r="J923" t="s">
        <v>19</v>
      </c>
      <c r="K923">
        <v>2024</v>
      </c>
      <c r="L923">
        <v>8588.8559999999998</v>
      </c>
      <c r="M923">
        <v>15</v>
      </c>
      <c r="N923" t="s">
        <v>20</v>
      </c>
      <c r="O923" t="s">
        <v>33</v>
      </c>
      <c r="P923">
        <f>FlipkartSales[[#This Row],[Price (INR)]]*FlipkartSales[[#This Row],[Quantity Sold]]</f>
        <v>42944.28</v>
      </c>
      <c r="Q923">
        <f>FlipkartSales[[#This Row],[Total Sales (INR)]]-FlipkartSales[[#This Row],[Calculated Sales]]</f>
        <v>0</v>
      </c>
      <c r="R923" s="9">
        <f t="shared" si="112"/>
        <v>0.2</v>
      </c>
      <c r="S923">
        <f t="shared" si="113"/>
        <v>21472.14</v>
      </c>
      <c r="T923">
        <f t="shared" si="114"/>
        <v>4294.4279999999999</v>
      </c>
      <c r="U923">
        <f t="shared" si="115"/>
        <v>9</v>
      </c>
      <c r="V923" t="str">
        <f t="shared" si="116"/>
        <v>Q3</v>
      </c>
      <c r="W923" t="str">
        <f t="shared" si="117"/>
        <v>Sep-2024</v>
      </c>
      <c r="X923">
        <f t="shared" si="118"/>
        <v>6441.6419999999998</v>
      </c>
      <c r="Y923" s="5">
        <f t="shared" si="119"/>
        <v>36502.637999999999</v>
      </c>
      <c r="Z923" s="21">
        <f>DATE(K923,MATCH(J923,{"January","February","March","April","May","June","July","August","September","October","November","December"},0),1)</f>
        <v>45536</v>
      </c>
    </row>
    <row r="924" spans="1:26" x14ac:dyDescent="0.3">
      <c r="A924" s="4" t="s">
        <v>992</v>
      </c>
      <c r="B924" s="4" t="s">
        <v>70</v>
      </c>
      <c r="C924" s="4" t="s">
        <v>17</v>
      </c>
      <c r="D924" s="5">
        <v>7936.7</v>
      </c>
      <c r="E924" s="6">
        <v>5</v>
      </c>
      <c r="F924" s="5">
        <v>39683.5</v>
      </c>
      <c r="G924" s="1">
        <v>45636</v>
      </c>
      <c r="H924" t="s">
        <v>18</v>
      </c>
      <c r="I924">
        <v>3.1</v>
      </c>
      <c r="J924" t="s">
        <v>26</v>
      </c>
      <c r="K924">
        <v>2024</v>
      </c>
      <c r="L924">
        <v>7936.7000000000007</v>
      </c>
      <c r="M924">
        <v>15</v>
      </c>
      <c r="N924" t="s">
        <v>41</v>
      </c>
      <c r="O924" t="s">
        <v>68</v>
      </c>
      <c r="P924">
        <f>FlipkartSales[[#This Row],[Price (INR)]]*FlipkartSales[[#This Row],[Quantity Sold]]</f>
        <v>39683.5</v>
      </c>
      <c r="Q924">
        <f>FlipkartSales[[#This Row],[Total Sales (INR)]]-FlipkartSales[[#This Row],[Calculated Sales]]</f>
        <v>0</v>
      </c>
      <c r="R924" s="9">
        <f t="shared" si="112"/>
        <v>0.2</v>
      </c>
      <c r="S924">
        <f t="shared" si="113"/>
        <v>7936.7</v>
      </c>
      <c r="T924">
        <f t="shared" si="114"/>
        <v>1587.3400000000001</v>
      </c>
      <c r="U924">
        <f t="shared" si="115"/>
        <v>12</v>
      </c>
      <c r="V924" t="str">
        <f t="shared" si="116"/>
        <v>Q4</v>
      </c>
      <c r="W924" t="str">
        <f t="shared" si="117"/>
        <v>Dec-2024</v>
      </c>
      <c r="X924">
        <f t="shared" si="118"/>
        <v>5952.5249999999996</v>
      </c>
      <c r="Y924" s="5">
        <f t="shared" si="119"/>
        <v>33730.974999999999</v>
      </c>
      <c r="Z924" s="21">
        <f>DATE(K924,MATCH(J924,{"January","February","March","April","May","June","July","August","September","October","November","December"},0),1)</f>
        <v>45627</v>
      </c>
    </row>
    <row r="925" spans="1:26" x14ac:dyDescent="0.3">
      <c r="A925" s="4" t="s">
        <v>993</v>
      </c>
      <c r="B925" s="4" t="s">
        <v>52</v>
      </c>
      <c r="C925" s="4" t="s">
        <v>24</v>
      </c>
      <c r="D925" s="5">
        <v>23939.919999999998</v>
      </c>
      <c r="E925" s="6">
        <v>3</v>
      </c>
      <c r="F925" s="5">
        <v>71819.759999999995</v>
      </c>
      <c r="G925" s="1">
        <v>45636</v>
      </c>
      <c r="H925" t="s">
        <v>80</v>
      </c>
      <c r="I925">
        <v>2.1</v>
      </c>
      <c r="J925" t="s">
        <v>26</v>
      </c>
      <c r="K925">
        <v>2024</v>
      </c>
      <c r="L925">
        <v>14363.951999999999</v>
      </c>
      <c r="M925">
        <v>20</v>
      </c>
      <c r="N925" t="s">
        <v>41</v>
      </c>
      <c r="O925" t="s">
        <v>28</v>
      </c>
      <c r="P925">
        <f>FlipkartSales[[#This Row],[Price (INR)]]*FlipkartSales[[#This Row],[Quantity Sold]]</f>
        <v>71819.759999999995</v>
      </c>
      <c r="Q925">
        <f>FlipkartSales[[#This Row],[Total Sales (INR)]]-FlipkartSales[[#This Row],[Calculated Sales]]</f>
        <v>0</v>
      </c>
      <c r="R925" s="9">
        <f t="shared" si="112"/>
        <v>0.2</v>
      </c>
      <c r="S925">
        <f t="shared" si="113"/>
        <v>23939.919999999998</v>
      </c>
      <c r="T925">
        <f t="shared" si="114"/>
        <v>4787.9839999999995</v>
      </c>
      <c r="U925">
        <f t="shared" si="115"/>
        <v>12</v>
      </c>
      <c r="V925" t="str">
        <f t="shared" si="116"/>
        <v>Q4</v>
      </c>
      <c r="W925" t="str">
        <f t="shared" si="117"/>
        <v>Dec-2024</v>
      </c>
      <c r="X925">
        <f t="shared" si="118"/>
        <v>14363.951999999999</v>
      </c>
      <c r="Y925" s="5">
        <f t="shared" si="119"/>
        <v>57455.807999999997</v>
      </c>
      <c r="Z925" s="21">
        <f>DATE(K925,MATCH(J925,{"January","February","March","April","May","June","July","August","September","October","November","December"},0),1)</f>
        <v>45627</v>
      </c>
    </row>
    <row r="926" spans="1:26" x14ac:dyDescent="0.3">
      <c r="A926" s="4" t="s">
        <v>994</v>
      </c>
      <c r="B926" s="4" t="s">
        <v>23</v>
      </c>
      <c r="C926" s="4" t="s">
        <v>24</v>
      </c>
      <c r="D926" s="5">
        <v>47480.71</v>
      </c>
      <c r="E926" s="6">
        <v>5</v>
      </c>
      <c r="F926" s="5">
        <v>237403.55</v>
      </c>
      <c r="G926" s="1">
        <v>45544</v>
      </c>
      <c r="H926" t="s">
        <v>25</v>
      </c>
      <c r="I926">
        <v>3.1</v>
      </c>
      <c r="J926" t="s">
        <v>19</v>
      </c>
      <c r="K926">
        <v>2024</v>
      </c>
      <c r="L926">
        <v>47480.71</v>
      </c>
      <c r="M926">
        <v>15</v>
      </c>
      <c r="N926" t="s">
        <v>20</v>
      </c>
      <c r="O926" t="s">
        <v>33</v>
      </c>
      <c r="P926">
        <f>FlipkartSales[[#This Row],[Price (INR)]]*FlipkartSales[[#This Row],[Quantity Sold]]</f>
        <v>237403.55</v>
      </c>
      <c r="Q926">
        <f>FlipkartSales[[#This Row],[Total Sales (INR)]]-FlipkartSales[[#This Row],[Calculated Sales]]</f>
        <v>0</v>
      </c>
      <c r="R926" s="9">
        <f t="shared" si="112"/>
        <v>0.2</v>
      </c>
      <c r="S926">
        <f t="shared" si="113"/>
        <v>47480.71</v>
      </c>
      <c r="T926">
        <f t="shared" si="114"/>
        <v>9496.1419999999998</v>
      </c>
      <c r="U926">
        <f t="shared" si="115"/>
        <v>9</v>
      </c>
      <c r="V926" t="str">
        <f t="shared" si="116"/>
        <v>Q3</v>
      </c>
      <c r="W926" t="str">
        <f t="shared" si="117"/>
        <v>Sep-2024</v>
      </c>
      <c r="X926">
        <f t="shared" si="118"/>
        <v>35610.532500000001</v>
      </c>
      <c r="Y926" s="5">
        <f t="shared" si="119"/>
        <v>201793.01749999999</v>
      </c>
      <c r="Z926" s="21">
        <f>DATE(K926,MATCH(J926,{"January","February","March","April","May","June","July","August","September","October","November","December"},0),1)</f>
        <v>45536</v>
      </c>
    </row>
    <row r="927" spans="1:26" x14ac:dyDescent="0.3">
      <c r="A927" s="4" t="s">
        <v>995</v>
      </c>
      <c r="B927" s="4" t="s">
        <v>145</v>
      </c>
      <c r="C927" s="4" t="s">
        <v>40</v>
      </c>
      <c r="D927" s="5">
        <v>8058.4</v>
      </c>
      <c r="E927" s="6">
        <v>3</v>
      </c>
      <c r="F927" s="5">
        <v>24175.200000000001</v>
      </c>
      <c r="G927" s="1">
        <v>45624</v>
      </c>
      <c r="H927" t="s">
        <v>80</v>
      </c>
      <c r="I927">
        <v>2.9</v>
      </c>
      <c r="J927" t="s">
        <v>37</v>
      </c>
      <c r="K927">
        <v>2024</v>
      </c>
      <c r="L927">
        <v>4835.04</v>
      </c>
      <c r="M927">
        <v>23</v>
      </c>
      <c r="N927" t="s">
        <v>20</v>
      </c>
      <c r="O927" t="s">
        <v>33</v>
      </c>
      <c r="P927">
        <f>FlipkartSales[[#This Row],[Price (INR)]]*FlipkartSales[[#This Row],[Quantity Sold]]</f>
        <v>24175.199999999997</v>
      </c>
      <c r="Q927">
        <f>FlipkartSales[[#This Row],[Total Sales (INR)]]-FlipkartSales[[#This Row],[Calculated Sales]]</f>
        <v>0</v>
      </c>
      <c r="R927" s="9">
        <f t="shared" si="112"/>
        <v>0.19999999999999998</v>
      </c>
      <c r="S927">
        <f t="shared" si="113"/>
        <v>8058.4000000000005</v>
      </c>
      <c r="T927">
        <f t="shared" si="114"/>
        <v>1611.68</v>
      </c>
      <c r="U927">
        <f t="shared" si="115"/>
        <v>11</v>
      </c>
      <c r="V927" t="str">
        <f t="shared" si="116"/>
        <v>Q4</v>
      </c>
      <c r="W927" t="str">
        <f t="shared" si="117"/>
        <v>Nov-2024</v>
      </c>
      <c r="X927">
        <f t="shared" si="118"/>
        <v>5560.2959999999994</v>
      </c>
      <c r="Y927" s="5">
        <f t="shared" si="119"/>
        <v>18614.904000000002</v>
      </c>
      <c r="Z927" s="21">
        <f>DATE(K927,MATCH(J927,{"January","February","March","April","May","June","July","August","September","October","November","December"},0),1)</f>
        <v>45597</v>
      </c>
    </row>
    <row r="928" spans="1:26" x14ac:dyDescent="0.3">
      <c r="A928" s="4" t="s">
        <v>996</v>
      </c>
      <c r="B928" s="4" t="s">
        <v>100</v>
      </c>
      <c r="C928" s="4" t="s">
        <v>31</v>
      </c>
      <c r="D928" s="5">
        <v>32369.52</v>
      </c>
      <c r="E928" s="6">
        <v>2</v>
      </c>
      <c r="F928" s="5">
        <v>64739.040000000001</v>
      </c>
      <c r="G928" s="1">
        <v>45684</v>
      </c>
      <c r="H928" t="s">
        <v>18</v>
      </c>
      <c r="I928">
        <v>2.7</v>
      </c>
      <c r="J928" t="s">
        <v>53</v>
      </c>
      <c r="K928">
        <v>2025</v>
      </c>
      <c r="L928">
        <v>12947.808000000001</v>
      </c>
      <c r="M928">
        <v>19</v>
      </c>
      <c r="N928" t="s">
        <v>41</v>
      </c>
      <c r="O928" t="s">
        <v>68</v>
      </c>
      <c r="P928">
        <f>FlipkartSales[[#This Row],[Price (INR)]]*FlipkartSales[[#This Row],[Quantity Sold]]</f>
        <v>64739.040000000001</v>
      </c>
      <c r="Q928">
        <f>FlipkartSales[[#This Row],[Total Sales (INR)]]-FlipkartSales[[#This Row],[Calculated Sales]]</f>
        <v>0</v>
      </c>
      <c r="R928" s="9">
        <f t="shared" si="112"/>
        <v>0.2</v>
      </c>
      <c r="S928">
        <f t="shared" si="113"/>
        <v>32369.52</v>
      </c>
      <c r="T928">
        <f t="shared" si="114"/>
        <v>6473.9040000000005</v>
      </c>
      <c r="U928">
        <f t="shared" si="115"/>
        <v>1</v>
      </c>
      <c r="V928" t="str">
        <f t="shared" si="116"/>
        <v>Q1</v>
      </c>
      <c r="W928" t="str">
        <f t="shared" si="117"/>
        <v>Jan-2025</v>
      </c>
      <c r="X928">
        <f t="shared" si="118"/>
        <v>12300.417600000001</v>
      </c>
      <c r="Y928" s="5">
        <f t="shared" si="119"/>
        <v>52438.6224</v>
      </c>
      <c r="Z928" s="21">
        <f>DATE(K928,MATCH(J928,{"January","February","March","April","May","June","July","August","September","October","November","December"},0),1)</f>
        <v>45658</v>
      </c>
    </row>
    <row r="929" spans="1:26" x14ac:dyDescent="0.3">
      <c r="A929" s="4" t="s">
        <v>997</v>
      </c>
      <c r="B929" s="4" t="s">
        <v>23</v>
      </c>
      <c r="C929" s="4" t="s">
        <v>24</v>
      </c>
      <c r="D929" s="5">
        <v>29604.77</v>
      </c>
      <c r="E929" s="6">
        <v>4</v>
      </c>
      <c r="F929" s="5">
        <v>118419.08</v>
      </c>
      <c r="G929" s="1">
        <v>45418</v>
      </c>
      <c r="H929" t="s">
        <v>44</v>
      </c>
      <c r="I929">
        <v>3.7</v>
      </c>
      <c r="J929" t="s">
        <v>32</v>
      </c>
      <c r="K929">
        <v>2024</v>
      </c>
      <c r="L929">
        <v>23683.816000000003</v>
      </c>
      <c r="M929">
        <v>29</v>
      </c>
      <c r="N929" t="s">
        <v>27</v>
      </c>
      <c r="O929" t="s">
        <v>28</v>
      </c>
      <c r="P929">
        <f>FlipkartSales[[#This Row],[Price (INR)]]*FlipkartSales[[#This Row],[Quantity Sold]]</f>
        <v>118419.08</v>
      </c>
      <c r="Q929">
        <f>FlipkartSales[[#This Row],[Total Sales (INR)]]-FlipkartSales[[#This Row],[Calculated Sales]]</f>
        <v>0</v>
      </c>
      <c r="R929" s="9">
        <f t="shared" si="112"/>
        <v>0.2</v>
      </c>
      <c r="S929">
        <f t="shared" si="113"/>
        <v>29604.77</v>
      </c>
      <c r="T929">
        <f t="shared" si="114"/>
        <v>5920.9540000000006</v>
      </c>
      <c r="U929">
        <f t="shared" si="115"/>
        <v>5</v>
      </c>
      <c r="V929" t="str">
        <f t="shared" si="116"/>
        <v>Q2</v>
      </c>
      <c r="W929" t="str">
        <f t="shared" si="117"/>
        <v>May-2024</v>
      </c>
      <c r="X929">
        <f t="shared" si="118"/>
        <v>34341.533199999998</v>
      </c>
      <c r="Y929" s="5">
        <f t="shared" si="119"/>
        <v>84077.546800000011</v>
      </c>
      <c r="Z929" s="21">
        <f>DATE(K929,MATCH(J929,{"January","February","March","April","May","June","July","August","September","October","November","December"},0),1)</f>
        <v>45413</v>
      </c>
    </row>
    <row r="930" spans="1:26" x14ac:dyDescent="0.3">
      <c r="A930" s="4" t="s">
        <v>998</v>
      </c>
      <c r="B930" s="4" t="s">
        <v>52</v>
      </c>
      <c r="C930" s="4" t="s">
        <v>24</v>
      </c>
      <c r="D930" s="5">
        <v>19927.72</v>
      </c>
      <c r="E930" s="6">
        <v>2</v>
      </c>
      <c r="F930" s="5">
        <v>39855.440000000002</v>
      </c>
      <c r="G930" s="1">
        <v>45450</v>
      </c>
      <c r="H930" t="s">
        <v>71</v>
      </c>
      <c r="I930">
        <v>3.7</v>
      </c>
      <c r="J930" t="s">
        <v>67</v>
      </c>
      <c r="K930">
        <v>2024</v>
      </c>
      <c r="L930">
        <v>7971.0880000000006</v>
      </c>
      <c r="M930">
        <v>27</v>
      </c>
      <c r="N930" t="s">
        <v>27</v>
      </c>
      <c r="O930" t="s">
        <v>33</v>
      </c>
      <c r="P930">
        <f>FlipkartSales[[#This Row],[Price (INR)]]*FlipkartSales[[#This Row],[Quantity Sold]]</f>
        <v>39855.440000000002</v>
      </c>
      <c r="Q930">
        <f>FlipkartSales[[#This Row],[Total Sales (INR)]]-FlipkartSales[[#This Row],[Calculated Sales]]</f>
        <v>0</v>
      </c>
      <c r="R930" s="9">
        <f t="shared" si="112"/>
        <v>0.2</v>
      </c>
      <c r="S930">
        <f t="shared" si="113"/>
        <v>19927.72</v>
      </c>
      <c r="T930">
        <f t="shared" si="114"/>
        <v>3985.5440000000003</v>
      </c>
      <c r="U930">
        <f t="shared" si="115"/>
        <v>6</v>
      </c>
      <c r="V930" t="str">
        <f t="shared" si="116"/>
        <v>Q2</v>
      </c>
      <c r="W930" t="str">
        <f t="shared" si="117"/>
        <v>Jun-2024</v>
      </c>
      <c r="X930">
        <f t="shared" si="118"/>
        <v>10760.968800000001</v>
      </c>
      <c r="Y930" s="5">
        <f t="shared" si="119"/>
        <v>29094.4712</v>
      </c>
      <c r="Z930" s="21">
        <f>DATE(K930,MATCH(J930,{"January","February","March","April","May","June","July","August","September","October","November","December"},0),1)</f>
        <v>45444</v>
      </c>
    </row>
    <row r="931" spans="1:26" x14ac:dyDescent="0.3">
      <c r="A931" s="4" t="s">
        <v>999</v>
      </c>
      <c r="B931" s="4" t="s">
        <v>70</v>
      </c>
      <c r="C931" s="4" t="s">
        <v>17</v>
      </c>
      <c r="D931" s="5">
        <v>42170.48</v>
      </c>
      <c r="E931" s="6">
        <v>1</v>
      </c>
      <c r="F931" s="5">
        <v>42170.48</v>
      </c>
      <c r="G931" s="1">
        <v>45594</v>
      </c>
      <c r="H931" t="s">
        <v>25</v>
      </c>
      <c r="I931">
        <v>4.4000000000000004</v>
      </c>
      <c r="J931" t="s">
        <v>45</v>
      </c>
      <c r="K931">
        <v>2024</v>
      </c>
      <c r="L931">
        <v>8434.0960000000014</v>
      </c>
      <c r="M931">
        <v>27</v>
      </c>
      <c r="N931" t="s">
        <v>20</v>
      </c>
      <c r="O931" t="s">
        <v>68</v>
      </c>
      <c r="P931">
        <f>FlipkartSales[[#This Row],[Price (INR)]]*FlipkartSales[[#This Row],[Quantity Sold]]</f>
        <v>42170.48</v>
      </c>
      <c r="Q931">
        <f>FlipkartSales[[#This Row],[Total Sales (INR)]]-FlipkartSales[[#This Row],[Calculated Sales]]</f>
        <v>0</v>
      </c>
      <c r="R931" s="9">
        <f t="shared" si="112"/>
        <v>0.2</v>
      </c>
      <c r="S931">
        <f t="shared" si="113"/>
        <v>42170.48</v>
      </c>
      <c r="T931">
        <f t="shared" si="114"/>
        <v>8434.0960000000014</v>
      </c>
      <c r="U931">
        <f t="shared" si="115"/>
        <v>10</v>
      </c>
      <c r="V931" t="str">
        <f t="shared" si="116"/>
        <v>Q4</v>
      </c>
      <c r="W931" t="str">
        <f t="shared" si="117"/>
        <v>Oct-2024</v>
      </c>
      <c r="X931">
        <f t="shared" si="118"/>
        <v>11386.029600000002</v>
      </c>
      <c r="Y931" s="5">
        <f t="shared" si="119"/>
        <v>30784.450400000002</v>
      </c>
      <c r="Z931" s="21">
        <f>DATE(K931,MATCH(J931,{"January","February","March","April","May","June","July","August","September","October","November","December"},0),1)</f>
        <v>45566</v>
      </c>
    </row>
    <row r="932" spans="1:26" x14ac:dyDescent="0.3">
      <c r="A932" s="4" t="s">
        <v>1000</v>
      </c>
      <c r="B932" s="4" t="s">
        <v>176</v>
      </c>
      <c r="C932" s="4" t="s">
        <v>24</v>
      </c>
      <c r="D932" s="5">
        <v>15950.41</v>
      </c>
      <c r="E932" s="6">
        <v>5</v>
      </c>
      <c r="F932" s="5">
        <v>79752.05</v>
      </c>
      <c r="G932" s="1">
        <v>45632</v>
      </c>
      <c r="H932" t="s">
        <v>64</v>
      </c>
      <c r="I932">
        <v>1.5</v>
      </c>
      <c r="J932" t="s">
        <v>26</v>
      </c>
      <c r="K932">
        <v>2024</v>
      </c>
      <c r="L932">
        <v>15950.410000000002</v>
      </c>
      <c r="M932">
        <v>20</v>
      </c>
      <c r="N932" t="s">
        <v>27</v>
      </c>
      <c r="O932" t="s">
        <v>33</v>
      </c>
      <c r="P932">
        <f>FlipkartSales[[#This Row],[Price (INR)]]*FlipkartSales[[#This Row],[Quantity Sold]]</f>
        <v>79752.05</v>
      </c>
      <c r="Q932">
        <f>FlipkartSales[[#This Row],[Total Sales (INR)]]-FlipkartSales[[#This Row],[Calculated Sales]]</f>
        <v>0</v>
      </c>
      <c r="R932" s="9">
        <f t="shared" si="112"/>
        <v>0.2</v>
      </c>
      <c r="S932">
        <f t="shared" si="113"/>
        <v>15950.41</v>
      </c>
      <c r="T932">
        <f t="shared" si="114"/>
        <v>3190.0820000000003</v>
      </c>
      <c r="U932">
        <f t="shared" si="115"/>
        <v>12</v>
      </c>
      <c r="V932" t="str">
        <f t="shared" si="116"/>
        <v>Q4</v>
      </c>
      <c r="W932" t="str">
        <f t="shared" si="117"/>
        <v>Dec-2024</v>
      </c>
      <c r="X932">
        <f t="shared" si="118"/>
        <v>15950.41</v>
      </c>
      <c r="Y932" s="5">
        <f t="shared" si="119"/>
        <v>63801.64</v>
      </c>
      <c r="Z932" s="21">
        <f>DATE(K932,MATCH(J932,{"January","February","March","April","May","June","July","August","September","October","November","December"},0),1)</f>
        <v>45627</v>
      </c>
    </row>
    <row r="933" spans="1:26" x14ac:dyDescent="0.3">
      <c r="A933" s="4" t="s">
        <v>1001</v>
      </c>
      <c r="B933" s="4" t="s">
        <v>118</v>
      </c>
      <c r="C933" s="4" t="s">
        <v>17</v>
      </c>
      <c r="D933" s="5">
        <v>791.45</v>
      </c>
      <c r="E933" s="6">
        <v>4</v>
      </c>
      <c r="F933" s="5">
        <v>3165.8</v>
      </c>
      <c r="G933" s="1">
        <v>45372</v>
      </c>
      <c r="H933" t="s">
        <v>71</v>
      </c>
      <c r="I933">
        <v>1.2</v>
      </c>
      <c r="J933" t="s">
        <v>56</v>
      </c>
      <c r="K933">
        <v>2024</v>
      </c>
      <c r="L933">
        <v>633.16000000000008</v>
      </c>
      <c r="M933">
        <v>15</v>
      </c>
      <c r="N933" t="s">
        <v>41</v>
      </c>
      <c r="O933" t="s">
        <v>21</v>
      </c>
      <c r="P933">
        <f>FlipkartSales[[#This Row],[Price (INR)]]*FlipkartSales[[#This Row],[Quantity Sold]]</f>
        <v>3165.8</v>
      </c>
      <c r="Q933">
        <f>FlipkartSales[[#This Row],[Total Sales (INR)]]-FlipkartSales[[#This Row],[Calculated Sales]]</f>
        <v>0</v>
      </c>
      <c r="R933" s="9">
        <f t="shared" si="112"/>
        <v>0.2</v>
      </c>
      <c r="S933">
        <f t="shared" si="113"/>
        <v>791.45</v>
      </c>
      <c r="T933">
        <f t="shared" si="114"/>
        <v>158.29000000000002</v>
      </c>
      <c r="U933">
        <f t="shared" si="115"/>
        <v>3</v>
      </c>
      <c r="V933" t="str">
        <f t="shared" si="116"/>
        <v>Q1</v>
      </c>
      <c r="W933" t="str">
        <f t="shared" si="117"/>
        <v>Mar-2024</v>
      </c>
      <c r="X933">
        <f t="shared" si="118"/>
        <v>474.87</v>
      </c>
      <c r="Y933" s="5">
        <f t="shared" si="119"/>
        <v>2690.9300000000003</v>
      </c>
      <c r="Z933" s="21">
        <f>DATE(K933,MATCH(J933,{"January","February","March","April","May","June","July","August","September","October","November","December"},0),1)</f>
        <v>45352</v>
      </c>
    </row>
    <row r="934" spans="1:26" x14ac:dyDescent="0.3">
      <c r="A934" s="4" t="s">
        <v>1002</v>
      </c>
      <c r="B934" s="4" t="s">
        <v>23</v>
      </c>
      <c r="C934" s="4" t="s">
        <v>24</v>
      </c>
      <c r="D934" s="5">
        <v>28534.99</v>
      </c>
      <c r="E934" s="6">
        <v>3</v>
      </c>
      <c r="F934" s="5">
        <v>85604.97</v>
      </c>
      <c r="G934" s="1">
        <v>45519</v>
      </c>
      <c r="H934" t="s">
        <v>80</v>
      </c>
      <c r="I934">
        <v>1.8</v>
      </c>
      <c r="J934" t="s">
        <v>88</v>
      </c>
      <c r="K934">
        <v>2024</v>
      </c>
      <c r="L934">
        <v>17120.994000000002</v>
      </c>
      <c r="M934">
        <v>26</v>
      </c>
      <c r="N934" t="s">
        <v>20</v>
      </c>
      <c r="O934" t="s">
        <v>68</v>
      </c>
      <c r="P934">
        <f>FlipkartSales[[#This Row],[Price (INR)]]*FlipkartSales[[#This Row],[Quantity Sold]]</f>
        <v>85604.97</v>
      </c>
      <c r="Q934">
        <f>FlipkartSales[[#This Row],[Total Sales (INR)]]-FlipkartSales[[#This Row],[Calculated Sales]]</f>
        <v>0</v>
      </c>
      <c r="R934" s="9">
        <f t="shared" si="112"/>
        <v>0.20000000000000004</v>
      </c>
      <c r="S934">
        <f t="shared" si="113"/>
        <v>28534.99</v>
      </c>
      <c r="T934">
        <f t="shared" si="114"/>
        <v>5706.9980000000005</v>
      </c>
      <c r="U934">
        <f t="shared" si="115"/>
        <v>8</v>
      </c>
      <c r="V934" t="str">
        <f t="shared" si="116"/>
        <v>Q3</v>
      </c>
      <c r="W934" t="str">
        <f t="shared" si="117"/>
        <v>Aug-2024</v>
      </c>
      <c r="X934">
        <f t="shared" si="118"/>
        <v>22257.292200000004</v>
      </c>
      <c r="Y934" s="5">
        <f t="shared" si="119"/>
        <v>63347.677799999998</v>
      </c>
      <c r="Z934" s="21">
        <f>DATE(K934,MATCH(J934,{"January","February","March","April","May","June","July","August","September","October","November","December"},0),1)</f>
        <v>45505</v>
      </c>
    </row>
    <row r="935" spans="1:26" x14ac:dyDescent="0.3">
      <c r="A935" s="4" t="s">
        <v>1003</v>
      </c>
      <c r="B935" s="4" t="s">
        <v>43</v>
      </c>
      <c r="C935" s="4" t="s">
        <v>40</v>
      </c>
      <c r="D935" s="5">
        <v>13371.43</v>
      </c>
      <c r="E935" s="6">
        <v>4</v>
      </c>
      <c r="F935" s="5">
        <v>53485.72</v>
      </c>
      <c r="G935" s="1">
        <v>45449</v>
      </c>
      <c r="H935" t="s">
        <v>80</v>
      </c>
      <c r="I935">
        <v>1.2</v>
      </c>
      <c r="J935" t="s">
        <v>67</v>
      </c>
      <c r="K935">
        <v>2024</v>
      </c>
      <c r="L935">
        <v>10697.144</v>
      </c>
      <c r="M935">
        <v>20</v>
      </c>
      <c r="N935" t="s">
        <v>41</v>
      </c>
      <c r="O935" t="s">
        <v>28</v>
      </c>
      <c r="P935">
        <f>FlipkartSales[[#This Row],[Price (INR)]]*FlipkartSales[[#This Row],[Quantity Sold]]</f>
        <v>53485.72</v>
      </c>
      <c r="Q935">
        <f>FlipkartSales[[#This Row],[Total Sales (INR)]]-FlipkartSales[[#This Row],[Calculated Sales]]</f>
        <v>0</v>
      </c>
      <c r="R935" s="9">
        <f t="shared" si="112"/>
        <v>0.2</v>
      </c>
      <c r="S935">
        <f t="shared" si="113"/>
        <v>13371.43</v>
      </c>
      <c r="T935">
        <f t="shared" si="114"/>
        <v>2674.2860000000001</v>
      </c>
      <c r="U935">
        <f t="shared" si="115"/>
        <v>6</v>
      </c>
      <c r="V935" t="str">
        <f t="shared" si="116"/>
        <v>Q2</v>
      </c>
      <c r="W935" t="str">
        <f t="shared" si="117"/>
        <v>Jun-2024</v>
      </c>
      <c r="X935">
        <f t="shared" si="118"/>
        <v>10697.143999999998</v>
      </c>
      <c r="Y935" s="5">
        <f t="shared" si="119"/>
        <v>42788.576000000001</v>
      </c>
      <c r="Z935" s="21">
        <f>DATE(K935,MATCH(J935,{"January","February","March","April","May","June","July","August","September","October","November","December"},0),1)</f>
        <v>45444</v>
      </c>
    </row>
    <row r="936" spans="1:26" x14ac:dyDescent="0.3">
      <c r="A936" s="4" t="s">
        <v>1004</v>
      </c>
      <c r="B936" s="4" t="s">
        <v>96</v>
      </c>
      <c r="C936" s="4" t="s">
        <v>36</v>
      </c>
      <c r="D936" s="5">
        <v>48073.8</v>
      </c>
      <c r="E936" s="6">
        <v>4</v>
      </c>
      <c r="F936" s="5">
        <v>192295.2</v>
      </c>
      <c r="G936" s="1">
        <v>45568</v>
      </c>
      <c r="H936" t="s">
        <v>71</v>
      </c>
      <c r="I936">
        <v>4.0999999999999996</v>
      </c>
      <c r="J936" t="s">
        <v>45</v>
      </c>
      <c r="K936">
        <v>2024</v>
      </c>
      <c r="L936">
        <v>38459.040000000001</v>
      </c>
      <c r="M936">
        <v>12</v>
      </c>
      <c r="N936" t="s">
        <v>41</v>
      </c>
      <c r="O936" t="s">
        <v>28</v>
      </c>
      <c r="P936">
        <f>FlipkartSales[[#This Row],[Price (INR)]]*FlipkartSales[[#This Row],[Quantity Sold]]</f>
        <v>192295.2</v>
      </c>
      <c r="Q936">
        <f>FlipkartSales[[#This Row],[Total Sales (INR)]]-FlipkartSales[[#This Row],[Calculated Sales]]</f>
        <v>0</v>
      </c>
      <c r="R936" s="9">
        <f t="shared" si="112"/>
        <v>0.19999999999999998</v>
      </c>
      <c r="S936">
        <f t="shared" si="113"/>
        <v>48073.8</v>
      </c>
      <c r="T936">
        <f t="shared" si="114"/>
        <v>9614.76</v>
      </c>
      <c r="U936">
        <f t="shared" si="115"/>
        <v>10</v>
      </c>
      <c r="V936" t="str">
        <f t="shared" si="116"/>
        <v>Q4</v>
      </c>
      <c r="W936" t="str">
        <f t="shared" si="117"/>
        <v>Oct-2024</v>
      </c>
      <c r="X936">
        <f t="shared" si="118"/>
        <v>23075.424000000003</v>
      </c>
      <c r="Y936" s="5">
        <f t="shared" si="119"/>
        <v>169219.77600000001</v>
      </c>
      <c r="Z936" s="21">
        <f>DATE(K936,MATCH(J936,{"January","February","March","April","May","June","July","August","September","October","November","December"},0),1)</f>
        <v>45566</v>
      </c>
    </row>
    <row r="937" spans="1:26" x14ac:dyDescent="0.3">
      <c r="A937" s="4" t="s">
        <v>1005</v>
      </c>
      <c r="B937" s="4" t="s">
        <v>118</v>
      </c>
      <c r="C937" s="4" t="s">
        <v>17</v>
      </c>
      <c r="D937" s="5">
        <v>15240.16</v>
      </c>
      <c r="E937" s="6">
        <v>5</v>
      </c>
      <c r="F937" s="5">
        <v>76200.800000000003</v>
      </c>
      <c r="G937" s="1">
        <v>45457</v>
      </c>
      <c r="H937" t="s">
        <v>80</v>
      </c>
      <c r="I937">
        <v>3.6</v>
      </c>
      <c r="J937" t="s">
        <v>67</v>
      </c>
      <c r="K937">
        <v>2024</v>
      </c>
      <c r="L937">
        <v>15240.160000000002</v>
      </c>
      <c r="M937">
        <v>8</v>
      </c>
      <c r="N937" t="s">
        <v>27</v>
      </c>
      <c r="O937" t="s">
        <v>28</v>
      </c>
      <c r="P937">
        <f>FlipkartSales[[#This Row],[Price (INR)]]*FlipkartSales[[#This Row],[Quantity Sold]]</f>
        <v>76200.800000000003</v>
      </c>
      <c r="Q937">
        <f>FlipkartSales[[#This Row],[Total Sales (INR)]]-FlipkartSales[[#This Row],[Calculated Sales]]</f>
        <v>0</v>
      </c>
      <c r="R937" s="9">
        <f t="shared" si="112"/>
        <v>0.2</v>
      </c>
      <c r="S937">
        <f t="shared" si="113"/>
        <v>15240.16</v>
      </c>
      <c r="T937">
        <f t="shared" si="114"/>
        <v>3048.0320000000002</v>
      </c>
      <c r="U937">
        <f t="shared" si="115"/>
        <v>6</v>
      </c>
      <c r="V937" t="str">
        <f t="shared" si="116"/>
        <v>Q2</v>
      </c>
      <c r="W937" t="str">
        <f t="shared" si="117"/>
        <v>Jun-2024</v>
      </c>
      <c r="X937">
        <f t="shared" si="118"/>
        <v>6096.0640000000003</v>
      </c>
      <c r="Y937" s="5">
        <f t="shared" si="119"/>
        <v>70104.736000000004</v>
      </c>
      <c r="Z937" s="21">
        <f>DATE(K937,MATCH(J937,{"January","February","March","April","May","June","July","August","September","October","November","December"},0),1)</f>
        <v>45444</v>
      </c>
    </row>
    <row r="938" spans="1:26" x14ac:dyDescent="0.3">
      <c r="A938" s="4" t="s">
        <v>1006</v>
      </c>
      <c r="B938" s="4" t="s">
        <v>70</v>
      </c>
      <c r="C938" s="4" t="s">
        <v>17</v>
      </c>
      <c r="D938" s="5">
        <v>11216.38</v>
      </c>
      <c r="E938" s="6">
        <v>5</v>
      </c>
      <c r="F938" s="5">
        <v>56081.9</v>
      </c>
      <c r="G938" s="1">
        <v>45362</v>
      </c>
      <c r="H938" t="s">
        <v>64</v>
      </c>
      <c r="I938">
        <v>2.8</v>
      </c>
      <c r="J938" t="s">
        <v>56</v>
      </c>
      <c r="K938">
        <v>2024</v>
      </c>
      <c r="L938">
        <v>11216.380000000001</v>
      </c>
      <c r="M938">
        <v>12</v>
      </c>
      <c r="N938" t="s">
        <v>20</v>
      </c>
      <c r="O938" t="s">
        <v>28</v>
      </c>
      <c r="P938">
        <f>FlipkartSales[[#This Row],[Price (INR)]]*FlipkartSales[[#This Row],[Quantity Sold]]</f>
        <v>56081.899999999994</v>
      </c>
      <c r="Q938">
        <f>FlipkartSales[[#This Row],[Total Sales (INR)]]-FlipkartSales[[#This Row],[Calculated Sales]]</f>
        <v>0</v>
      </c>
      <c r="R938" s="9">
        <f t="shared" si="112"/>
        <v>0.2</v>
      </c>
      <c r="S938">
        <f t="shared" si="113"/>
        <v>11216.380000000001</v>
      </c>
      <c r="T938">
        <f t="shared" si="114"/>
        <v>2243.2760000000003</v>
      </c>
      <c r="U938">
        <f t="shared" si="115"/>
        <v>3</v>
      </c>
      <c r="V938" t="str">
        <f t="shared" si="116"/>
        <v>Q1</v>
      </c>
      <c r="W938" t="str">
        <f t="shared" si="117"/>
        <v>Mar-2024</v>
      </c>
      <c r="X938">
        <f t="shared" si="118"/>
        <v>6729.8280000000004</v>
      </c>
      <c r="Y938" s="5">
        <f t="shared" si="119"/>
        <v>49352.072</v>
      </c>
      <c r="Z938" s="21">
        <f>DATE(K938,MATCH(J938,{"January","February","March","April","May","June","July","August","September","October","November","December"},0),1)</f>
        <v>45352</v>
      </c>
    </row>
    <row r="939" spans="1:26" x14ac:dyDescent="0.3">
      <c r="A939" s="4" t="s">
        <v>1007</v>
      </c>
      <c r="B939" s="4" t="s">
        <v>118</v>
      </c>
      <c r="C939" s="4" t="s">
        <v>17</v>
      </c>
      <c r="D939" s="5">
        <v>540.63</v>
      </c>
      <c r="E939" s="6">
        <v>3</v>
      </c>
      <c r="F939" s="5">
        <v>1621.89</v>
      </c>
      <c r="G939" s="1">
        <v>45394</v>
      </c>
      <c r="H939" t="s">
        <v>64</v>
      </c>
      <c r="I939">
        <v>3.5</v>
      </c>
      <c r="J939" t="s">
        <v>62</v>
      </c>
      <c r="K939">
        <v>2024</v>
      </c>
      <c r="L939">
        <v>324.37800000000004</v>
      </c>
      <c r="M939">
        <v>8</v>
      </c>
      <c r="N939" t="s">
        <v>20</v>
      </c>
      <c r="O939" t="s">
        <v>33</v>
      </c>
      <c r="P939">
        <f>FlipkartSales[[#This Row],[Price (INR)]]*FlipkartSales[[#This Row],[Quantity Sold]]</f>
        <v>1621.8899999999999</v>
      </c>
      <c r="Q939">
        <f>FlipkartSales[[#This Row],[Total Sales (INR)]]-FlipkartSales[[#This Row],[Calculated Sales]]</f>
        <v>0</v>
      </c>
      <c r="R939" s="9">
        <f t="shared" si="112"/>
        <v>0.2</v>
      </c>
      <c r="S939">
        <f t="shared" si="113"/>
        <v>540.63</v>
      </c>
      <c r="T939">
        <f t="shared" si="114"/>
        <v>108.12600000000002</v>
      </c>
      <c r="U939">
        <f t="shared" si="115"/>
        <v>4</v>
      </c>
      <c r="V939" t="str">
        <f t="shared" si="116"/>
        <v>Q2</v>
      </c>
      <c r="W939" t="str">
        <f t="shared" si="117"/>
        <v>Apr-2024</v>
      </c>
      <c r="X939">
        <f t="shared" si="118"/>
        <v>129.75120000000001</v>
      </c>
      <c r="Y939" s="5">
        <f t="shared" si="119"/>
        <v>1492.1388000000002</v>
      </c>
      <c r="Z939" s="21">
        <f>DATE(K939,MATCH(J939,{"January","February","March","April","May","June","July","August","September","October","November","December"},0),1)</f>
        <v>45383</v>
      </c>
    </row>
    <row r="940" spans="1:26" x14ac:dyDescent="0.3">
      <c r="A940" s="4" t="s">
        <v>1008</v>
      </c>
      <c r="B940" s="4" t="s">
        <v>35</v>
      </c>
      <c r="C940" s="4" t="s">
        <v>36</v>
      </c>
      <c r="D940" s="5">
        <v>19845.72</v>
      </c>
      <c r="E940" s="6">
        <v>3</v>
      </c>
      <c r="F940" s="5">
        <v>59537.16</v>
      </c>
      <c r="G940" s="1">
        <v>45420</v>
      </c>
      <c r="H940" t="s">
        <v>64</v>
      </c>
      <c r="I940">
        <v>4</v>
      </c>
      <c r="J940" t="s">
        <v>32</v>
      </c>
      <c r="K940">
        <v>2024</v>
      </c>
      <c r="L940">
        <v>11907.432000000001</v>
      </c>
      <c r="M940">
        <v>28</v>
      </c>
      <c r="N940" t="s">
        <v>27</v>
      </c>
      <c r="O940" t="s">
        <v>33</v>
      </c>
      <c r="P940">
        <f>FlipkartSales[[#This Row],[Price (INR)]]*FlipkartSales[[#This Row],[Quantity Sold]]</f>
        <v>59537.16</v>
      </c>
      <c r="Q940">
        <f>FlipkartSales[[#This Row],[Total Sales (INR)]]-FlipkartSales[[#This Row],[Calculated Sales]]</f>
        <v>0</v>
      </c>
      <c r="R940" s="9">
        <f t="shared" si="112"/>
        <v>0.2</v>
      </c>
      <c r="S940">
        <f t="shared" si="113"/>
        <v>19845.72</v>
      </c>
      <c r="T940">
        <f t="shared" si="114"/>
        <v>3969.1440000000002</v>
      </c>
      <c r="U940">
        <f t="shared" si="115"/>
        <v>5</v>
      </c>
      <c r="V940" t="str">
        <f t="shared" si="116"/>
        <v>Q2</v>
      </c>
      <c r="W940" t="str">
        <f t="shared" si="117"/>
        <v>May-2024</v>
      </c>
      <c r="X940">
        <f t="shared" si="118"/>
        <v>16670.4048</v>
      </c>
      <c r="Y940" s="5">
        <f t="shared" si="119"/>
        <v>42866.7552</v>
      </c>
      <c r="Z940" s="21">
        <f>DATE(K940,MATCH(J940,{"January","February","March","April","May","June","July","August","September","October","November","December"},0),1)</f>
        <v>45413</v>
      </c>
    </row>
    <row r="941" spans="1:26" x14ac:dyDescent="0.3">
      <c r="A941" s="4" t="s">
        <v>1009</v>
      </c>
      <c r="B941" s="4" t="s">
        <v>52</v>
      </c>
      <c r="C941" s="4" t="s">
        <v>24</v>
      </c>
      <c r="D941" s="5">
        <v>31486.57</v>
      </c>
      <c r="E941" s="6">
        <v>1</v>
      </c>
      <c r="F941" s="5">
        <v>31486.57</v>
      </c>
      <c r="G941" s="1">
        <v>45520</v>
      </c>
      <c r="H941" t="s">
        <v>44</v>
      </c>
      <c r="I941">
        <v>3</v>
      </c>
      <c r="J941" t="s">
        <v>88</v>
      </c>
      <c r="K941">
        <v>2024</v>
      </c>
      <c r="L941">
        <v>6297.3140000000003</v>
      </c>
      <c r="M941">
        <v>29</v>
      </c>
      <c r="N941" t="s">
        <v>41</v>
      </c>
      <c r="O941" t="s">
        <v>28</v>
      </c>
      <c r="P941">
        <f>FlipkartSales[[#This Row],[Price (INR)]]*FlipkartSales[[#This Row],[Quantity Sold]]</f>
        <v>31486.57</v>
      </c>
      <c r="Q941">
        <f>FlipkartSales[[#This Row],[Total Sales (INR)]]-FlipkartSales[[#This Row],[Calculated Sales]]</f>
        <v>0</v>
      </c>
      <c r="R941" s="9">
        <f t="shared" si="112"/>
        <v>0.2</v>
      </c>
      <c r="S941">
        <f t="shared" si="113"/>
        <v>31486.57</v>
      </c>
      <c r="T941">
        <f t="shared" si="114"/>
        <v>6297.3140000000003</v>
      </c>
      <c r="U941">
        <f t="shared" si="115"/>
        <v>8</v>
      </c>
      <c r="V941" t="str">
        <f t="shared" si="116"/>
        <v>Q3</v>
      </c>
      <c r="W941" t="str">
        <f t="shared" si="117"/>
        <v>Aug-2024</v>
      </c>
      <c r="X941">
        <f t="shared" si="118"/>
        <v>9131.1053000000011</v>
      </c>
      <c r="Y941" s="5">
        <f t="shared" si="119"/>
        <v>22355.464699999997</v>
      </c>
      <c r="Z941" s="21">
        <f>DATE(K941,MATCH(J941,{"January","February","March","April","May","June","July","August","September","October","November","December"},0),1)</f>
        <v>45505</v>
      </c>
    </row>
    <row r="942" spans="1:26" x14ac:dyDescent="0.3">
      <c r="A942" s="4" t="s">
        <v>1010</v>
      </c>
      <c r="B942" s="4" t="s">
        <v>35</v>
      </c>
      <c r="C942" s="4" t="s">
        <v>36</v>
      </c>
      <c r="D942" s="5">
        <v>47899.72</v>
      </c>
      <c r="E942" s="6">
        <v>2</v>
      </c>
      <c r="F942" s="5">
        <v>95799.44</v>
      </c>
      <c r="G942" s="1">
        <v>45483</v>
      </c>
      <c r="H942" t="s">
        <v>64</v>
      </c>
      <c r="I942">
        <v>4</v>
      </c>
      <c r="J942" t="s">
        <v>48</v>
      </c>
      <c r="K942">
        <v>2024</v>
      </c>
      <c r="L942">
        <v>19159.888000000003</v>
      </c>
      <c r="M942">
        <v>7</v>
      </c>
      <c r="N942" t="s">
        <v>41</v>
      </c>
      <c r="O942" t="s">
        <v>28</v>
      </c>
      <c r="P942">
        <f>FlipkartSales[[#This Row],[Price (INR)]]*FlipkartSales[[#This Row],[Quantity Sold]]</f>
        <v>95799.44</v>
      </c>
      <c r="Q942">
        <f>FlipkartSales[[#This Row],[Total Sales (INR)]]-FlipkartSales[[#This Row],[Calculated Sales]]</f>
        <v>0</v>
      </c>
      <c r="R942" s="9">
        <f t="shared" si="112"/>
        <v>0.2</v>
      </c>
      <c r="S942">
        <f t="shared" si="113"/>
        <v>47899.72</v>
      </c>
      <c r="T942">
        <f t="shared" si="114"/>
        <v>9579.9440000000013</v>
      </c>
      <c r="U942">
        <f t="shared" si="115"/>
        <v>7</v>
      </c>
      <c r="V942" t="str">
        <f t="shared" si="116"/>
        <v>Q3</v>
      </c>
      <c r="W942" t="str">
        <f t="shared" si="117"/>
        <v>Jul-2024</v>
      </c>
      <c r="X942">
        <f t="shared" si="118"/>
        <v>6705.9608000000007</v>
      </c>
      <c r="Y942" s="5">
        <f t="shared" si="119"/>
        <v>89093.479200000002</v>
      </c>
      <c r="Z942" s="21">
        <f>DATE(K942,MATCH(J942,{"January","February","March","April","May","June","July","August","September","October","November","December"},0),1)</f>
        <v>45474</v>
      </c>
    </row>
    <row r="943" spans="1:26" x14ac:dyDescent="0.3">
      <c r="A943" s="4" t="s">
        <v>1011</v>
      </c>
      <c r="B943" s="4" t="s">
        <v>16</v>
      </c>
      <c r="C943" s="4" t="s">
        <v>17</v>
      </c>
      <c r="D943" s="5">
        <v>39842.15</v>
      </c>
      <c r="E943" s="6">
        <v>5</v>
      </c>
      <c r="F943" s="5">
        <v>199210.75</v>
      </c>
      <c r="G943" s="1">
        <v>45674</v>
      </c>
      <c r="H943" t="s">
        <v>18</v>
      </c>
      <c r="I943">
        <v>4.8</v>
      </c>
      <c r="J943" t="s">
        <v>53</v>
      </c>
      <c r="K943">
        <v>2025</v>
      </c>
      <c r="L943">
        <v>39842.15</v>
      </c>
      <c r="M943">
        <v>7</v>
      </c>
      <c r="N943" t="s">
        <v>41</v>
      </c>
      <c r="O943" t="s">
        <v>28</v>
      </c>
      <c r="P943">
        <f>FlipkartSales[[#This Row],[Price (INR)]]*FlipkartSales[[#This Row],[Quantity Sold]]</f>
        <v>199210.75</v>
      </c>
      <c r="Q943">
        <f>FlipkartSales[[#This Row],[Total Sales (INR)]]-FlipkartSales[[#This Row],[Calculated Sales]]</f>
        <v>0</v>
      </c>
      <c r="R943" s="9">
        <f t="shared" si="112"/>
        <v>0.2</v>
      </c>
      <c r="S943">
        <f t="shared" si="113"/>
        <v>39842.15</v>
      </c>
      <c r="T943">
        <f t="shared" si="114"/>
        <v>7968.43</v>
      </c>
      <c r="U943">
        <f t="shared" si="115"/>
        <v>1</v>
      </c>
      <c r="V943" t="str">
        <f t="shared" si="116"/>
        <v>Q1</v>
      </c>
      <c r="W943" t="str">
        <f t="shared" si="117"/>
        <v>Jan-2025</v>
      </c>
      <c r="X943">
        <f t="shared" si="118"/>
        <v>13944.752500000001</v>
      </c>
      <c r="Y943" s="5">
        <f t="shared" si="119"/>
        <v>185265.9975</v>
      </c>
      <c r="Z943" s="21">
        <f>DATE(K943,MATCH(J943,{"January","February","March","April","May","June","July","August","September","October","November","December"},0),1)</f>
        <v>45658</v>
      </c>
    </row>
    <row r="944" spans="1:26" x14ac:dyDescent="0.3">
      <c r="A944" s="4" t="s">
        <v>1012</v>
      </c>
      <c r="B944" s="4" t="s">
        <v>47</v>
      </c>
      <c r="C944" s="4" t="s">
        <v>24</v>
      </c>
      <c r="D944" s="5">
        <v>46101.14</v>
      </c>
      <c r="E944" s="6">
        <v>2</v>
      </c>
      <c r="F944" s="5">
        <v>92202.28</v>
      </c>
      <c r="G944" s="1">
        <v>45352</v>
      </c>
      <c r="H944" t="s">
        <v>80</v>
      </c>
      <c r="I944">
        <v>4</v>
      </c>
      <c r="J944" t="s">
        <v>56</v>
      </c>
      <c r="K944">
        <v>2024</v>
      </c>
      <c r="L944">
        <v>18440.456000000002</v>
      </c>
      <c r="M944">
        <v>22</v>
      </c>
      <c r="N944" t="s">
        <v>41</v>
      </c>
      <c r="O944" t="s">
        <v>33</v>
      </c>
      <c r="P944">
        <f>FlipkartSales[[#This Row],[Price (INR)]]*FlipkartSales[[#This Row],[Quantity Sold]]</f>
        <v>92202.28</v>
      </c>
      <c r="Q944">
        <f>FlipkartSales[[#This Row],[Total Sales (INR)]]-FlipkartSales[[#This Row],[Calculated Sales]]</f>
        <v>0</v>
      </c>
      <c r="R944" s="9">
        <f t="shared" si="112"/>
        <v>0.2</v>
      </c>
      <c r="S944">
        <f t="shared" si="113"/>
        <v>46101.14</v>
      </c>
      <c r="T944">
        <f t="shared" si="114"/>
        <v>9220.228000000001</v>
      </c>
      <c r="U944">
        <f t="shared" si="115"/>
        <v>3</v>
      </c>
      <c r="V944" t="str">
        <f t="shared" si="116"/>
        <v>Q1</v>
      </c>
      <c r="W944" t="str">
        <f t="shared" si="117"/>
        <v>Mar-2024</v>
      </c>
      <c r="X944">
        <f t="shared" si="118"/>
        <v>20284.5016</v>
      </c>
      <c r="Y944" s="5">
        <f t="shared" si="119"/>
        <v>71917.778399999996</v>
      </c>
      <c r="Z944" s="21">
        <f>DATE(K944,MATCH(J944,{"January","February","March","April","May","June","July","August","September","October","November","December"},0),1)</f>
        <v>45352</v>
      </c>
    </row>
    <row r="945" spans="1:26" x14ac:dyDescent="0.3">
      <c r="A945" s="4" t="s">
        <v>1013</v>
      </c>
      <c r="B945" s="4" t="s">
        <v>118</v>
      </c>
      <c r="C945" s="4" t="s">
        <v>17</v>
      </c>
      <c r="D945" s="5">
        <v>46563.35</v>
      </c>
      <c r="E945" s="6">
        <v>5</v>
      </c>
      <c r="F945" s="5">
        <v>232816.75</v>
      </c>
      <c r="G945" s="1">
        <v>45420</v>
      </c>
      <c r="H945" t="s">
        <v>18</v>
      </c>
      <c r="I945">
        <v>1.2</v>
      </c>
      <c r="J945" t="s">
        <v>32</v>
      </c>
      <c r="K945">
        <v>2024</v>
      </c>
      <c r="L945">
        <v>46563.350000000006</v>
      </c>
      <c r="M945">
        <v>30</v>
      </c>
      <c r="N945" t="s">
        <v>20</v>
      </c>
      <c r="O945" t="s">
        <v>28</v>
      </c>
      <c r="P945">
        <f>FlipkartSales[[#This Row],[Price (INR)]]*FlipkartSales[[#This Row],[Quantity Sold]]</f>
        <v>232816.75</v>
      </c>
      <c r="Q945">
        <f>FlipkartSales[[#This Row],[Total Sales (INR)]]-FlipkartSales[[#This Row],[Calculated Sales]]</f>
        <v>0</v>
      </c>
      <c r="R945" s="9">
        <f t="shared" si="112"/>
        <v>0.20000000000000004</v>
      </c>
      <c r="S945">
        <f t="shared" si="113"/>
        <v>46563.35</v>
      </c>
      <c r="T945">
        <f t="shared" si="114"/>
        <v>9312.6700000000019</v>
      </c>
      <c r="U945">
        <f t="shared" si="115"/>
        <v>5</v>
      </c>
      <c r="V945" t="str">
        <f t="shared" si="116"/>
        <v>Q2</v>
      </c>
      <c r="W945" t="str">
        <f t="shared" si="117"/>
        <v>May-2024</v>
      </c>
      <c r="X945">
        <f t="shared" si="118"/>
        <v>69845.024999999994</v>
      </c>
      <c r="Y945" s="5">
        <f t="shared" si="119"/>
        <v>162971.72500000001</v>
      </c>
      <c r="Z945" s="21">
        <f>DATE(K945,MATCH(J945,{"January","February","March","April","May","June","July","August","September","October","November","December"},0),1)</f>
        <v>45413</v>
      </c>
    </row>
    <row r="946" spans="1:26" x14ac:dyDescent="0.3">
      <c r="A946" s="4" t="s">
        <v>1014</v>
      </c>
      <c r="B946" s="4" t="s">
        <v>55</v>
      </c>
      <c r="C946" s="4" t="s">
        <v>36</v>
      </c>
      <c r="D946" s="5">
        <v>35922.639999999999</v>
      </c>
      <c r="E946" s="6">
        <v>4</v>
      </c>
      <c r="F946" s="5">
        <v>143690.56</v>
      </c>
      <c r="G946" s="1">
        <v>45339</v>
      </c>
      <c r="H946" t="s">
        <v>25</v>
      </c>
      <c r="I946">
        <v>3.1</v>
      </c>
      <c r="J946" t="s">
        <v>59</v>
      </c>
      <c r="K946">
        <v>2024</v>
      </c>
      <c r="L946">
        <v>28738.112000000001</v>
      </c>
      <c r="M946">
        <v>23</v>
      </c>
      <c r="N946" t="s">
        <v>20</v>
      </c>
      <c r="O946" t="s">
        <v>28</v>
      </c>
      <c r="P946">
        <f>FlipkartSales[[#This Row],[Price (INR)]]*FlipkartSales[[#This Row],[Quantity Sold]]</f>
        <v>143690.56</v>
      </c>
      <c r="Q946">
        <f>FlipkartSales[[#This Row],[Total Sales (INR)]]-FlipkartSales[[#This Row],[Calculated Sales]]</f>
        <v>0</v>
      </c>
      <c r="R946" s="9">
        <f t="shared" si="112"/>
        <v>0.2</v>
      </c>
      <c r="S946">
        <f t="shared" si="113"/>
        <v>35922.639999999999</v>
      </c>
      <c r="T946">
        <f t="shared" si="114"/>
        <v>7184.5280000000002</v>
      </c>
      <c r="U946">
        <f t="shared" si="115"/>
        <v>2</v>
      </c>
      <c r="V946" t="str">
        <f t="shared" si="116"/>
        <v>Q1</v>
      </c>
      <c r="W946" t="str">
        <f t="shared" si="117"/>
        <v>Feb-2024</v>
      </c>
      <c r="X946">
        <f t="shared" si="118"/>
        <v>33048.828799999996</v>
      </c>
      <c r="Y946" s="5">
        <f t="shared" si="119"/>
        <v>110641.73120000001</v>
      </c>
      <c r="Z946" s="21">
        <f>DATE(K946,MATCH(J946,{"January","February","March","April","May","June","July","August","September","October","November","December"},0),1)</f>
        <v>45323</v>
      </c>
    </row>
    <row r="947" spans="1:26" x14ac:dyDescent="0.3">
      <c r="A947" s="4" t="s">
        <v>1015</v>
      </c>
      <c r="B947" s="4" t="s">
        <v>96</v>
      </c>
      <c r="C947" s="4" t="s">
        <v>36</v>
      </c>
      <c r="D947" s="5">
        <v>33745.33</v>
      </c>
      <c r="E947" s="6">
        <v>1</v>
      </c>
      <c r="F947" s="5">
        <v>33745.33</v>
      </c>
      <c r="G947" s="1">
        <v>45670</v>
      </c>
      <c r="H947" t="s">
        <v>64</v>
      </c>
      <c r="I947">
        <v>2.7</v>
      </c>
      <c r="J947" t="s">
        <v>53</v>
      </c>
      <c r="K947">
        <v>2025</v>
      </c>
      <c r="L947">
        <v>6749.0660000000007</v>
      </c>
      <c r="M947">
        <v>23</v>
      </c>
      <c r="N947" t="s">
        <v>27</v>
      </c>
      <c r="O947" t="s">
        <v>21</v>
      </c>
      <c r="P947">
        <f>FlipkartSales[[#This Row],[Price (INR)]]*FlipkartSales[[#This Row],[Quantity Sold]]</f>
        <v>33745.33</v>
      </c>
      <c r="Q947">
        <f>FlipkartSales[[#This Row],[Total Sales (INR)]]-FlipkartSales[[#This Row],[Calculated Sales]]</f>
        <v>0</v>
      </c>
      <c r="R947" s="9">
        <f t="shared" si="112"/>
        <v>0.2</v>
      </c>
      <c r="S947">
        <f t="shared" si="113"/>
        <v>33745.33</v>
      </c>
      <c r="T947">
        <f t="shared" si="114"/>
        <v>6749.0660000000007</v>
      </c>
      <c r="U947">
        <f t="shared" si="115"/>
        <v>1</v>
      </c>
      <c r="V947" t="str">
        <f t="shared" si="116"/>
        <v>Q1</v>
      </c>
      <c r="W947" t="str">
        <f t="shared" si="117"/>
        <v>Jan-2025</v>
      </c>
      <c r="X947">
        <f t="shared" si="118"/>
        <v>7761.4259000000011</v>
      </c>
      <c r="Y947" s="5">
        <f t="shared" si="119"/>
        <v>25983.9041</v>
      </c>
      <c r="Z947" s="21">
        <f>DATE(K947,MATCH(J947,{"January","February","March","April","May","June","July","August","September","October","November","December"},0),1)</f>
        <v>45658</v>
      </c>
    </row>
    <row r="948" spans="1:26" x14ac:dyDescent="0.3">
      <c r="A948" s="4" t="s">
        <v>1016</v>
      </c>
      <c r="B948" s="4" t="s">
        <v>176</v>
      </c>
      <c r="C948" s="4" t="s">
        <v>24</v>
      </c>
      <c r="D948" s="5">
        <v>22870.53</v>
      </c>
      <c r="E948" s="6">
        <v>5</v>
      </c>
      <c r="F948" s="5">
        <v>114352.65</v>
      </c>
      <c r="G948" s="1">
        <v>45463</v>
      </c>
      <c r="H948" t="s">
        <v>64</v>
      </c>
      <c r="I948">
        <v>1.4</v>
      </c>
      <c r="J948" t="s">
        <v>67</v>
      </c>
      <c r="K948">
        <v>2024</v>
      </c>
      <c r="L948">
        <v>22870.53</v>
      </c>
      <c r="M948">
        <v>25</v>
      </c>
      <c r="N948" t="s">
        <v>27</v>
      </c>
      <c r="O948" t="s">
        <v>21</v>
      </c>
      <c r="P948">
        <f>FlipkartSales[[#This Row],[Price (INR)]]*FlipkartSales[[#This Row],[Quantity Sold]]</f>
        <v>114352.65</v>
      </c>
      <c r="Q948">
        <f>FlipkartSales[[#This Row],[Total Sales (INR)]]-FlipkartSales[[#This Row],[Calculated Sales]]</f>
        <v>0</v>
      </c>
      <c r="R948" s="9">
        <f t="shared" si="112"/>
        <v>0.2</v>
      </c>
      <c r="S948">
        <f t="shared" si="113"/>
        <v>22870.53</v>
      </c>
      <c r="T948">
        <f t="shared" si="114"/>
        <v>4574.1059999999998</v>
      </c>
      <c r="U948">
        <f t="shared" si="115"/>
        <v>6</v>
      </c>
      <c r="V948" t="str">
        <f t="shared" si="116"/>
        <v>Q2</v>
      </c>
      <c r="W948" t="str">
        <f t="shared" si="117"/>
        <v>Jun-2024</v>
      </c>
      <c r="X948">
        <f t="shared" si="118"/>
        <v>28588.162499999999</v>
      </c>
      <c r="Y948" s="5">
        <f t="shared" si="119"/>
        <v>85764.487499999988</v>
      </c>
      <c r="Z948" s="21">
        <f>DATE(K948,MATCH(J948,{"January","February","March","April","May","June","July","August","September","October","November","December"},0),1)</f>
        <v>45444</v>
      </c>
    </row>
    <row r="949" spans="1:26" x14ac:dyDescent="0.3">
      <c r="A949" s="4" t="s">
        <v>1017</v>
      </c>
      <c r="B949" s="4" t="s">
        <v>145</v>
      </c>
      <c r="C949" s="4" t="s">
        <v>40</v>
      </c>
      <c r="D949" s="5">
        <v>29715.31</v>
      </c>
      <c r="E949" s="6">
        <v>2</v>
      </c>
      <c r="F949" s="5">
        <v>59430.62</v>
      </c>
      <c r="G949" s="1">
        <v>45394</v>
      </c>
      <c r="H949" t="s">
        <v>64</v>
      </c>
      <c r="I949">
        <v>3.5</v>
      </c>
      <c r="J949" t="s">
        <v>62</v>
      </c>
      <c r="K949">
        <v>2024</v>
      </c>
      <c r="L949">
        <v>11886.124000000002</v>
      </c>
      <c r="M949">
        <v>9</v>
      </c>
      <c r="N949" t="s">
        <v>20</v>
      </c>
      <c r="O949" t="s">
        <v>28</v>
      </c>
      <c r="P949">
        <f>FlipkartSales[[#This Row],[Price (INR)]]*FlipkartSales[[#This Row],[Quantity Sold]]</f>
        <v>59430.62</v>
      </c>
      <c r="Q949">
        <f>FlipkartSales[[#This Row],[Total Sales (INR)]]-FlipkartSales[[#This Row],[Calculated Sales]]</f>
        <v>0</v>
      </c>
      <c r="R949" s="9">
        <f t="shared" si="112"/>
        <v>0.2</v>
      </c>
      <c r="S949">
        <f t="shared" si="113"/>
        <v>29715.31</v>
      </c>
      <c r="T949">
        <f t="shared" si="114"/>
        <v>5943.0620000000008</v>
      </c>
      <c r="U949">
        <f t="shared" si="115"/>
        <v>4</v>
      </c>
      <c r="V949" t="str">
        <f t="shared" si="116"/>
        <v>Q2</v>
      </c>
      <c r="W949" t="str">
        <f t="shared" si="117"/>
        <v>Apr-2024</v>
      </c>
      <c r="X949">
        <f t="shared" si="118"/>
        <v>5348.7558000000008</v>
      </c>
      <c r="Y949" s="5">
        <f t="shared" si="119"/>
        <v>54081.864200000004</v>
      </c>
      <c r="Z949" s="21">
        <f>DATE(K949,MATCH(J949,{"January","February","March","April","May","June","July","August","September","October","November","December"},0),1)</f>
        <v>45383</v>
      </c>
    </row>
    <row r="950" spans="1:26" x14ac:dyDescent="0.3">
      <c r="A950" s="4" t="s">
        <v>1018</v>
      </c>
      <c r="B950" s="4" t="s">
        <v>23</v>
      </c>
      <c r="C950" s="4" t="s">
        <v>24</v>
      </c>
      <c r="D950" s="5">
        <v>15543.65</v>
      </c>
      <c r="E950" s="6">
        <v>4</v>
      </c>
      <c r="F950" s="5">
        <v>62174.6</v>
      </c>
      <c r="G950" s="1">
        <v>45443</v>
      </c>
      <c r="H950" t="s">
        <v>71</v>
      </c>
      <c r="I950">
        <v>2.7</v>
      </c>
      <c r="J950" t="s">
        <v>32</v>
      </c>
      <c r="K950">
        <v>2024</v>
      </c>
      <c r="L950">
        <v>12434.92</v>
      </c>
      <c r="M950">
        <v>22</v>
      </c>
      <c r="N950" t="s">
        <v>20</v>
      </c>
      <c r="O950" t="s">
        <v>68</v>
      </c>
      <c r="P950">
        <f>FlipkartSales[[#This Row],[Price (INR)]]*FlipkartSales[[#This Row],[Quantity Sold]]</f>
        <v>62174.6</v>
      </c>
      <c r="Q950">
        <f>FlipkartSales[[#This Row],[Total Sales (INR)]]-FlipkartSales[[#This Row],[Calculated Sales]]</f>
        <v>0</v>
      </c>
      <c r="R950" s="9">
        <f t="shared" si="112"/>
        <v>0.2</v>
      </c>
      <c r="S950">
        <f t="shared" si="113"/>
        <v>15543.65</v>
      </c>
      <c r="T950">
        <f t="shared" si="114"/>
        <v>3108.73</v>
      </c>
      <c r="U950">
        <f t="shared" si="115"/>
        <v>5</v>
      </c>
      <c r="V950" t="str">
        <f t="shared" si="116"/>
        <v>Q2</v>
      </c>
      <c r="W950" t="str">
        <f t="shared" si="117"/>
        <v>May-2024</v>
      </c>
      <c r="X950">
        <f t="shared" si="118"/>
        <v>13678.412</v>
      </c>
      <c r="Y950" s="5">
        <f t="shared" si="119"/>
        <v>48496.187999999995</v>
      </c>
      <c r="Z950" s="21">
        <f>DATE(K950,MATCH(J950,{"January","February","March","April","May","June","July","August","September","October","November","December"},0),1)</f>
        <v>45413</v>
      </c>
    </row>
    <row r="951" spans="1:26" x14ac:dyDescent="0.3">
      <c r="A951" s="4" t="s">
        <v>1019</v>
      </c>
      <c r="B951" s="4" t="s">
        <v>66</v>
      </c>
      <c r="C951" s="4" t="s">
        <v>36</v>
      </c>
      <c r="D951" s="5">
        <v>8234.32</v>
      </c>
      <c r="E951" s="6">
        <v>2</v>
      </c>
      <c r="F951" s="5">
        <v>16468.64</v>
      </c>
      <c r="G951" s="1">
        <v>45445</v>
      </c>
      <c r="H951" t="s">
        <v>18</v>
      </c>
      <c r="I951">
        <v>1.9</v>
      </c>
      <c r="J951" t="s">
        <v>67</v>
      </c>
      <c r="K951">
        <v>2024</v>
      </c>
      <c r="L951">
        <v>3293.7280000000001</v>
      </c>
      <c r="M951">
        <v>14</v>
      </c>
      <c r="N951" t="s">
        <v>41</v>
      </c>
      <c r="O951" t="s">
        <v>28</v>
      </c>
      <c r="P951">
        <f>FlipkartSales[[#This Row],[Price (INR)]]*FlipkartSales[[#This Row],[Quantity Sold]]</f>
        <v>16468.64</v>
      </c>
      <c r="Q951">
        <f>FlipkartSales[[#This Row],[Total Sales (INR)]]-FlipkartSales[[#This Row],[Calculated Sales]]</f>
        <v>0</v>
      </c>
      <c r="R951" s="9">
        <f t="shared" si="112"/>
        <v>0.2</v>
      </c>
      <c r="S951">
        <f t="shared" si="113"/>
        <v>8234.32</v>
      </c>
      <c r="T951">
        <f t="shared" si="114"/>
        <v>1646.864</v>
      </c>
      <c r="U951">
        <f t="shared" si="115"/>
        <v>6</v>
      </c>
      <c r="V951" t="str">
        <f t="shared" si="116"/>
        <v>Q2</v>
      </c>
      <c r="W951" t="str">
        <f t="shared" si="117"/>
        <v>Jun-2024</v>
      </c>
      <c r="X951">
        <f t="shared" si="118"/>
        <v>2305.6095999999998</v>
      </c>
      <c r="Y951" s="5">
        <f t="shared" si="119"/>
        <v>14163.0304</v>
      </c>
      <c r="Z951" s="21">
        <f>DATE(K951,MATCH(J951,{"January","February","March","April","May","June","July","August","September","October","November","December"},0),1)</f>
        <v>45444</v>
      </c>
    </row>
    <row r="952" spans="1:26" x14ac:dyDescent="0.3">
      <c r="A952" s="4" t="s">
        <v>1020</v>
      </c>
      <c r="B952" s="4" t="s">
        <v>78</v>
      </c>
      <c r="C952" s="4" t="s">
        <v>24</v>
      </c>
      <c r="D952" s="5">
        <v>959.63</v>
      </c>
      <c r="E952" s="6">
        <v>1</v>
      </c>
      <c r="F952" s="5">
        <v>959.63</v>
      </c>
      <c r="G952" s="1">
        <v>45617</v>
      </c>
      <c r="H952" t="s">
        <v>44</v>
      </c>
      <c r="I952">
        <v>1.6</v>
      </c>
      <c r="J952" t="s">
        <v>37</v>
      </c>
      <c r="K952">
        <v>2024</v>
      </c>
      <c r="L952">
        <v>191.92600000000002</v>
      </c>
      <c r="M952">
        <v>26</v>
      </c>
      <c r="N952" t="s">
        <v>41</v>
      </c>
      <c r="O952" t="s">
        <v>21</v>
      </c>
      <c r="P952">
        <f>FlipkartSales[[#This Row],[Price (INR)]]*FlipkartSales[[#This Row],[Quantity Sold]]</f>
        <v>959.63</v>
      </c>
      <c r="Q952">
        <f>FlipkartSales[[#This Row],[Total Sales (INR)]]-FlipkartSales[[#This Row],[Calculated Sales]]</f>
        <v>0</v>
      </c>
      <c r="R952" s="9">
        <f t="shared" si="112"/>
        <v>0.2</v>
      </c>
      <c r="S952">
        <f t="shared" si="113"/>
        <v>959.63</v>
      </c>
      <c r="T952">
        <f t="shared" si="114"/>
        <v>191.92600000000002</v>
      </c>
      <c r="U952">
        <f t="shared" si="115"/>
        <v>11</v>
      </c>
      <c r="V952" t="str">
        <f t="shared" si="116"/>
        <v>Q4</v>
      </c>
      <c r="W952" t="str">
        <f t="shared" si="117"/>
        <v>Nov-2024</v>
      </c>
      <c r="X952">
        <f t="shared" si="118"/>
        <v>249.50380000000001</v>
      </c>
      <c r="Y952" s="5">
        <f t="shared" si="119"/>
        <v>710.12619999999993</v>
      </c>
      <c r="Z952" s="21">
        <f>DATE(K952,MATCH(J952,{"January","February","March","April","May","June","July","August","September","October","November","December"},0),1)</f>
        <v>45597</v>
      </c>
    </row>
    <row r="953" spans="1:26" x14ac:dyDescent="0.3">
      <c r="A953" s="4" t="s">
        <v>1021</v>
      </c>
      <c r="B953" s="4" t="s">
        <v>30</v>
      </c>
      <c r="C953" s="4" t="s">
        <v>31</v>
      </c>
      <c r="D953" s="5">
        <v>34969.69</v>
      </c>
      <c r="E953" s="6">
        <v>5</v>
      </c>
      <c r="F953" s="5">
        <v>174848.45</v>
      </c>
      <c r="G953" s="1">
        <v>45381</v>
      </c>
      <c r="H953" t="s">
        <v>80</v>
      </c>
      <c r="I953">
        <v>4</v>
      </c>
      <c r="J953" t="s">
        <v>56</v>
      </c>
      <c r="K953">
        <v>2024</v>
      </c>
      <c r="L953">
        <v>34969.69</v>
      </c>
      <c r="M953">
        <v>25</v>
      </c>
      <c r="N953" t="s">
        <v>27</v>
      </c>
      <c r="O953" t="s">
        <v>68</v>
      </c>
      <c r="P953">
        <f>FlipkartSales[[#This Row],[Price (INR)]]*FlipkartSales[[#This Row],[Quantity Sold]]</f>
        <v>174848.45</v>
      </c>
      <c r="Q953">
        <f>FlipkartSales[[#This Row],[Total Sales (INR)]]-FlipkartSales[[#This Row],[Calculated Sales]]</f>
        <v>0</v>
      </c>
      <c r="R953" s="9">
        <f t="shared" si="112"/>
        <v>0.2</v>
      </c>
      <c r="S953">
        <f t="shared" si="113"/>
        <v>34969.69</v>
      </c>
      <c r="T953">
        <f t="shared" si="114"/>
        <v>6993.9380000000001</v>
      </c>
      <c r="U953">
        <f t="shared" si="115"/>
        <v>3</v>
      </c>
      <c r="V953" t="str">
        <f t="shared" si="116"/>
        <v>Q1</v>
      </c>
      <c r="W953" t="str">
        <f t="shared" si="117"/>
        <v>Mar-2024</v>
      </c>
      <c r="X953">
        <f t="shared" si="118"/>
        <v>43712.112500000003</v>
      </c>
      <c r="Y953" s="5">
        <f t="shared" si="119"/>
        <v>131136.33750000002</v>
      </c>
      <c r="Z953" s="21">
        <f>DATE(K953,MATCH(J953,{"January","February","March","April","May","June","July","August","September","October","November","December"},0),1)</f>
        <v>45352</v>
      </c>
    </row>
    <row r="954" spans="1:26" x14ac:dyDescent="0.3">
      <c r="A954" s="4" t="s">
        <v>1022</v>
      </c>
      <c r="B954" s="4" t="s">
        <v>107</v>
      </c>
      <c r="C954" s="4" t="s">
        <v>36</v>
      </c>
      <c r="D954" s="5">
        <v>46553.58</v>
      </c>
      <c r="E954" s="6">
        <v>3</v>
      </c>
      <c r="F954" s="5">
        <v>139660.74</v>
      </c>
      <c r="G954" s="1">
        <v>45661</v>
      </c>
      <c r="H954" t="s">
        <v>64</v>
      </c>
      <c r="I954">
        <v>2.2999999999999998</v>
      </c>
      <c r="J954" t="s">
        <v>53</v>
      </c>
      <c r="K954">
        <v>2025</v>
      </c>
      <c r="L954">
        <v>27932.148000000001</v>
      </c>
      <c r="M954">
        <v>10</v>
      </c>
      <c r="N954" t="s">
        <v>20</v>
      </c>
      <c r="O954" t="s">
        <v>68</v>
      </c>
      <c r="P954">
        <f>FlipkartSales[[#This Row],[Price (INR)]]*FlipkartSales[[#This Row],[Quantity Sold]]</f>
        <v>139660.74</v>
      </c>
      <c r="Q954">
        <f>FlipkartSales[[#This Row],[Total Sales (INR)]]-FlipkartSales[[#This Row],[Calculated Sales]]</f>
        <v>0</v>
      </c>
      <c r="R954" s="9">
        <f t="shared" si="112"/>
        <v>0.2</v>
      </c>
      <c r="S954">
        <f t="shared" si="113"/>
        <v>46553.579999999994</v>
      </c>
      <c r="T954">
        <f t="shared" si="114"/>
        <v>9310.7160000000003</v>
      </c>
      <c r="U954">
        <f t="shared" si="115"/>
        <v>1</v>
      </c>
      <c r="V954" t="str">
        <f t="shared" si="116"/>
        <v>Q1</v>
      </c>
      <c r="W954" t="str">
        <f t="shared" si="117"/>
        <v>Jan-2025</v>
      </c>
      <c r="X954">
        <f t="shared" si="118"/>
        <v>13966.073999999999</v>
      </c>
      <c r="Y954" s="5">
        <f t="shared" si="119"/>
        <v>125694.666</v>
      </c>
      <c r="Z954" s="21">
        <f>DATE(K954,MATCH(J954,{"January","February","March","April","May","June","July","August","September","October","November","December"},0),1)</f>
        <v>45658</v>
      </c>
    </row>
    <row r="955" spans="1:26" x14ac:dyDescent="0.3">
      <c r="A955" s="4" t="s">
        <v>1023</v>
      </c>
      <c r="B955" s="4" t="s">
        <v>30</v>
      </c>
      <c r="C955" s="4" t="s">
        <v>31</v>
      </c>
      <c r="D955" s="5">
        <v>33472.93</v>
      </c>
      <c r="E955" s="6">
        <v>1</v>
      </c>
      <c r="F955" s="5">
        <v>33472.93</v>
      </c>
      <c r="G955" s="1">
        <v>45441</v>
      </c>
      <c r="H955" t="s">
        <v>71</v>
      </c>
      <c r="I955">
        <v>3.4</v>
      </c>
      <c r="J955" t="s">
        <v>32</v>
      </c>
      <c r="K955">
        <v>2024</v>
      </c>
      <c r="L955">
        <v>6694.5860000000002</v>
      </c>
      <c r="M955">
        <v>5</v>
      </c>
      <c r="N955" t="s">
        <v>27</v>
      </c>
      <c r="O955" t="s">
        <v>28</v>
      </c>
      <c r="P955">
        <f>FlipkartSales[[#This Row],[Price (INR)]]*FlipkartSales[[#This Row],[Quantity Sold]]</f>
        <v>33472.93</v>
      </c>
      <c r="Q955">
        <f>FlipkartSales[[#This Row],[Total Sales (INR)]]-FlipkartSales[[#This Row],[Calculated Sales]]</f>
        <v>0</v>
      </c>
      <c r="R955" s="9">
        <f t="shared" si="112"/>
        <v>0.2</v>
      </c>
      <c r="S955">
        <f t="shared" si="113"/>
        <v>33472.93</v>
      </c>
      <c r="T955">
        <f t="shared" si="114"/>
        <v>6694.5860000000002</v>
      </c>
      <c r="U955">
        <f t="shared" si="115"/>
        <v>5</v>
      </c>
      <c r="V955" t="str">
        <f t="shared" si="116"/>
        <v>Q2</v>
      </c>
      <c r="W955" t="str">
        <f t="shared" si="117"/>
        <v>May-2024</v>
      </c>
      <c r="X955">
        <f t="shared" si="118"/>
        <v>1673.6464999999998</v>
      </c>
      <c r="Y955" s="5">
        <f t="shared" si="119"/>
        <v>31799.283500000001</v>
      </c>
      <c r="Z955" s="21">
        <f>DATE(K955,MATCH(J955,{"January","February","March","April","May","June","July","August","September","October","November","December"},0),1)</f>
        <v>45413</v>
      </c>
    </row>
    <row r="956" spans="1:26" x14ac:dyDescent="0.3">
      <c r="A956" s="4" t="s">
        <v>1024</v>
      </c>
      <c r="B956" s="4" t="s">
        <v>66</v>
      </c>
      <c r="C956" s="4" t="s">
        <v>36</v>
      </c>
      <c r="D956" s="5">
        <v>29781.11</v>
      </c>
      <c r="E956" s="6">
        <v>2</v>
      </c>
      <c r="F956" s="5">
        <v>59562.22</v>
      </c>
      <c r="G956" s="1">
        <v>45359</v>
      </c>
      <c r="H956" t="s">
        <v>18</v>
      </c>
      <c r="I956">
        <v>3.6</v>
      </c>
      <c r="J956" t="s">
        <v>56</v>
      </c>
      <c r="K956">
        <v>2024</v>
      </c>
      <c r="L956">
        <v>11912.444000000001</v>
      </c>
      <c r="M956">
        <v>9</v>
      </c>
      <c r="N956" t="s">
        <v>20</v>
      </c>
      <c r="O956" t="s">
        <v>21</v>
      </c>
      <c r="P956">
        <f>FlipkartSales[[#This Row],[Price (INR)]]*FlipkartSales[[#This Row],[Quantity Sold]]</f>
        <v>59562.22</v>
      </c>
      <c r="Q956">
        <f>FlipkartSales[[#This Row],[Total Sales (INR)]]-FlipkartSales[[#This Row],[Calculated Sales]]</f>
        <v>0</v>
      </c>
      <c r="R956" s="9">
        <f t="shared" si="112"/>
        <v>0.2</v>
      </c>
      <c r="S956">
        <f t="shared" si="113"/>
        <v>29781.11</v>
      </c>
      <c r="T956">
        <f t="shared" si="114"/>
        <v>5956.2220000000007</v>
      </c>
      <c r="U956">
        <f t="shared" si="115"/>
        <v>3</v>
      </c>
      <c r="V956" t="str">
        <f t="shared" si="116"/>
        <v>Q1</v>
      </c>
      <c r="W956" t="str">
        <f t="shared" si="117"/>
        <v>Mar-2024</v>
      </c>
      <c r="X956">
        <f t="shared" si="118"/>
        <v>5360.5998</v>
      </c>
      <c r="Y956" s="5">
        <f t="shared" si="119"/>
        <v>54201.620200000005</v>
      </c>
      <c r="Z956" s="21">
        <f>DATE(K956,MATCH(J956,{"January","February","March","April","May","June","July","August","September","October","November","December"},0),1)</f>
        <v>45352</v>
      </c>
    </row>
    <row r="957" spans="1:26" x14ac:dyDescent="0.3">
      <c r="A957" s="4" t="s">
        <v>1025</v>
      </c>
      <c r="B957" s="4" t="s">
        <v>39</v>
      </c>
      <c r="C957" s="4" t="s">
        <v>40</v>
      </c>
      <c r="D957" s="5">
        <v>30564.98</v>
      </c>
      <c r="E957" s="6">
        <v>3</v>
      </c>
      <c r="F957" s="5">
        <v>91694.94</v>
      </c>
      <c r="G957" s="1">
        <v>45487</v>
      </c>
      <c r="H957" t="s">
        <v>18</v>
      </c>
      <c r="I957">
        <v>3.8</v>
      </c>
      <c r="J957" t="s">
        <v>48</v>
      </c>
      <c r="K957">
        <v>2024</v>
      </c>
      <c r="L957">
        <v>18338.988000000001</v>
      </c>
      <c r="M957">
        <v>13</v>
      </c>
      <c r="N957" t="s">
        <v>41</v>
      </c>
      <c r="O957" t="s">
        <v>21</v>
      </c>
      <c r="P957">
        <f>FlipkartSales[[#This Row],[Price (INR)]]*FlipkartSales[[#This Row],[Quantity Sold]]</f>
        <v>91694.94</v>
      </c>
      <c r="Q957">
        <f>FlipkartSales[[#This Row],[Total Sales (INR)]]-FlipkartSales[[#This Row],[Calculated Sales]]</f>
        <v>0</v>
      </c>
      <c r="R957" s="9">
        <f t="shared" si="112"/>
        <v>0.2</v>
      </c>
      <c r="S957">
        <f t="shared" si="113"/>
        <v>30564.98</v>
      </c>
      <c r="T957">
        <f t="shared" si="114"/>
        <v>6112.9960000000001</v>
      </c>
      <c r="U957">
        <f t="shared" si="115"/>
        <v>7</v>
      </c>
      <c r="V957" t="str">
        <f t="shared" si="116"/>
        <v>Q3</v>
      </c>
      <c r="W957" t="str">
        <f t="shared" si="117"/>
        <v>Jul-2024</v>
      </c>
      <c r="X957">
        <f t="shared" si="118"/>
        <v>11920.342199999999</v>
      </c>
      <c r="Y957" s="5">
        <f t="shared" si="119"/>
        <v>79774.597800000003</v>
      </c>
      <c r="Z957" s="21">
        <f>DATE(K957,MATCH(J957,{"January","February","March","April","May","June","July","August","September","October","November","December"},0),1)</f>
        <v>45474</v>
      </c>
    </row>
    <row r="958" spans="1:26" x14ac:dyDescent="0.3">
      <c r="A958" s="4" t="s">
        <v>1026</v>
      </c>
      <c r="B958" s="4" t="s">
        <v>47</v>
      </c>
      <c r="C958" s="4" t="s">
        <v>24</v>
      </c>
      <c r="D958" s="5">
        <v>42407.519999999997</v>
      </c>
      <c r="E958" s="6">
        <v>2</v>
      </c>
      <c r="F958" s="5">
        <v>84815.039999999994</v>
      </c>
      <c r="G958" s="1">
        <v>45438</v>
      </c>
      <c r="H958" t="s">
        <v>18</v>
      </c>
      <c r="I958">
        <v>4.7</v>
      </c>
      <c r="J958" t="s">
        <v>32</v>
      </c>
      <c r="K958">
        <v>2024</v>
      </c>
      <c r="L958">
        <v>16963.007999999998</v>
      </c>
      <c r="M958">
        <v>16</v>
      </c>
      <c r="N958" t="s">
        <v>27</v>
      </c>
      <c r="O958" t="s">
        <v>68</v>
      </c>
      <c r="P958">
        <f>FlipkartSales[[#This Row],[Price (INR)]]*FlipkartSales[[#This Row],[Quantity Sold]]</f>
        <v>84815.039999999994</v>
      </c>
      <c r="Q958">
        <f>FlipkartSales[[#This Row],[Total Sales (INR)]]-FlipkartSales[[#This Row],[Calculated Sales]]</f>
        <v>0</v>
      </c>
      <c r="R958" s="9">
        <f t="shared" si="112"/>
        <v>0.19999999999999998</v>
      </c>
      <c r="S958">
        <f t="shared" si="113"/>
        <v>42407.519999999997</v>
      </c>
      <c r="T958">
        <f t="shared" si="114"/>
        <v>8481.503999999999</v>
      </c>
      <c r="U958">
        <f t="shared" si="115"/>
        <v>5</v>
      </c>
      <c r="V958" t="str">
        <f t="shared" si="116"/>
        <v>Q2</v>
      </c>
      <c r="W958" t="str">
        <f t="shared" si="117"/>
        <v>May-2024</v>
      </c>
      <c r="X958">
        <f t="shared" si="118"/>
        <v>13570.4064</v>
      </c>
      <c r="Y958" s="5">
        <f t="shared" si="119"/>
        <v>71244.633600000001</v>
      </c>
      <c r="Z958" s="21">
        <f>DATE(K958,MATCH(J958,{"January","February","March","April","May","June","July","August","September","October","November","December"},0),1)</f>
        <v>45413</v>
      </c>
    </row>
    <row r="959" spans="1:26" x14ac:dyDescent="0.3">
      <c r="A959" s="4" t="s">
        <v>1027</v>
      </c>
      <c r="B959" s="4" t="s">
        <v>118</v>
      </c>
      <c r="C959" s="4" t="s">
        <v>17</v>
      </c>
      <c r="D959" s="5">
        <v>10435.030000000001</v>
      </c>
      <c r="E959" s="6">
        <v>1</v>
      </c>
      <c r="F959" s="5">
        <v>10435.030000000001</v>
      </c>
      <c r="G959" s="1">
        <v>45558</v>
      </c>
      <c r="H959" t="s">
        <v>18</v>
      </c>
      <c r="I959">
        <v>3.1</v>
      </c>
      <c r="J959" t="s">
        <v>19</v>
      </c>
      <c r="K959">
        <v>2024</v>
      </c>
      <c r="L959">
        <v>2087.0060000000003</v>
      </c>
      <c r="M959">
        <v>30</v>
      </c>
      <c r="N959" t="s">
        <v>27</v>
      </c>
      <c r="O959" t="s">
        <v>28</v>
      </c>
      <c r="P959">
        <f>FlipkartSales[[#This Row],[Price (INR)]]*FlipkartSales[[#This Row],[Quantity Sold]]</f>
        <v>10435.030000000001</v>
      </c>
      <c r="Q959">
        <f>FlipkartSales[[#This Row],[Total Sales (INR)]]-FlipkartSales[[#This Row],[Calculated Sales]]</f>
        <v>0</v>
      </c>
      <c r="R959" s="9">
        <f t="shared" si="112"/>
        <v>0.2</v>
      </c>
      <c r="S959">
        <f t="shared" si="113"/>
        <v>10435.030000000001</v>
      </c>
      <c r="T959">
        <f t="shared" si="114"/>
        <v>2087.0060000000003</v>
      </c>
      <c r="U959">
        <f t="shared" si="115"/>
        <v>9</v>
      </c>
      <c r="V959" t="str">
        <f t="shared" si="116"/>
        <v>Q3</v>
      </c>
      <c r="W959" t="str">
        <f t="shared" si="117"/>
        <v>Sep-2024</v>
      </c>
      <c r="X959">
        <f t="shared" si="118"/>
        <v>3130.509</v>
      </c>
      <c r="Y959" s="5">
        <f t="shared" si="119"/>
        <v>7304.5210000000006</v>
      </c>
      <c r="Z959" s="21">
        <f>DATE(K959,MATCH(J959,{"January","February","March","April","May","June","July","August","September","October","November","December"},0),1)</f>
        <v>45536</v>
      </c>
    </row>
    <row r="960" spans="1:26" x14ac:dyDescent="0.3">
      <c r="A960" s="4" t="s">
        <v>1028</v>
      </c>
      <c r="B960" s="4" t="s">
        <v>107</v>
      </c>
      <c r="C960" s="4" t="s">
        <v>36</v>
      </c>
      <c r="D960" s="5">
        <v>35278.46</v>
      </c>
      <c r="E960" s="6">
        <v>3</v>
      </c>
      <c r="F960" s="5">
        <v>105835.38</v>
      </c>
      <c r="G960" s="1">
        <v>45531</v>
      </c>
      <c r="H960" t="s">
        <v>64</v>
      </c>
      <c r="I960">
        <v>1.2</v>
      </c>
      <c r="J960" t="s">
        <v>88</v>
      </c>
      <c r="K960">
        <v>2024</v>
      </c>
      <c r="L960">
        <v>21167.076000000001</v>
      </c>
      <c r="M960">
        <v>18</v>
      </c>
      <c r="N960" t="s">
        <v>20</v>
      </c>
      <c r="O960" t="s">
        <v>33</v>
      </c>
      <c r="P960">
        <f>FlipkartSales[[#This Row],[Price (INR)]]*FlipkartSales[[#This Row],[Quantity Sold]]</f>
        <v>105835.38</v>
      </c>
      <c r="Q960">
        <f>FlipkartSales[[#This Row],[Total Sales (INR)]]-FlipkartSales[[#This Row],[Calculated Sales]]</f>
        <v>0</v>
      </c>
      <c r="R960" s="9">
        <f t="shared" si="112"/>
        <v>0.2</v>
      </c>
      <c r="S960">
        <f t="shared" si="113"/>
        <v>35278.46</v>
      </c>
      <c r="T960">
        <f t="shared" si="114"/>
        <v>7055.692</v>
      </c>
      <c r="U960">
        <f t="shared" si="115"/>
        <v>8</v>
      </c>
      <c r="V960" t="str">
        <f t="shared" si="116"/>
        <v>Q3</v>
      </c>
      <c r="W960" t="str">
        <f t="shared" si="117"/>
        <v>Aug-2024</v>
      </c>
      <c r="X960">
        <f t="shared" si="118"/>
        <v>19050.368399999999</v>
      </c>
      <c r="Y960" s="5">
        <f t="shared" si="119"/>
        <v>86785.011599999998</v>
      </c>
      <c r="Z960" s="21">
        <f>DATE(K960,MATCH(J960,{"January","February","March","April","May","June","July","August","September","October","November","December"},0),1)</f>
        <v>45505</v>
      </c>
    </row>
    <row r="961" spans="1:26" x14ac:dyDescent="0.3">
      <c r="A961" s="4" t="s">
        <v>1029</v>
      </c>
      <c r="B961" s="4" t="s">
        <v>66</v>
      </c>
      <c r="C961" s="4" t="s">
        <v>36</v>
      </c>
      <c r="D961" s="5">
        <v>34844.54</v>
      </c>
      <c r="E961" s="6">
        <v>3</v>
      </c>
      <c r="F961" s="5">
        <v>104533.62</v>
      </c>
      <c r="G961" s="1">
        <v>45561</v>
      </c>
      <c r="H961" t="s">
        <v>71</v>
      </c>
      <c r="I961">
        <v>4.8</v>
      </c>
      <c r="J961" t="s">
        <v>19</v>
      </c>
      <c r="K961">
        <v>2024</v>
      </c>
      <c r="L961">
        <v>20906.724000000002</v>
      </c>
      <c r="M961">
        <v>6</v>
      </c>
      <c r="N961" t="s">
        <v>41</v>
      </c>
      <c r="O961" t="s">
        <v>33</v>
      </c>
      <c r="P961">
        <f>FlipkartSales[[#This Row],[Price (INR)]]*FlipkartSales[[#This Row],[Quantity Sold]]</f>
        <v>104533.62</v>
      </c>
      <c r="Q961">
        <f>FlipkartSales[[#This Row],[Total Sales (INR)]]-FlipkartSales[[#This Row],[Calculated Sales]]</f>
        <v>0</v>
      </c>
      <c r="R961" s="9">
        <f t="shared" si="112"/>
        <v>0.20000000000000004</v>
      </c>
      <c r="S961">
        <f t="shared" si="113"/>
        <v>34844.54</v>
      </c>
      <c r="T961">
        <f t="shared" si="114"/>
        <v>6968.9080000000004</v>
      </c>
      <c r="U961">
        <f t="shared" si="115"/>
        <v>9</v>
      </c>
      <c r="V961" t="str">
        <f t="shared" si="116"/>
        <v>Q3</v>
      </c>
      <c r="W961" t="str">
        <f t="shared" si="117"/>
        <v>Sep-2024</v>
      </c>
      <c r="X961">
        <f t="shared" si="118"/>
        <v>6272.0171999999993</v>
      </c>
      <c r="Y961" s="5">
        <f t="shared" si="119"/>
        <v>98261.602799999993</v>
      </c>
      <c r="Z961" s="21">
        <f>DATE(K961,MATCH(J961,{"January","February","March","April","May","June","July","August","September","October","November","December"},0),1)</f>
        <v>45536</v>
      </c>
    </row>
    <row r="962" spans="1:26" x14ac:dyDescent="0.3">
      <c r="A962" s="4" t="s">
        <v>1030</v>
      </c>
      <c r="B962" s="4" t="s">
        <v>70</v>
      </c>
      <c r="C962" s="4" t="s">
        <v>17</v>
      </c>
      <c r="D962" s="5">
        <v>31159.759999999998</v>
      </c>
      <c r="E962" s="6">
        <v>5</v>
      </c>
      <c r="F962" s="5">
        <v>155798.79999999999</v>
      </c>
      <c r="G962" s="1">
        <v>45682</v>
      </c>
      <c r="H962" t="s">
        <v>44</v>
      </c>
      <c r="I962">
        <v>1.1000000000000001</v>
      </c>
      <c r="J962" t="s">
        <v>53</v>
      </c>
      <c r="K962">
        <v>2025</v>
      </c>
      <c r="L962">
        <v>31159.759999999998</v>
      </c>
      <c r="M962">
        <v>21</v>
      </c>
      <c r="N962" t="s">
        <v>27</v>
      </c>
      <c r="O962" t="s">
        <v>21</v>
      </c>
      <c r="P962">
        <f>FlipkartSales[[#This Row],[Price (INR)]]*FlipkartSales[[#This Row],[Quantity Sold]]</f>
        <v>155798.79999999999</v>
      </c>
      <c r="Q962">
        <f>FlipkartSales[[#This Row],[Total Sales (INR)]]-FlipkartSales[[#This Row],[Calculated Sales]]</f>
        <v>0</v>
      </c>
      <c r="R962" s="9">
        <f t="shared" ref="R962:R1001" si="120">L962/F962</f>
        <v>0.2</v>
      </c>
      <c r="S962">
        <f t="shared" ref="S962:S1001" si="121">F962/E962</f>
        <v>31159.759999999998</v>
      </c>
      <c r="T962">
        <f t="shared" ref="T962:T1001" si="122">L962/E962</f>
        <v>6231.9519999999993</v>
      </c>
      <c r="U962">
        <f t="shared" ref="U962:U1001" si="123">MONTH(G962)</f>
        <v>1</v>
      </c>
      <c r="V962" t="str">
        <f t="shared" ref="V962:V1001" si="124">"Q"&amp;ROUNDUP(MONTH(G962)/3,0)</f>
        <v>Q1</v>
      </c>
      <c r="W962" t="str">
        <f t="shared" ref="W962:W1001" si="125">TEXT(G962,"mmm-yyyy")</f>
        <v>Jan-2025</v>
      </c>
      <c r="X962">
        <f t="shared" ref="X962:X1001" si="126">F962*M962/100</f>
        <v>32717.748</v>
      </c>
      <c r="Y962" s="5">
        <f t="shared" ref="Y962:Y1001" si="127">F962-X962</f>
        <v>123081.052</v>
      </c>
      <c r="Z962" s="21">
        <f>DATE(K962,MATCH(J962,{"January","February","March","April","May","June","July","August","September","October","November","December"},0),1)</f>
        <v>45658</v>
      </c>
    </row>
    <row r="963" spans="1:26" x14ac:dyDescent="0.3">
      <c r="A963" s="4" t="s">
        <v>1031</v>
      </c>
      <c r="B963" s="4" t="s">
        <v>176</v>
      </c>
      <c r="C963" s="4" t="s">
        <v>24</v>
      </c>
      <c r="D963" s="5">
        <v>27369.17</v>
      </c>
      <c r="E963" s="6">
        <v>4</v>
      </c>
      <c r="F963" s="5">
        <v>109476.68</v>
      </c>
      <c r="G963" s="1">
        <v>45546</v>
      </c>
      <c r="H963" t="s">
        <v>25</v>
      </c>
      <c r="I963">
        <v>3.5</v>
      </c>
      <c r="J963" t="s">
        <v>19</v>
      </c>
      <c r="K963">
        <v>2024</v>
      </c>
      <c r="L963">
        <v>21895.335999999999</v>
      </c>
      <c r="M963">
        <v>18</v>
      </c>
      <c r="N963" t="s">
        <v>41</v>
      </c>
      <c r="O963" t="s">
        <v>33</v>
      </c>
      <c r="P963">
        <f>FlipkartSales[[#This Row],[Price (INR)]]*FlipkartSales[[#This Row],[Quantity Sold]]</f>
        <v>109476.68</v>
      </c>
      <c r="Q963">
        <f>FlipkartSales[[#This Row],[Total Sales (INR)]]-FlipkartSales[[#This Row],[Calculated Sales]]</f>
        <v>0</v>
      </c>
      <c r="R963" s="9">
        <f t="shared" si="120"/>
        <v>0.2</v>
      </c>
      <c r="S963">
        <f t="shared" si="121"/>
        <v>27369.17</v>
      </c>
      <c r="T963">
        <f t="shared" si="122"/>
        <v>5473.8339999999998</v>
      </c>
      <c r="U963">
        <f t="shared" si="123"/>
        <v>9</v>
      </c>
      <c r="V963" t="str">
        <f t="shared" si="124"/>
        <v>Q3</v>
      </c>
      <c r="W963" t="str">
        <f t="shared" si="125"/>
        <v>Sep-2024</v>
      </c>
      <c r="X963">
        <f t="shared" si="126"/>
        <v>19705.802399999997</v>
      </c>
      <c r="Y963" s="5">
        <f t="shared" si="127"/>
        <v>89770.877599999993</v>
      </c>
      <c r="Z963" s="21">
        <f>DATE(K963,MATCH(J963,{"January","February","March","April","May","June","July","August","September","October","November","December"},0),1)</f>
        <v>45536</v>
      </c>
    </row>
    <row r="964" spans="1:26" x14ac:dyDescent="0.3">
      <c r="A964" s="4" t="s">
        <v>1032</v>
      </c>
      <c r="B964" s="4" t="s">
        <v>61</v>
      </c>
      <c r="C964" s="4" t="s">
        <v>31</v>
      </c>
      <c r="D964" s="5">
        <v>47055.28</v>
      </c>
      <c r="E964" s="6">
        <v>1</v>
      </c>
      <c r="F964" s="5">
        <v>47055.28</v>
      </c>
      <c r="G964" s="1">
        <v>45459</v>
      </c>
      <c r="H964" t="s">
        <v>71</v>
      </c>
      <c r="I964">
        <v>3</v>
      </c>
      <c r="J964" t="s">
        <v>67</v>
      </c>
      <c r="K964">
        <v>2024</v>
      </c>
      <c r="L964">
        <v>9411.0560000000005</v>
      </c>
      <c r="M964">
        <v>30</v>
      </c>
      <c r="N964" t="s">
        <v>27</v>
      </c>
      <c r="O964" t="s">
        <v>21</v>
      </c>
      <c r="P964">
        <f>FlipkartSales[[#This Row],[Price (INR)]]*FlipkartSales[[#This Row],[Quantity Sold]]</f>
        <v>47055.28</v>
      </c>
      <c r="Q964">
        <f>FlipkartSales[[#This Row],[Total Sales (INR)]]-FlipkartSales[[#This Row],[Calculated Sales]]</f>
        <v>0</v>
      </c>
      <c r="R964" s="9">
        <f t="shared" si="120"/>
        <v>0.2</v>
      </c>
      <c r="S964">
        <f t="shared" si="121"/>
        <v>47055.28</v>
      </c>
      <c r="T964">
        <f t="shared" si="122"/>
        <v>9411.0560000000005</v>
      </c>
      <c r="U964">
        <f t="shared" si="123"/>
        <v>6</v>
      </c>
      <c r="V964" t="str">
        <f t="shared" si="124"/>
        <v>Q2</v>
      </c>
      <c r="W964" t="str">
        <f t="shared" si="125"/>
        <v>Jun-2024</v>
      </c>
      <c r="X964">
        <f t="shared" si="126"/>
        <v>14116.583999999999</v>
      </c>
      <c r="Y964" s="5">
        <f t="shared" si="127"/>
        <v>32938.695999999996</v>
      </c>
      <c r="Z964" s="21">
        <f>DATE(K964,MATCH(J964,{"January","February","March","April","May","June","July","August","September","October","November","December"},0),1)</f>
        <v>45444</v>
      </c>
    </row>
    <row r="965" spans="1:26" x14ac:dyDescent="0.3">
      <c r="A965" s="4" t="s">
        <v>1033</v>
      </c>
      <c r="B965" s="4" t="s">
        <v>96</v>
      </c>
      <c r="C965" s="4" t="s">
        <v>36</v>
      </c>
      <c r="D965" s="5">
        <v>30706.15</v>
      </c>
      <c r="E965" s="6">
        <v>4</v>
      </c>
      <c r="F965" s="5">
        <v>122824.6</v>
      </c>
      <c r="G965" s="1">
        <v>45510</v>
      </c>
      <c r="H965" t="s">
        <v>25</v>
      </c>
      <c r="I965">
        <v>2.9</v>
      </c>
      <c r="J965" t="s">
        <v>88</v>
      </c>
      <c r="K965">
        <v>2024</v>
      </c>
      <c r="L965">
        <v>24564.920000000002</v>
      </c>
      <c r="M965">
        <v>17</v>
      </c>
      <c r="N965" t="s">
        <v>41</v>
      </c>
      <c r="O965" t="s">
        <v>21</v>
      </c>
      <c r="P965">
        <f>FlipkartSales[[#This Row],[Price (INR)]]*FlipkartSales[[#This Row],[Quantity Sold]]</f>
        <v>122824.6</v>
      </c>
      <c r="Q965">
        <f>FlipkartSales[[#This Row],[Total Sales (INR)]]-FlipkartSales[[#This Row],[Calculated Sales]]</f>
        <v>0</v>
      </c>
      <c r="R965" s="9">
        <f t="shared" si="120"/>
        <v>0.2</v>
      </c>
      <c r="S965">
        <f t="shared" si="121"/>
        <v>30706.15</v>
      </c>
      <c r="T965">
        <f t="shared" si="122"/>
        <v>6141.2300000000005</v>
      </c>
      <c r="U965">
        <f t="shared" si="123"/>
        <v>8</v>
      </c>
      <c r="V965" t="str">
        <f t="shared" si="124"/>
        <v>Q3</v>
      </c>
      <c r="W965" t="str">
        <f t="shared" si="125"/>
        <v>Aug-2024</v>
      </c>
      <c r="X965">
        <f t="shared" si="126"/>
        <v>20880.182000000001</v>
      </c>
      <c r="Y965" s="5">
        <f t="shared" si="127"/>
        <v>101944.41800000001</v>
      </c>
      <c r="Z965" s="21">
        <f>DATE(K965,MATCH(J965,{"January","February","March","April","May","June","July","August","September","October","November","December"},0),1)</f>
        <v>45505</v>
      </c>
    </row>
    <row r="966" spans="1:26" x14ac:dyDescent="0.3">
      <c r="A966" s="4" t="s">
        <v>1034</v>
      </c>
      <c r="B966" s="4" t="s">
        <v>94</v>
      </c>
      <c r="C966" s="4" t="s">
        <v>31</v>
      </c>
      <c r="D966" s="5">
        <v>659.73</v>
      </c>
      <c r="E966" s="6">
        <v>4</v>
      </c>
      <c r="F966" s="5">
        <v>2638.92</v>
      </c>
      <c r="G966" s="1">
        <v>45634</v>
      </c>
      <c r="H966" t="s">
        <v>25</v>
      </c>
      <c r="I966">
        <v>3.5</v>
      </c>
      <c r="J966" t="s">
        <v>26</v>
      </c>
      <c r="K966">
        <v>2024</v>
      </c>
      <c r="L966">
        <v>527.78399999999999</v>
      </c>
      <c r="M966">
        <v>13</v>
      </c>
      <c r="N966" t="s">
        <v>20</v>
      </c>
      <c r="O966" t="s">
        <v>21</v>
      </c>
      <c r="P966">
        <f>FlipkartSales[[#This Row],[Price (INR)]]*FlipkartSales[[#This Row],[Quantity Sold]]</f>
        <v>2638.92</v>
      </c>
      <c r="Q966">
        <f>FlipkartSales[[#This Row],[Total Sales (INR)]]-FlipkartSales[[#This Row],[Calculated Sales]]</f>
        <v>0</v>
      </c>
      <c r="R966" s="9">
        <f t="shared" si="120"/>
        <v>0.19999999999999998</v>
      </c>
      <c r="S966">
        <f t="shared" si="121"/>
        <v>659.73</v>
      </c>
      <c r="T966">
        <f t="shared" si="122"/>
        <v>131.946</v>
      </c>
      <c r="U966">
        <f t="shared" si="123"/>
        <v>12</v>
      </c>
      <c r="V966" t="str">
        <f t="shared" si="124"/>
        <v>Q4</v>
      </c>
      <c r="W966" t="str">
        <f t="shared" si="125"/>
        <v>Dec-2024</v>
      </c>
      <c r="X966">
        <f t="shared" si="126"/>
        <v>343.05959999999999</v>
      </c>
      <c r="Y966" s="5">
        <f t="shared" si="127"/>
        <v>2295.8604</v>
      </c>
      <c r="Z966" s="21">
        <f>DATE(K966,MATCH(J966,{"January","February","March","April","May","June","July","August","September","October","November","December"},0),1)</f>
        <v>45627</v>
      </c>
    </row>
    <row r="967" spans="1:26" x14ac:dyDescent="0.3">
      <c r="A967" s="4" t="s">
        <v>1035</v>
      </c>
      <c r="B967" s="4" t="s">
        <v>58</v>
      </c>
      <c r="C967" s="4" t="s">
        <v>31</v>
      </c>
      <c r="D967" s="5">
        <v>14341.13</v>
      </c>
      <c r="E967" s="6">
        <v>4</v>
      </c>
      <c r="F967" s="5">
        <v>57364.52</v>
      </c>
      <c r="G967" s="1">
        <v>45471</v>
      </c>
      <c r="H967" t="s">
        <v>71</v>
      </c>
      <c r="I967">
        <v>1.5</v>
      </c>
      <c r="J967" t="s">
        <v>67</v>
      </c>
      <c r="K967">
        <v>2024</v>
      </c>
      <c r="L967">
        <v>11472.904</v>
      </c>
      <c r="M967">
        <v>30</v>
      </c>
      <c r="N967" t="s">
        <v>27</v>
      </c>
      <c r="O967" t="s">
        <v>33</v>
      </c>
      <c r="P967">
        <f>FlipkartSales[[#This Row],[Price (INR)]]*FlipkartSales[[#This Row],[Quantity Sold]]</f>
        <v>57364.52</v>
      </c>
      <c r="Q967">
        <f>FlipkartSales[[#This Row],[Total Sales (INR)]]-FlipkartSales[[#This Row],[Calculated Sales]]</f>
        <v>0</v>
      </c>
      <c r="R967" s="9">
        <f t="shared" si="120"/>
        <v>0.2</v>
      </c>
      <c r="S967">
        <f t="shared" si="121"/>
        <v>14341.13</v>
      </c>
      <c r="T967">
        <f t="shared" si="122"/>
        <v>2868.2260000000001</v>
      </c>
      <c r="U967">
        <f t="shared" si="123"/>
        <v>6</v>
      </c>
      <c r="V967" t="str">
        <f t="shared" si="124"/>
        <v>Q2</v>
      </c>
      <c r="W967" t="str">
        <f t="shared" si="125"/>
        <v>Jun-2024</v>
      </c>
      <c r="X967">
        <f t="shared" si="126"/>
        <v>17209.356</v>
      </c>
      <c r="Y967" s="5">
        <f t="shared" si="127"/>
        <v>40155.163999999997</v>
      </c>
      <c r="Z967" s="21">
        <f>DATE(K967,MATCH(J967,{"January","February","March","April","May","June","July","August","September","October","November","December"},0),1)</f>
        <v>45444</v>
      </c>
    </row>
    <row r="968" spans="1:26" x14ac:dyDescent="0.3">
      <c r="A968" s="4" t="s">
        <v>1036</v>
      </c>
      <c r="B968" s="4" t="s">
        <v>16</v>
      </c>
      <c r="C968" s="4" t="s">
        <v>17</v>
      </c>
      <c r="D968" s="5">
        <v>22923.93</v>
      </c>
      <c r="E968" s="6">
        <v>4</v>
      </c>
      <c r="F968" s="5">
        <v>91695.72</v>
      </c>
      <c r="G968" s="1">
        <v>45636</v>
      </c>
      <c r="H968" t="s">
        <v>64</v>
      </c>
      <c r="I968">
        <v>2.7</v>
      </c>
      <c r="J968" t="s">
        <v>26</v>
      </c>
      <c r="K968">
        <v>2024</v>
      </c>
      <c r="L968">
        <v>18339.144</v>
      </c>
      <c r="M968">
        <v>29</v>
      </c>
      <c r="N968" t="s">
        <v>27</v>
      </c>
      <c r="O968" t="s">
        <v>21</v>
      </c>
      <c r="P968">
        <f>FlipkartSales[[#This Row],[Price (INR)]]*FlipkartSales[[#This Row],[Quantity Sold]]</f>
        <v>91695.72</v>
      </c>
      <c r="Q968">
        <f>FlipkartSales[[#This Row],[Total Sales (INR)]]-FlipkartSales[[#This Row],[Calculated Sales]]</f>
        <v>0</v>
      </c>
      <c r="R968" s="9">
        <f t="shared" si="120"/>
        <v>0.2</v>
      </c>
      <c r="S968">
        <f t="shared" si="121"/>
        <v>22923.93</v>
      </c>
      <c r="T968">
        <f t="shared" si="122"/>
        <v>4584.7860000000001</v>
      </c>
      <c r="U968">
        <f t="shared" si="123"/>
        <v>12</v>
      </c>
      <c r="V968" t="str">
        <f t="shared" si="124"/>
        <v>Q4</v>
      </c>
      <c r="W968" t="str">
        <f t="shared" si="125"/>
        <v>Dec-2024</v>
      </c>
      <c r="X968">
        <f t="shared" si="126"/>
        <v>26591.7588</v>
      </c>
      <c r="Y968" s="5">
        <f t="shared" si="127"/>
        <v>65103.961200000005</v>
      </c>
      <c r="Z968" s="21">
        <f>DATE(K968,MATCH(J968,{"January","February","March","April","May","June","July","August","September","October","November","December"},0),1)</f>
        <v>45627</v>
      </c>
    </row>
    <row r="969" spans="1:26" x14ac:dyDescent="0.3">
      <c r="A969" s="4" t="s">
        <v>1037</v>
      </c>
      <c r="B969" s="4" t="s">
        <v>50</v>
      </c>
      <c r="C969" s="4" t="s">
        <v>40</v>
      </c>
      <c r="D969" s="5">
        <v>20766.47</v>
      </c>
      <c r="E969" s="6">
        <v>2</v>
      </c>
      <c r="F969" s="5">
        <v>41532.94</v>
      </c>
      <c r="G969" s="1">
        <v>45405</v>
      </c>
      <c r="H969" t="s">
        <v>64</v>
      </c>
      <c r="I969">
        <v>1.8</v>
      </c>
      <c r="J969" t="s">
        <v>62</v>
      </c>
      <c r="K969">
        <v>2024</v>
      </c>
      <c r="L969">
        <v>8306.5880000000016</v>
      </c>
      <c r="M969">
        <v>19</v>
      </c>
      <c r="N969" t="s">
        <v>41</v>
      </c>
      <c r="O969" t="s">
        <v>68</v>
      </c>
      <c r="P969">
        <f>FlipkartSales[[#This Row],[Price (INR)]]*FlipkartSales[[#This Row],[Quantity Sold]]</f>
        <v>41532.94</v>
      </c>
      <c r="Q969">
        <f>FlipkartSales[[#This Row],[Total Sales (INR)]]-FlipkartSales[[#This Row],[Calculated Sales]]</f>
        <v>0</v>
      </c>
      <c r="R969" s="9">
        <f t="shared" si="120"/>
        <v>0.20000000000000004</v>
      </c>
      <c r="S969">
        <f t="shared" si="121"/>
        <v>20766.47</v>
      </c>
      <c r="T969">
        <f t="shared" si="122"/>
        <v>4153.2940000000008</v>
      </c>
      <c r="U969">
        <f t="shared" si="123"/>
        <v>4</v>
      </c>
      <c r="V969" t="str">
        <f t="shared" si="124"/>
        <v>Q2</v>
      </c>
      <c r="W969" t="str">
        <f t="shared" si="125"/>
        <v>Apr-2024</v>
      </c>
      <c r="X969">
        <f t="shared" si="126"/>
        <v>7891.258600000001</v>
      </c>
      <c r="Y969" s="5">
        <f t="shared" si="127"/>
        <v>33641.681400000001</v>
      </c>
      <c r="Z969" s="21">
        <f>DATE(K969,MATCH(J969,{"January","February","March","April","May","June","July","August","September","October","November","December"},0),1)</f>
        <v>45383</v>
      </c>
    </row>
    <row r="970" spans="1:26" x14ac:dyDescent="0.3">
      <c r="A970" s="4" t="s">
        <v>1038</v>
      </c>
      <c r="B970" s="4" t="s">
        <v>96</v>
      </c>
      <c r="C970" s="4" t="s">
        <v>36</v>
      </c>
      <c r="D970" s="5">
        <v>36615.730000000003</v>
      </c>
      <c r="E970" s="6">
        <v>5</v>
      </c>
      <c r="F970" s="5">
        <v>183078.65</v>
      </c>
      <c r="G970" s="1">
        <v>45392</v>
      </c>
      <c r="H970" t="s">
        <v>80</v>
      </c>
      <c r="I970">
        <v>2</v>
      </c>
      <c r="J970" t="s">
        <v>62</v>
      </c>
      <c r="K970">
        <v>2024</v>
      </c>
      <c r="L970">
        <v>36615.730000000003</v>
      </c>
      <c r="M970">
        <v>29</v>
      </c>
      <c r="N970" t="s">
        <v>41</v>
      </c>
      <c r="O970" t="s">
        <v>28</v>
      </c>
      <c r="P970">
        <f>FlipkartSales[[#This Row],[Price (INR)]]*FlipkartSales[[#This Row],[Quantity Sold]]</f>
        <v>183078.65000000002</v>
      </c>
      <c r="Q970">
        <f>FlipkartSales[[#This Row],[Total Sales (INR)]]-FlipkartSales[[#This Row],[Calculated Sales]]</f>
        <v>0</v>
      </c>
      <c r="R970" s="9">
        <f t="shared" si="120"/>
        <v>0.2</v>
      </c>
      <c r="S970">
        <f t="shared" si="121"/>
        <v>36615.729999999996</v>
      </c>
      <c r="T970">
        <f t="shared" si="122"/>
        <v>7323.1460000000006</v>
      </c>
      <c r="U970">
        <f t="shared" si="123"/>
        <v>4</v>
      </c>
      <c r="V970" t="str">
        <f t="shared" si="124"/>
        <v>Q2</v>
      </c>
      <c r="W970" t="str">
        <f t="shared" si="125"/>
        <v>Apr-2024</v>
      </c>
      <c r="X970">
        <f t="shared" si="126"/>
        <v>53092.808499999999</v>
      </c>
      <c r="Y970" s="5">
        <f t="shared" si="127"/>
        <v>129985.84149999999</v>
      </c>
      <c r="Z970" s="21">
        <f>DATE(K970,MATCH(J970,{"January","February","March","April","May","June","July","August","September","October","November","December"},0),1)</f>
        <v>45383</v>
      </c>
    </row>
    <row r="971" spans="1:26" x14ac:dyDescent="0.3">
      <c r="A971" s="4" t="s">
        <v>1039</v>
      </c>
      <c r="B971" s="4" t="s">
        <v>78</v>
      </c>
      <c r="C971" s="4" t="s">
        <v>24</v>
      </c>
      <c r="D971" s="5">
        <v>879.25</v>
      </c>
      <c r="E971" s="6">
        <v>4</v>
      </c>
      <c r="F971" s="5">
        <v>3517</v>
      </c>
      <c r="G971" s="1">
        <v>45542</v>
      </c>
      <c r="H971" t="s">
        <v>44</v>
      </c>
      <c r="I971">
        <v>4.9000000000000004</v>
      </c>
      <c r="J971" t="s">
        <v>19</v>
      </c>
      <c r="K971">
        <v>2024</v>
      </c>
      <c r="L971">
        <v>703.40000000000009</v>
      </c>
      <c r="M971">
        <v>26</v>
      </c>
      <c r="N971" t="s">
        <v>27</v>
      </c>
      <c r="O971" t="s">
        <v>28</v>
      </c>
      <c r="P971">
        <f>FlipkartSales[[#This Row],[Price (INR)]]*FlipkartSales[[#This Row],[Quantity Sold]]</f>
        <v>3517</v>
      </c>
      <c r="Q971">
        <f>FlipkartSales[[#This Row],[Total Sales (INR)]]-FlipkartSales[[#This Row],[Calculated Sales]]</f>
        <v>0</v>
      </c>
      <c r="R971" s="9">
        <f t="shared" si="120"/>
        <v>0.20000000000000004</v>
      </c>
      <c r="S971">
        <f t="shared" si="121"/>
        <v>879.25</v>
      </c>
      <c r="T971">
        <f t="shared" si="122"/>
        <v>175.85000000000002</v>
      </c>
      <c r="U971">
        <f t="shared" si="123"/>
        <v>9</v>
      </c>
      <c r="V971" t="str">
        <f t="shared" si="124"/>
        <v>Q3</v>
      </c>
      <c r="W971" t="str">
        <f t="shared" si="125"/>
        <v>Sep-2024</v>
      </c>
      <c r="X971">
        <f t="shared" si="126"/>
        <v>914.42</v>
      </c>
      <c r="Y971" s="5">
        <f t="shared" si="127"/>
        <v>2602.58</v>
      </c>
      <c r="Z971" s="21">
        <f>DATE(K971,MATCH(J971,{"January","February","March","April","May","June","July","August","September","October","November","December"},0),1)</f>
        <v>45536</v>
      </c>
    </row>
    <row r="972" spans="1:26" x14ac:dyDescent="0.3">
      <c r="A972" s="4" t="s">
        <v>1040</v>
      </c>
      <c r="B972" s="4" t="s">
        <v>84</v>
      </c>
      <c r="C972" s="4" t="s">
        <v>40</v>
      </c>
      <c r="D972" s="5">
        <v>8571.5499999999993</v>
      </c>
      <c r="E972" s="6">
        <v>4</v>
      </c>
      <c r="F972" s="5">
        <v>34286.199999999997</v>
      </c>
      <c r="G972" s="1">
        <v>45669</v>
      </c>
      <c r="H972" t="s">
        <v>44</v>
      </c>
      <c r="I972">
        <v>3.9</v>
      </c>
      <c r="J972" t="s">
        <v>53</v>
      </c>
      <c r="K972">
        <v>2025</v>
      </c>
      <c r="L972">
        <v>6857.24</v>
      </c>
      <c r="M972">
        <v>19</v>
      </c>
      <c r="N972" t="s">
        <v>20</v>
      </c>
      <c r="O972" t="s">
        <v>21</v>
      </c>
      <c r="P972">
        <f>FlipkartSales[[#This Row],[Price (INR)]]*FlipkartSales[[#This Row],[Quantity Sold]]</f>
        <v>34286.199999999997</v>
      </c>
      <c r="Q972">
        <f>FlipkartSales[[#This Row],[Total Sales (INR)]]-FlipkartSales[[#This Row],[Calculated Sales]]</f>
        <v>0</v>
      </c>
      <c r="R972" s="9">
        <f t="shared" si="120"/>
        <v>0.2</v>
      </c>
      <c r="S972">
        <f t="shared" si="121"/>
        <v>8571.5499999999993</v>
      </c>
      <c r="T972">
        <f t="shared" si="122"/>
        <v>1714.31</v>
      </c>
      <c r="U972">
        <f t="shared" si="123"/>
        <v>1</v>
      </c>
      <c r="V972" t="str">
        <f t="shared" si="124"/>
        <v>Q1</v>
      </c>
      <c r="W972" t="str">
        <f t="shared" si="125"/>
        <v>Jan-2025</v>
      </c>
      <c r="X972">
        <f t="shared" si="126"/>
        <v>6514.3779999999997</v>
      </c>
      <c r="Y972" s="5">
        <f t="shared" si="127"/>
        <v>27771.821999999996</v>
      </c>
      <c r="Z972" s="21">
        <f>DATE(K972,MATCH(J972,{"January","February","March","April","May","June","July","August","September","October","November","December"},0),1)</f>
        <v>45658</v>
      </c>
    </row>
    <row r="973" spans="1:26" x14ac:dyDescent="0.3">
      <c r="A973" s="4" t="s">
        <v>1041</v>
      </c>
      <c r="B973" s="4" t="s">
        <v>107</v>
      </c>
      <c r="C973" s="4" t="s">
        <v>36</v>
      </c>
      <c r="D973" s="5">
        <v>23125.33</v>
      </c>
      <c r="E973" s="6">
        <v>5</v>
      </c>
      <c r="F973" s="5">
        <v>115626.65</v>
      </c>
      <c r="G973" s="1">
        <v>45676</v>
      </c>
      <c r="H973" t="s">
        <v>18</v>
      </c>
      <c r="I973">
        <v>3.7</v>
      </c>
      <c r="J973" t="s">
        <v>53</v>
      </c>
      <c r="K973">
        <v>2025</v>
      </c>
      <c r="L973">
        <v>23125.33</v>
      </c>
      <c r="M973">
        <v>28</v>
      </c>
      <c r="N973" t="s">
        <v>41</v>
      </c>
      <c r="O973" t="s">
        <v>28</v>
      </c>
      <c r="P973">
        <f>FlipkartSales[[#This Row],[Price (INR)]]*FlipkartSales[[#This Row],[Quantity Sold]]</f>
        <v>115626.65000000001</v>
      </c>
      <c r="Q973">
        <f>FlipkartSales[[#This Row],[Total Sales (INR)]]-FlipkartSales[[#This Row],[Calculated Sales]]</f>
        <v>0</v>
      </c>
      <c r="R973" s="9">
        <f t="shared" si="120"/>
        <v>0.20000000000000004</v>
      </c>
      <c r="S973">
        <f t="shared" si="121"/>
        <v>23125.329999999998</v>
      </c>
      <c r="T973">
        <f t="shared" si="122"/>
        <v>4625.0660000000007</v>
      </c>
      <c r="U973">
        <f t="shared" si="123"/>
        <v>1</v>
      </c>
      <c r="V973" t="str">
        <f t="shared" si="124"/>
        <v>Q1</v>
      </c>
      <c r="W973" t="str">
        <f t="shared" si="125"/>
        <v>Jan-2025</v>
      </c>
      <c r="X973">
        <f t="shared" si="126"/>
        <v>32375.461999999996</v>
      </c>
      <c r="Y973" s="5">
        <f t="shared" si="127"/>
        <v>83251.187999999995</v>
      </c>
      <c r="Z973" s="21">
        <f>DATE(K973,MATCH(J973,{"January","February","March","April","May","June","July","August","September","October","November","December"},0),1)</f>
        <v>45658</v>
      </c>
    </row>
    <row r="974" spans="1:26" x14ac:dyDescent="0.3">
      <c r="A974" s="4" t="s">
        <v>1042</v>
      </c>
      <c r="B974" s="4" t="s">
        <v>16</v>
      </c>
      <c r="C974" s="4" t="s">
        <v>17</v>
      </c>
      <c r="D974" s="5">
        <v>5712.21</v>
      </c>
      <c r="E974" s="6">
        <v>3</v>
      </c>
      <c r="F974" s="5">
        <v>17136.63</v>
      </c>
      <c r="G974" s="1">
        <v>45546</v>
      </c>
      <c r="H974" t="s">
        <v>25</v>
      </c>
      <c r="I974">
        <v>3.6</v>
      </c>
      <c r="J974" t="s">
        <v>19</v>
      </c>
      <c r="K974">
        <v>2024</v>
      </c>
      <c r="L974">
        <v>3427.3260000000005</v>
      </c>
      <c r="M974">
        <v>15</v>
      </c>
      <c r="N974" t="s">
        <v>41</v>
      </c>
      <c r="O974" t="s">
        <v>33</v>
      </c>
      <c r="P974">
        <f>FlipkartSales[[#This Row],[Price (INR)]]*FlipkartSales[[#This Row],[Quantity Sold]]</f>
        <v>17136.63</v>
      </c>
      <c r="Q974">
        <f>FlipkartSales[[#This Row],[Total Sales (INR)]]-FlipkartSales[[#This Row],[Calculated Sales]]</f>
        <v>0</v>
      </c>
      <c r="R974" s="9">
        <f t="shared" si="120"/>
        <v>0.2</v>
      </c>
      <c r="S974">
        <f t="shared" si="121"/>
        <v>5712.21</v>
      </c>
      <c r="T974">
        <f t="shared" si="122"/>
        <v>1142.4420000000002</v>
      </c>
      <c r="U974">
        <f t="shared" si="123"/>
        <v>9</v>
      </c>
      <c r="V974" t="str">
        <f t="shared" si="124"/>
        <v>Q3</v>
      </c>
      <c r="W974" t="str">
        <f t="shared" si="125"/>
        <v>Sep-2024</v>
      </c>
      <c r="X974">
        <f t="shared" si="126"/>
        <v>2570.4945000000002</v>
      </c>
      <c r="Y974" s="5">
        <f t="shared" si="127"/>
        <v>14566.1355</v>
      </c>
      <c r="Z974" s="21">
        <f>DATE(K974,MATCH(J974,{"January","February","March","April","May","June","July","August","September","October","November","December"},0),1)</f>
        <v>45536</v>
      </c>
    </row>
    <row r="975" spans="1:26" x14ac:dyDescent="0.3">
      <c r="A975" s="4" t="s">
        <v>1043</v>
      </c>
      <c r="B975" s="4" t="s">
        <v>78</v>
      </c>
      <c r="C975" s="4" t="s">
        <v>24</v>
      </c>
      <c r="D975" s="5">
        <v>1434.23</v>
      </c>
      <c r="E975" s="6">
        <v>2</v>
      </c>
      <c r="F975" s="5">
        <v>2868.46</v>
      </c>
      <c r="G975" s="1">
        <v>45375</v>
      </c>
      <c r="H975" t="s">
        <v>25</v>
      </c>
      <c r="I975">
        <v>3.5</v>
      </c>
      <c r="J975" t="s">
        <v>56</v>
      </c>
      <c r="K975">
        <v>2024</v>
      </c>
      <c r="L975">
        <v>573.69200000000001</v>
      </c>
      <c r="M975">
        <v>20</v>
      </c>
      <c r="N975" t="s">
        <v>41</v>
      </c>
      <c r="O975" t="s">
        <v>33</v>
      </c>
      <c r="P975">
        <f>FlipkartSales[[#This Row],[Price (INR)]]*FlipkartSales[[#This Row],[Quantity Sold]]</f>
        <v>2868.46</v>
      </c>
      <c r="Q975">
        <f>FlipkartSales[[#This Row],[Total Sales (INR)]]-FlipkartSales[[#This Row],[Calculated Sales]]</f>
        <v>0</v>
      </c>
      <c r="R975" s="9">
        <f t="shared" si="120"/>
        <v>0.2</v>
      </c>
      <c r="S975">
        <f t="shared" si="121"/>
        <v>1434.23</v>
      </c>
      <c r="T975">
        <f t="shared" si="122"/>
        <v>286.846</v>
      </c>
      <c r="U975">
        <f t="shared" si="123"/>
        <v>3</v>
      </c>
      <c r="V975" t="str">
        <f t="shared" si="124"/>
        <v>Q1</v>
      </c>
      <c r="W975" t="str">
        <f t="shared" si="125"/>
        <v>Mar-2024</v>
      </c>
      <c r="X975">
        <f t="shared" si="126"/>
        <v>573.69200000000001</v>
      </c>
      <c r="Y975" s="5">
        <f t="shared" si="127"/>
        <v>2294.768</v>
      </c>
      <c r="Z975" s="21">
        <f>DATE(K975,MATCH(J975,{"January","February","March","April","May","June","July","August","September","October","November","December"},0),1)</f>
        <v>45352</v>
      </c>
    </row>
    <row r="976" spans="1:26" x14ac:dyDescent="0.3">
      <c r="A976" s="4" t="s">
        <v>1044</v>
      </c>
      <c r="B976" s="4" t="s">
        <v>118</v>
      </c>
      <c r="C976" s="4" t="s">
        <v>17</v>
      </c>
      <c r="D976" s="5">
        <v>43163.16</v>
      </c>
      <c r="E976" s="6">
        <v>2</v>
      </c>
      <c r="F976" s="5">
        <v>86326.32</v>
      </c>
      <c r="G976" s="1">
        <v>45635</v>
      </c>
      <c r="H976" t="s">
        <v>18</v>
      </c>
      <c r="I976">
        <v>1.9</v>
      </c>
      <c r="J976" t="s">
        <v>26</v>
      </c>
      <c r="K976">
        <v>2024</v>
      </c>
      <c r="L976">
        <v>17265.264000000003</v>
      </c>
      <c r="M976">
        <v>21</v>
      </c>
      <c r="N976" t="s">
        <v>27</v>
      </c>
      <c r="O976" t="s">
        <v>28</v>
      </c>
      <c r="P976">
        <f>FlipkartSales[[#This Row],[Price (INR)]]*FlipkartSales[[#This Row],[Quantity Sold]]</f>
        <v>86326.32</v>
      </c>
      <c r="Q976">
        <f>FlipkartSales[[#This Row],[Total Sales (INR)]]-FlipkartSales[[#This Row],[Calculated Sales]]</f>
        <v>0</v>
      </c>
      <c r="R976" s="9">
        <f t="shared" si="120"/>
        <v>0.2</v>
      </c>
      <c r="S976">
        <f t="shared" si="121"/>
        <v>43163.16</v>
      </c>
      <c r="T976">
        <f t="shared" si="122"/>
        <v>8632.6320000000014</v>
      </c>
      <c r="U976">
        <f t="shared" si="123"/>
        <v>12</v>
      </c>
      <c r="V976" t="str">
        <f t="shared" si="124"/>
        <v>Q4</v>
      </c>
      <c r="W976" t="str">
        <f t="shared" si="125"/>
        <v>Dec-2024</v>
      </c>
      <c r="X976">
        <f t="shared" si="126"/>
        <v>18128.5272</v>
      </c>
      <c r="Y976" s="5">
        <f t="shared" si="127"/>
        <v>68197.79280000001</v>
      </c>
      <c r="Z976" s="21">
        <f>DATE(K976,MATCH(J976,{"January","February","March","April","May","June","July","August","September","October","November","December"},0),1)</f>
        <v>45627</v>
      </c>
    </row>
    <row r="977" spans="1:26" x14ac:dyDescent="0.3">
      <c r="A977" s="4" t="s">
        <v>1045</v>
      </c>
      <c r="B977" s="4" t="s">
        <v>145</v>
      </c>
      <c r="C977" s="4" t="s">
        <v>40</v>
      </c>
      <c r="D977" s="5">
        <v>38545.29</v>
      </c>
      <c r="E977" s="6">
        <v>1</v>
      </c>
      <c r="F977" s="5">
        <v>38545.29</v>
      </c>
      <c r="G977" s="1">
        <v>45541</v>
      </c>
      <c r="H977" t="s">
        <v>44</v>
      </c>
      <c r="I977">
        <v>1.3</v>
      </c>
      <c r="J977" t="s">
        <v>19</v>
      </c>
      <c r="K977">
        <v>2024</v>
      </c>
      <c r="L977">
        <v>7709.0580000000009</v>
      </c>
      <c r="M977">
        <v>30</v>
      </c>
      <c r="N977" t="s">
        <v>27</v>
      </c>
      <c r="O977" t="s">
        <v>33</v>
      </c>
      <c r="P977">
        <f>FlipkartSales[[#This Row],[Price (INR)]]*FlipkartSales[[#This Row],[Quantity Sold]]</f>
        <v>38545.29</v>
      </c>
      <c r="Q977">
        <f>FlipkartSales[[#This Row],[Total Sales (INR)]]-FlipkartSales[[#This Row],[Calculated Sales]]</f>
        <v>0</v>
      </c>
      <c r="R977" s="9">
        <f t="shared" si="120"/>
        <v>0.2</v>
      </c>
      <c r="S977">
        <f t="shared" si="121"/>
        <v>38545.29</v>
      </c>
      <c r="T977">
        <f t="shared" si="122"/>
        <v>7709.0580000000009</v>
      </c>
      <c r="U977">
        <f t="shared" si="123"/>
        <v>9</v>
      </c>
      <c r="V977" t="str">
        <f t="shared" si="124"/>
        <v>Q3</v>
      </c>
      <c r="W977" t="str">
        <f t="shared" si="125"/>
        <v>Sep-2024</v>
      </c>
      <c r="X977">
        <f t="shared" si="126"/>
        <v>11563.587</v>
      </c>
      <c r="Y977" s="5">
        <f t="shared" si="127"/>
        <v>26981.703000000001</v>
      </c>
      <c r="Z977" s="21">
        <f>DATE(K977,MATCH(J977,{"January","February","March","April","May","June","July","August","September","October","November","December"},0),1)</f>
        <v>45536</v>
      </c>
    </row>
    <row r="978" spans="1:26" x14ac:dyDescent="0.3">
      <c r="A978" s="4" t="s">
        <v>1046</v>
      </c>
      <c r="B978" s="4" t="s">
        <v>61</v>
      </c>
      <c r="C978" s="4" t="s">
        <v>31</v>
      </c>
      <c r="D978" s="5">
        <v>8188.18</v>
      </c>
      <c r="E978" s="6">
        <v>2</v>
      </c>
      <c r="F978" s="5">
        <v>16376.36</v>
      </c>
      <c r="G978" s="1">
        <v>45519</v>
      </c>
      <c r="H978" t="s">
        <v>44</v>
      </c>
      <c r="I978">
        <v>1.3</v>
      </c>
      <c r="J978" t="s">
        <v>88</v>
      </c>
      <c r="K978">
        <v>2024</v>
      </c>
      <c r="L978">
        <v>3275.2720000000004</v>
      </c>
      <c r="M978">
        <v>8</v>
      </c>
      <c r="N978" t="s">
        <v>27</v>
      </c>
      <c r="O978" t="s">
        <v>28</v>
      </c>
      <c r="P978">
        <f>FlipkartSales[[#This Row],[Price (INR)]]*FlipkartSales[[#This Row],[Quantity Sold]]</f>
        <v>16376.36</v>
      </c>
      <c r="Q978">
        <f>FlipkartSales[[#This Row],[Total Sales (INR)]]-FlipkartSales[[#This Row],[Calculated Sales]]</f>
        <v>0</v>
      </c>
      <c r="R978" s="9">
        <f t="shared" si="120"/>
        <v>0.2</v>
      </c>
      <c r="S978">
        <f t="shared" si="121"/>
        <v>8188.18</v>
      </c>
      <c r="T978">
        <f t="shared" si="122"/>
        <v>1637.6360000000002</v>
      </c>
      <c r="U978">
        <f t="shared" si="123"/>
        <v>8</v>
      </c>
      <c r="V978" t="str">
        <f t="shared" si="124"/>
        <v>Q3</v>
      </c>
      <c r="W978" t="str">
        <f t="shared" si="125"/>
        <v>Aug-2024</v>
      </c>
      <c r="X978">
        <f t="shared" si="126"/>
        <v>1310.1088</v>
      </c>
      <c r="Y978" s="5">
        <f t="shared" si="127"/>
        <v>15066.251200000001</v>
      </c>
      <c r="Z978" s="21">
        <f>DATE(K978,MATCH(J978,{"January","February","March","April","May","June","July","August","September","October","November","December"},0),1)</f>
        <v>45505</v>
      </c>
    </row>
    <row r="979" spans="1:26" x14ac:dyDescent="0.3">
      <c r="A979" s="4" t="s">
        <v>1047</v>
      </c>
      <c r="B979" s="4" t="s">
        <v>50</v>
      </c>
      <c r="C979" s="4" t="s">
        <v>40</v>
      </c>
      <c r="D979" s="5">
        <v>35763.480000000003</v>
      </c>
      <c r="E979" s="6">
        <v>4</v>
      </c>
      <c r="F979" s="5">
        <v>143053.92000000001</v>
      </c>
      <c r="G979" s="1">
        <v>45653</v>
      </c>
      <c r="H979" t="s">
        <v>25</v>
      </c>
      <c r="I979">
        <v>3.7</v>
      </c>
      <c r="J979" t="s">
        <v>26</v>
      </c>
      <c r="K979">
        <v>2024</v>
      </c>
      <c r="L979">
        <v>28610.784000000003</v>
      </c>
      <c r="M979">
        <v>5</v>
      </c>
      <c r="N979" t="s">
        <v>27</v>
      </c>
      <c r="O979" t="s">
        <v>28</v>
      </c>
      <c r="P979">
        <f>FlipkartSales[[#This Row],[Price (INR)]]*FlipkartSales[[#This Row],[Quantity Sold]]</f>
        <v>143053.92000000001</v>
      </c>
      <c r="Q979">
        <f>FlipkartSales[[#This Row],[Total Sales (INR)]]-FlipkartSales[[#This Row],[Calculated Sales]]</f>
        <v>0</v>
      </c>
      <c r="R979" s="9">
        <f t="shared" si="120"/>
        <v>0.2</v>
      </c>
      <c r="S979">
        <f t="shared" si="121"/>
        <v>35763.480000000003</v>
      </c>
      <c r="T979">
        <f t="shared" si="122"/>
        <v>7152.6960000000008</v>
      </c>
      <c r="U979">
        <f t="shared" si="123"/>
        <v>12</v>
      </c>
      <c r="V979" t="str">
        <f t="shared" si="124"/>
        <v>Q4</v>
      </c>
      <c r="W979" t="str">
        <f t="shared" si="125"/>
        <v>Dec-2024</v>
      </c>
      <c r="X979">
        <f t="shared" si="126"/>
        <v>7152.6960000000008</v>
      </c>
      <c r="Y979" s="5">
        <f t="shared" si="127"/>
        <v>135901.22400000002</v>
      </c>
      <c r="Z979" s="21">
        <f>DATE(K979,MATCH(J979,{"January","February","March","April","May","June","July","August","September","October","November","December"},0),1)</f>
        <v>45627</v>
      </c>
    </row>
    <row r="980" spans="1:26" x14ac:dyDescent="0.3">
      <c r="A980" s="4" t="s">
        <v>1048</v>
      </c>
      <c r="B980" s="4" t="s">
        <v>39</v>
      </c>
      <c r="C980" s="4" t="s">
        <v>40</v>
      </c>
      <c r="D980" s="5">
        <v>10818.91</v>
      </c>
      <c r="E980" s="6">
        <v>2</v>
      </c>
      <c r="F980" s="5">
        <v>21637.82</v>
      </c>
      <c r="G980" s="1">
        <v>45505</v>
      </c>
      <c r="H980" t="s">
        <v>44</v>
      </c>
      <c r="I980">
        <v>1.8</v>
      </c>
      <c r="J980" t="s">
        <v>88</v>
      </c>
      <c r="K980">
        <v>2024</v>
      </c>
      <c r="L980">
        <v>4327.5640000000003</v>
      </c>
      <c r="M980">
        <v>12</v>
      </c>
      <c r="N980" t="s">
        <v>20</v>
      </c>
      <c r="O980" t="s">
        <v>28</v>
      </c>
      <c r="P980">
        <f>FlipkartSales[[#This Row],[Price (INR)]]*FlipkartSales[[#This Row],[Quantity Sold]]</f>
        <v>21637.82</v>
      </c>
      <c r="Q980">
        <f>FlipkartSales[[#This Row],[Total Sales (INR)]]-FlipkartSales[[#This Row],[Calculated Sales]]</f>
        <v>0</v>
      </c>
      <c r="R980" s="9">
        <f t="shared" si="120"/>
        <v>0.2</v>
      </c>
      <c r="S980">
        <f t="shared" si="121"/>
        <v>10818.91</v>
      </c>
      <c r="T980">
        <f t="shared" si="122"/>
        <v>2163.7820000000002</v>
      </c>
      <c r="U980">
        <f t="shared" si="123"/>
        <v>8</v>
      </c>
      <c r="V980" t="str">
        <f t="shared" si="124"/>
        <v>Q3</v>
      </c>
      <c r="W980" t="str">
        <f t="shared" si="125"/>
        <v>Aug-2024</v>
      </c>
      <c r="X980">
        <f t="shared" si="126"/>
        <v>2596.5383999999999</v>
      </c>
      <c r="Y980" s="5">
        <f t="shared" si="127"/>
        <v>19041.281599999998</v>
      </c>
      <c r="Z980" s="21">
        <f>DATE(K980,MATCH(J980,{"January","February","March","April","May","June","July","August","September","October","November","December"},0),1)</f>
        <v>45505</v>
      </c>
    </row>
    <row r="981" spans="1:26" x14ac:dyDescent="0.3">
      <c r="A981" s="4" t="s">
        <v>1049</v>
      </c>
      <c r="B981" s="4" t="s">
        <v>58</v>
      </c>
      <c r="C981" s="4" t="s">
        <v>31</v>
      </c>
      <c r="D981" s="5">
        <v>35506.410000000003</v>
      </c>
      <c r="E981" s="6">
        <v>5</v>
      </c>
      <c r="F981" s="5">
        <v>177532.05</v>
      </c>
      <c r="G981" s="1">
        <v>45350</v>
      </c>
      <c r="H981" t="s">
        <v>44</v>
      </c>
      <c r="I981">
        <v>1.2</v>
      </c>
      <c r="J981" t="s">
        <v>59</v>
      </c>
      <c r="K981">
        <v>2024</v>
      </c>
      <c r="L981">
        <v>35506.409999999996</v>
      </c>
      <c r="M981">
        <v>21</v>
      </c>
      <c r="N981" t="s">
        <v>20</v>
      </c>
      <c r="O981" t="s">
        <v>21</v>
      </c>
      <c r="P981">
        <f>FlipkartSales[[#This Row],[Price (INR)]]*FlipkartSales[[#This Row],[Quantity Sold]]</f>
        <v>177532.05000000002</v>
      </c>
      <c r="Q981">
        <f>FlipkartSales[[#This Row],[Total Sales (INR)]]-FlipkartSales[[#This Row],[Calculated Sales]]</f>
        <v>0</v>
      </c>
      <c r="R981" s="9">
        <f t="shared" si="120"/>
        <v>0.19999999999999998</v>
      </c>
      <c r="S981">
        <f t="shared" si="121"/>
        <v>35506.409999999996</v>
      </c>
      <c r="T981">
        <f t="shared" si="122"/>
        <v>7101.2819999999992</v>
      </c>
      <c r="U981">
        <f t="shared" si="123"/>
        <v>2</v>
      </c>
      <c r="V981" t="str">
        <f t="shared" si="124"/>
        <v>Q1</v>
      </c>
      <c r="W981" t="str">
        <f t="shared" si="125"/>
        <v>Feb-2024</v>
      </c>
      <c r="X981">
        <f t="shared" si="126"/>
        <v>37281.730499999998</v>
      </c>
      <c r="Y981" s="5">
        <f t="shared" si="127"/>
        <v>140250.31949999998</v>
      </c>
      <c r="Z981" s="21">
        <f>DATE(K981,MATCH(J981,{"January","February","March","April","May","June","July","August","September","October","November","December"},0),1)</f>
        <v>45323</v>
      </c>
    </row>
    <row r="982" spans="1:26" x14ac:dyDescent="0.3">
      <c r="A982" s="4" t="s">
        <v>1050</v>
      </c>
      <c r="B982" s="4" t="s">
        <v>55</v>
      </c>
      <c r="C982" s="4" t="s">
        <v>36</v>
      </c>
      <c r="D982" s="5">
        <v>19010.38</v>
      </c>
      <c r="E982" s="6">
        <v>5</v>
      </c>
      <c r="F982" s="5">
        <v>95051.9</v>
      </c>
      <c r="G982" s="1">
        <v>45501</v>
      </c>
      <c r="H982" t="s">
        <v>44</v>
      </c>
      <c r="I982">
        <v>1.5</v>
      </c>
      <c r="J982" t="s">
        <v>48</v>
      </c>
      <c r="K982">
        <v>2024</v>
      </c>
      <c r="L982">
        <v>19010.38</v>
      </c>
      <c r="M982">
        <v>7</v>
      </c>
      <c r="N982" t="s">
        <v>27</v>
      </c>
      <c r="O982" t="s">
        <v>28</v>
      </c>
      <c r="P982">
        <f>FlipkartSales[[#This Row],[Price (INR)]]*FlipkartSales[[#This Row],[Quantity Sold]]</f>
        <v>95051.900000000009</v>
      </c>
      <c r="Q982">
        <f>FlipkartSales[[#This Row],[Total Sales (INR)]]-FlipkartSales[[#This Row],[Calculated Sales]]</f>
        <v>0</v>
      </c>
      <c r="R982" s="9">
        <f t="shared" si="120"/>
        <v>0.2</v>
      </c>
      <c r="S982">
        <f t="shared" si="121"/>
        <v>19010.379999999997</v>
      </c>
      <c r="T982">
        <f t="shared" si="122"/>
        <v>3802.076</v>
      </c>
      <c r="U982">
        <f t="shared" si="123"/>
        <v>7</v>
      </c>
      <c r="V982" t="str">
        <f t="shared" si="124"/>
        <v>Q3</v>
      </c>
      <c r="W982" t="str">
        <f t="shared" si="125"/>
        <v>Jul-2024</v>
      </c>
      <c r="X982">
        <f t="shared" si="126"/>
        <v>6653.6329999999989</v>
      </c>
      <c r="Y982" s="5">
        <f t="shared" si="127"/>
        <v>88398.266999999993</v>
      </c>
      <c r="Z982" s="21">
        <f>DATE(K982,MATCH(J982,{"January","February","March","April","May","June","July","August","September","October","November","December"},0),1)</f>
        <v>45474</v>
      </c>
    </row>
    <row r="983" spans="1:26" x14ac:dyDescent="0.3">
      <c r="A983" s="4" t="s">
        <v>1051</v>
      </c>
      <c r="B983" s="4" t="s">
        <v>118</v>
      </c>
      <c r="C983" s="4" t="s">
        <v>17</v>
      </c>
      <c r="D983" s="5">
        <v>29678.85</v>
      </c>
      <c r="E983" s="6">
        <v>3</v>
      </c>
      <c r="F983" s="5">
        <v>89036.55</v>
      </c>
      <c r="G983" s="1">
        <v>45590</v>
      </c>
      <c r="H983" t="s">
        <v>25</v>
      </c>
      <c r="I983">
        <v>2.9</v>
      </c>
      <c r="J983" t="s">
        <v>45</v>
      </c>
      <c r="K983">
        <v>2024</v>
      </c>
      <c r="L983">
        <v>17807.310000000001</v>
      </c>
      <c r="M983">
        <v>24</v>
      </c>
      <c r="N983" t="s">
        <v>20</v>
      </c>
      <c r="O983" t="s">
        <v>21</v>
      </c>
      <c r="P983">
        <f>FlipkartSales[[#This Row],[Price (INR)]]*FlipkartSales[[#This Row],[Quantity Sold]]</f>
        <v>89036.549999999988</v>
      </c>
      <c r="Q983">
        <f>FlipkartSales[[#This Row],[Total Sales (INR)]]-FlipkartSales[[#This Row],[Calculated Sales]]</f>
        <v>0</v>
      </c>
      <c r="R983" s="9">
        <f t="shared" si="120"/>
        <v>0.2</v>
      </c>
      <c r="S983">
        <f t="shared" si="121"/>
        <v>29678.850000000002</v>
      </c>
      <c r="T983">
        <f t="shared" si="122"/>
        <v>5935.77</v>
      </c>
      <c r="U983">
        <f t="shared" si="123"/>
        <v>10</v>
      </c>
      <c r="V983" t="str">
        <f t="shared" si="124"/>
        <v>Q4</v>
      </c>
      <c r="W983" t="str">
        <f t="shared" si="125"/>
        <v>Oct-2024</v>
      </c>
      <c r="X983">
        <f t="shared" si="126"/>
        <v>21368.772000000001</v>
      </c>
      <c r="Y983" s="5">
        <f t="shared" si="127"/>
        <v>67667.778000000006</v>
      </c>
      <c r="Z983" s="21">
        <f>DATE(K983,MATCH(J983,{"January","February","March","April","May","June","July","August","September","October","November","December"},0),1)</f>
        <v>45566</v>
      </c>
    </row>
    <row r="984" spans="1:26" x14ac:dyDescent="0.3">
      <c r="A984" s="4" t="s">
        <v>1052</v>
      </c>
      <c r="B984" s="4" t="s">
        <v>70</v>
      </c>
      <c r="C984" s="4" t="s">
        <v>17</v>
      </c>
      <c r="D984" s="5">
        <v>5412.9</v>
      </c>
      <c r="E984" s="6">
        <v>5</v>
      </c>
      <c r="F984" s="5">
        <v>27064.5</v>
      </c>
      <c r="G984" s="1">
        <v>45473</v>
      </c>
      <c r="H984" t="s">
        <v>64</v>
      </c>
      <c r="I984">
        <v>2.1</v>
      </c>
      <c r="J984" t="s">
        <v>67</v>
      </c>
      <c r="K984">
        <v>2024</v>
      </c>
      <c r="L984">
        <v>5412.9000000000015</v>
      </c>
      <c r="M984">
        <v>19</v>
      </c>
      <c r="N984" t="s">
        <v>41</v>
      </c>
      <c r="O984" t="s">
        <v>28</v>
      </c>
      <c r="P984">
        <f>FlipkartSales[[#This Row],[Price (INR)]]*FlipkartSales[[#This Row],[Quantity Sold]]</f>
        <v>27064.5</v>
      </c>
      <c r="Q984">
        <f>FlipkartSales[[#This Row],[Total Sales (INR)]]-FlipkartSales[[#This Row],[Calculated Sales]]</f>
        <v>0</v>
      </c>
      <c r="R984" s="9">
        <f t="shared" si="120"/>
        <v>0.20000000000000007</v>
      </c>
      <c r="S984">
        <f t="shared" si="121"/>
        <v>5412.9</v>
      </c>
      <c r="T984">
        <f t="shared" si="122"/>
        <v>1082.5800000000004</v>
      </c>
      <c r="U984">
        <f t="shared" si="123"/>
        <v>6</v>
      </c>
      <c r="V984" t="str">
        <f t="shared" si="124"/>
        <v>Q2</v>
      </c>
      <c r="W984" t="str">
        <f t="shared" si="125"/>
        <v>Jun-2024</v>
      </c>
      <c r="X984">
        <f t="shared" si="126"/>
        <v>5142.2550000000001</v>
      </c>
      <c r="Y984" s="5">
        <f t="shared" si="127"/>
        <v>21922.244999999999</v>
      </c>
      <c r="Z984" s="21">
        <f>DATE(K984,MATCH(J984,{"January","February","March","April","May","June","July","August","September","October","November","December"},0),1)</f>
        <v>45444</v>
      </c>
    </row>
    <row r="985" spans="1:26" x14ac:dyDescent="0.3">
      <c r="A985" s="4" t="s">
        <v>1053</v>
      </c>
      <c r="B985" s="4" t="s">
        <v>23</v>
      </c>
      <c r="C985" s="4" t="s">
        <v>24</v>
      </c>
      <c r="D985" s="5">
        <v>22890.95</v>
      </c>
      <c r="E985" s="6">
        <v>3</v>
      </c>
      <c r="F985" s="5">
        <v>68672.850000000006</v>
      </c>
      <c r="G985" s="1">
        <v>45626</v>
      </c>
      <c r="H985" t="s">
        <v>71</v>
      </c>
      <c r="I985">
        <v>3</v>
      </c>
      <c r="J985" t="s">
        <v>37</v>
      </c>
      <c r="K985">
        <v>2024</v>
      </c>
      <c r="L985">
        <v>13734.570000000002</v>
      </c>
      <c r="M985">
        <v>19</v>
      </c>
      <c r="N985" t="s">
        <v>41</v>
      </c>
      <c r="O985" t="s">
        <v>28</v>
      </c>
      <c r="P985">
        <f>FlipkartSales[[#This Row],[Price (INR)]]*FlipkartSales[[#This Row],[Quantity Sold]]</f>
        <v>68672.850000000006</v>
      </c>
      <c r="Q985">
        <f>FlipkartSales[[#This Row],[Total Sales (INR)]]-FlipkartSales[[#This Row],[Calculated Sales]]</f>
        <v>0</v>
      </c>
      <c r="R985" s="9">
        <f t="shared" si="120"/>
        <v>0.2</v>
      </c>
      <c r="S985">
        <f t="shared" si="121"/>
        <v>22890.95</v>
      </c>
      <c r="T985">
        <f t="shared" si="122"/>
        <v>4578.1900000000005</v>
      </c>
      <c r="U985">
        <f t="shared" si="123"/>
        <v>11</v>
      </c>
      <c r="V985" t="str">
        <f t="shared" si="124"/>
        <v>Q4</v>
      </c>
      <c r="W985" t="str">
        <f t="shared" si="125"/>
        <v>Nov-2024</v>
      </c>
      <c r="X985">
        <f t="shared" si="126"/>
        <v>13047.841500000002</v>
      </c>
      <c r="Y985" s="5">
        <f t="shared" si="127"/>
        <v>55625.008500000004</v>
      </c>
      <c r="Z985" s="21">
        <f>DATE(K985,MATCH(J985,{"January","February","March","April","May","June","July","August","September","October","November","December"},0),1)</f>
        <v>45597</v>
      </c>
    </row>
    <row r="986" spans="1:26" x14ac:dyDescent="0.3">
      <c r="A986" s="4" t="s">
        <v>1054</v>
      </c>
      <c r="B986" s="4" t="s">
        <v>23</v>
      </c>
      <c r="C986" s="4" t="s">
        <v>24</v>
      </c>
      <c r="D986" s="5">
        <v>40905.69</v>
      </c>
      <c r="E986" s="6">
        <v>5</v>
      </c>
      <c r="F986" s="5">
        <v>204528.45</v>
      </c>
      <c r="G986" s="1">
        <v>45684</v>
      </c>
      <c r="H986" t="s">
        <v>64</v>
      </c>
      <c r="I986">
        <v>1.9</v>
      </c>
      <c r="J986" t="s">
        <v>53</v>
      </c>
      <c r="K986">
        <v>2025</v>
      </c>
      <c r="L986">
        <v>40905.69</v>
      </c>
      <c r="M986">
        <v>28</v>
      </c>
      <c r="N986" t="s">
        <v>41</v>
      </c>
      <c r="O986" t="s">
        <v>28</v>
      </c>
      <c r="P986">
        <f>FlipkartSales[[#This Row],[Price (INR)]]*FlipkartSales[[#This Row],[Quantity Sold]]</f>
        <v>204528.45</v>
      </c>
      <c r="Q986">
        <f>FlipkartSales[[#This Row],[Total Sales (INR)]]-FlipkartSales[[#This Row],[Calculated Sales]]</f>
        <v>0</v>
      </c>
      <c r="R986" s="9">
        <f t="shared" si="120"/>
        <v>0.2</v>
      </c>
      <c r="S986">
        <f t="shared" si="121"/>
        <v>40905.69</v>
      </c>
      <c r="T986">
        <f t="shared" si="122"/>
        <v>8181.1380000000008</v>
      </c>
      <c r="U986">
        <f t="shared" si="123"/>
        <v>1</v>
      </c>
      <c r="V986" t="str">
        <f t="shared" si="124"/>
        <v>Q1</v>
      </c>
      <c r="W986" t="str">
        <f t="shared" si="125"/>
        <v>Jan-2025</v>
      </c>
      <c r="X986">
        <f t="shared" si="126"/>
        <v>57267.966000000008</v>
      </c>
      <c r="Y986" s="5">
        <f t="shared" si="127"/>
        <v>147260.484</v>
      </c>
      <c r="Z986" s="21">
        <f>DATE(K986,MATCH(J986,{"January","February","March","April","May","June","July","August","September","October","November","December"},0),1)</f>
        <v>45658</v>
      </c>
    </row>
    <row r="987" spans="1:26" x14ac:dyDescent="0.3">
      <c r="A987" s="4" t="s">
        <v>1055</v>
      </c>
      <c r="B987" s="4" t="s">
        <v>84</v>
      </c>
      <c r="C987" s="4" t="s">
        <v>40</v>
      </c>
      <c r="D987" s="5">
        <v>17253.669999999998</v>
      </c>
      <c r="E987" s="6">
        <v>3</v>
      </c>
      <c r="F987" s="5">
        <v>51761.01</v>
      </c>
      <c r="G987" s="1">
        <v>45620</v>
      </c>
      <c r="H987" t="s">
        <v>18</v>
      </c>
      <c r="I987">
        <v>4.5999999999999996</v>
      </c>
      <c r="J987" t="s">
        <v>37</v>
      </c>
      <c r="K987">
        <v>2024</v>
      </c>
      <c r="L987">
        <v>10352.202000000001</v>
      </c>
      <c r="M987">
        <v>26</v>
      </c>
      <c r="N987" t="s">
        <v>27</v>
      </c>
      <c r="O987" t="s">
        <v>33</v>
      </c>
      <c r="P987">
        <f>FlipkartSales[[#This Row],[Price (INR)]]*FlipkartSales[[#This Row],[Quantity Sold]]</f>
        <v>51761.009999999995</v>
      </c>
      <c r="Q987">
        <f>FlipkartSales[[#This Row],[Total Sales (INR)]]-FlipkartSales[[#This Row],[Calculated Sales]]</f>
        <v>0</v>
      </c>
      <c r="R987" s="9">
        <f t="shared" si="120"/>
        <v>0.2</v>
      </c>
      <c r="S987">
        <f t="shared" si="121"/>
        <v>17253.670000000002</v>
      </c>
      <c r="T987">
        <f t="shared" si="122"/>
        <v>3450.7340000000004</v>
      </c>
      <c r="U987">
        <f t="shared" si="123"/>
        <v>11</v>
      </c>
      <c r="V987" t="str">
        <f t="shared" si="124"/>
        <v>Q4</v>
      </c>
      <c r="W987" t="str">
        <f t="shared" si="125"/>
        <v>Nov-2024</v>
      </c>
      <c r="X987">
        <f t="shared" si="126"/>
        <v>13457.8626</v>
      </c>
      <c r="Y987" s="5">
        <f t="shared" si="127"/>
        <v>38303.147400000002</v>
      </c>
      <c r="Z987" s="21">
        <f>DATE(K987,MATCH(J987,{"January","February","March","April","May","June","July","August","September","October","November","December"},0),1)</f>
        <v>45597</v>
      </c>
    </row>
    <row r="988" spans="1:26" x14ac:dyDescent="0.3">
      <c r="A988" s="4" t="s">
        <v>1056</v>
      </c>
      <c r="B988" s="4" t="s">
        <v>16</v>
      </c>
      <c r="C988" s="4" t="s">
        <v>17</v>
      </c>
      <c r="D988" s="5">
        <v>27920.2</v>
      </c>
      <c r="E988" s="6">
        <v>5</v>
      </c>
      <c r="F988" s="5">
        <v>139601</v>
      </c>
      <c r="G988" s="1">
        <v>45336</v>
      </c>
      <c r="H988" t="s">
        <v>44</v>
      </c>
      <c r="I988">
        <v>2.7</v>
      </c>
      <c r="J988" t="s">
        <v>59</v>
      </c>
      <c r="K988">
        <v>2024</v>
      </c>
      <c r="L988">
        <v>27920.2</v>
      </c>
      <c r="M988">
        <v>18</v>
      </c>
      <c r="N988" t="s">
        <v>41</v>
      </c>
      <c r="O988" t="s">
        <v>21</v>
      </c>
      <c r="P988">
        <f>FlipkartSales[[#This Row],[Price (INR)]]*FlipkartSales[[#This Row],[Quantity Sold]]</f>
        <v>139601</v>
      </c>
      <c r="Q988">
        <f>FlipkartSales[[#This Row],[Total Sales (INR)]]-FlipkartSales[[#This Row],[Calculated Sales]]</f>
        <v>0</v>
      </c>
      <c r="R988" s="9">
        <f t="shared" si="120"/>
        <v>0.2</v>
      </c>
      <c r="S988">
        <f t="shared" si="121"/>
        <v>27920.2</v>
      </c>
      <c r="T988">
        <f t="shared" si="122"/>
        <v>5584.04</v>
      </c>
      <c r="U988">
        <f t="shared" si="123"/>
        <v>2</v>
      </c>
      <c r="V988" t="str">
        <f t="shared" si="124"/>
        <v>Q1</v>
      </c>
      <c r="W988" t="str">
        <f t="shared" si="125"/>
        <v>Feb-2024</v>
      </c>
      <c r="X988">
        <f t="shared" si="126"/>
        <v>25128.18</v>
      </c>
      <c r="Y988" s="5">
        <f t="shared" si="127"/>
        <v>114472.82</v>
      </c>
      <c r="Z988" s="21">
        <f>DATE(K988,MATCH(J988,{"January","February","March","April","May","June","July","August","September","October","November","December"},0),1)</f>
        <v>45323</v>
      </c>
    </row>
    <row r="989" spans="1:26" x14ac:dyDescent="0.3">
      <c r="A989" s="4" t="s">
        <v>1057</v>
      </c>
      <c r="B989" s="4" t="s">
        <v>52</v>
      </c>
      <c r="C989" s="4" t="s">
        <v>24</v>
      </c>
      <c r="D989" s="5">
        <v>46055.88</v>
      </c>
      <c r="E989" s="6">
        <v>5</v>
      </c>
      <c r="F989" s="5">
        <v>230279.4</v>
      </c>
      <c r="G989" s="1">
        <v>45632</v>
      </c>
      <c r="H989" t="s">
        <v>64</v>
      </c>
      <c r="I989">
        <v>4.2</v>
      </c>
      <c r="J989" t="s">
        <v>26</v>
      </c>
      <c r="K989">
        <v>2024</v>
      </c>
      <c r="L989">
        <v>46055.880000000005</v>
      </c>
      <c r="M989">
        <v>30</v>
      </c>
      <c r="N989" t="s">
        <v>20</v>
      </c>
      <c r="O989" t="s">
        <v>21</v>
      </c>
      <c r="P989">
        <f>FlipkartSales[[#This Row],[Price (INR)]]*FlipkartSales[[#This Row],[Quantity Sold]]</f>
        <v>230279.4</v>
      </c>
      <c r="Q989">
        <f>FlipkartSales[[#This Row],[Total Sales (INR)]]-FlipkartSales[[#This Row],[Calculated Sales]]</f>
        <v>0</v>
      </c>
      <c r="R989" s="9">
        <f t="shared" si="120"/>
        <v>0.20000000000000004</v>
      </c>
      <c r="S989">
        <f t="shared" si="121"/>
        <v>46055.88</v>
      </c>
      <c r="T989">
        <f t="shared" si="122"/>
        <v>9211.1760000000013</v>
      </c>
      <c r="U989">
        <f t="shared" si="123"/>
        <v>12</v>
      </c>
      <c r="V989" t="str">
        <f t="shared" si="124"/>
        <v>Q4</v>
      </c>
      <c r="W989" t="str">
        <f t="shared" si="125"/>
        <v>Dec-2024</v>
      </c>
      <c r="X989">
        <f t="shared" si="126"/>
        <v>69083.820000000007</v>
      </c>
      <c r="Y989" s="5">
        <f t="shared" si="127"/>
        <v>161195.57999999999</v>
      </c>
      <c r="Z989" s="21">
        <f>DATE(K989,MATCH(J989,{"January","February","March","April","May","June","July","August","September","October","November","December"},0),1)</f>
        <v>45627</v>
      </c>
    </row>
    <row r="990" spans="1:26" x14ac:dyDescent="0.3">
      <c r="A990" s="4" t="s">
        <v>1058</v>
      </c>
      <c r="B990" s="4" t="s">
        <v>35</v>
      </c>
      <c r="C990" s="4" t="s">
        <v>36</v>
      </c>
      <c r="D990" s="5">
        <v>49569.3</v>
      </c>
      <c r="E990" s="6">
        <v>4</v>
      </c>
      <c r="F990" s="5">
        <v>198277.2</v>
      </c>
      <c r="G990" s="1">
        <v>45423</v>
      </c>
      <c r="H990" t="s">
        <v>64</v>
      </c>
      <c r="I990">
        <v>1.2</v>
      </c>
      <c r="J990" t="s">
        <v>32</v>
      </c>
      <c r="K990">
        <v>2024</v>
      </c>
      <c r="L990">
        <v>39655.440000000002</v>
      </c>
      <c r="M990">
        <v>27</v>
      </c>
      <c r="N990" t="s">
        <v>27</v>
      </c>
      <c r="O990" t="s">
        <v>28</v>
      </c>
      <c r="P990">
        <f>FlipkartSales[[#This Row],[Price (INR)]]*FlipkartSales[[#This Row],[Quantity Sold]]</f>
        <v>198277.2</v>
      </c>
      <c r="Q990">
        <f>FlipkartSales[[#This Row],[Total Sales (INR)]]-FlipkartSales[[#This Row],[Calculated Sales]]</f>
        <v>0</v>
      </c>
      <c r="R990" s="9">
        <f t="shared" si="120"/>
        <v>0.2</v>
      </c>
      <c r="S990">
        <f t="shared" si="121"/>
        <v>49569.3</v>
      </c>
      <c r="T990">
        <f t="shared" si="122"/>
        <v>9913.86</v>
      </c>
      <c r="U990">
        <f t="shared" si="123"/>
        <v>5</v>
      </c>
      <c r="V990" t="str">
        <f t="shared" si="124"/>
        <v>Q2</v>
      </c>
      <c r="W990" t="str">
        <f t="shared" si="125"/>
        <v>May-2024</v>
      </c>
      <c r="X990">
        <f t="shared" si="126"/>
        <v>53534.844000000005</v>
      </c>
      <c r="Y990" s="5">
        <f t="shared" si="127"/>
        <v>144742.356</v>
      </c>
      <c r="Z990" s="21">
        <f>DATE(K990,MATCH(J990,{"January","February","March","April","May","June","July","August","September","October","November","December"},0),1)</f>
        <v>45413</v>
      </c>
    </row>
    <row r="991" spans="1:26" x14ac:dyDescent="0.3">
      <c r="A991" s="4" t="s">
        <v>1059</v>
      </c>
      <c r="B991" s="4" t="s">
        <v>16</v>
      </c>
      <c r="C991" s="4" t="s">
        <v>17</v>
      </c>
      <c r="D991" s="5">
        <v>35948.160000000003</v>
      </c>
      <c r="E991" s="6">
        <v>5</v>
      </c>
      <c r="F991" s="5">
        <v>179740.79999999999</v>
      </c>
      <c r="G991" s="1">
        <v>45595</v>
      </c>
      <c r="H991" t="s">
        <v>44</v>
      </c>
      <c r="I991">
        <v>2.5</v>
      </c>
      <c r="J991" t="s">
        <v>45</v>
      </c>
      <c r="K991">
        <v>2024</v>
      </c>
      <c r="L991">
        <v>35948.159999999996</v>
      </c>
      <c r="M991">
        <v>18</v>
      </c>
      <c r="N991" t="s">
        <v>20</v>
      </c>
      <c r="O991" t="s">
        <v>28</v>
      </c>
      <c r="P991">
        <f>FlipkartSales[[#This Row],[Price (INR)]]*FlipkartSales[[#This Row],[Quantity Sold]]</f>
        <v>179740.80000000002</v>
      </c>
      <c r="Q991">
        <f>FlipkartSales[[#This Row],[Total Sales (INR)]]-FlipkartSales[[#This Row],[Calculated Sales]]</f>
        <v>0</v>
      </c>
      <c r="R991" s="9">
        <f t="shared" si="120"/>
        <v>0.19999999999999998</v>
      </c>
      <c r="S991">
        <f t="shared" si="121"/>
        <v>35948.159999999996</v>
      </c>
      <c r="T991">
        <f t="shared" si="122"/>
        <v>7189.6319999999996</v>
      </c>
      <c r="U991">
        <f t="shared" si="123"/>
        <v>10</v>
      </c>
      <c r="V991" t="str">
        <f t="shared" si="124"/>
        <v>Q4</v>
      </c>
      <c r="W991" t="str">
        <f t="shared" si="125"/>
        <v>Oct-2024</v>
      </c>
      <c r="X991">
        <f t="shared" si="126"/>
        <v>32353.343999999997</v>
      </c>
      <c r="Y991" s="5">
        <f t="shared" si="127"/>
        <v>147387.45600000001</v>
      </c>
      <c r="Z991" s="21">
        <f>DATE(K991,MATCH(J991,{"January","February","March","April","May","June","July","August","September","October","November","December"},0),1)</f>
        <v>45566</v>
      </c>
    </row>
    <row r="992" spans="1:26" x14ac:dyDescent="0.3">
      <c r="A992" s="4" t="s">
        <v>1060</v>
      </c>
      <c r="B992" s="4" t="s">
        <v>118</v>
      </c>
      <c r="C992" s="4" t="s">
        <v>17</v>
      </c>
      <c r="D992" s="5">
        <v>9189.91</v>
      </c>
      <c r="E992" s="6">
        <v>5</v>
      </c>
      <c r="F992" s="5">
        <v>45949.55</v>
      </c>
      <c r="G992" s="1">
        <v>45501</v>
      </c>
      <c r="H992" t="s">
        <v>44</v>
      </c>
      <c r="I992">
        <v>4.9000000000000004</v>
      </c>
      <c r="J992" t="s">
        <v>48</v>
      </c>
      <c r="K992">
        <v>2024</v>
      </c>
      <c r="L992">
        <v>9189.9100000000017</v>
      </c>
      <c r="M992">
        <v>28</v>
      </c>
      <c r="N992" t="s">
        <v>41</v>
      </c>
      <c r="O992" t="s">
        <v>33</v>
      </c>
      <c r="P992">
        <f>FlipkartSales[[#This Row],[Price (INR)]]*FlipkartSales[[#This Row],[Quantity Sold]]</f>
        <v>45949.55</v>
      </c>
      <c r="Q992">
        <f>FlipkartSales[[#This Row],[Total Sales (INR)]]-FlipkartSales[[#This Row],[Calculated Sales]]</f>
        <v>0</v>
      </c>
      <c r="R992" s="9">
        <f t="shared" si="120"/>
        <v>0.2</v>
      </c>
      <c r="S992">
        <f t="shared" si="121"/>
        <v>9189.91</v>
      </c>
      <c r="T992">
        <f t="shared" si="122"/>
        <v>1837.9820000000004</v>
      </c>
      <c r="U992">
        <f t="shared" si="123"/>
        <v>7</v>
      </c>
      <c r="V992" t="str">
        <f t="shared" si="124"/>
        <v>Q3</v>
      </c>
      <c r="W992" t="str">
        <f t="shared" si="125"/>
        <v>Jul-2024</v>
      </c>
      <c r="X992">
        <f t="shared" si="126"/>
        <v>12865.874000000002</v>
      </c>
      <c r="Y992" s="5">
        <f t="shared" si="127"/>
        <v>33083.675999999999</v>
      </c>
      <c r="Z992" s="21">
        <f>DATE(K992,MATCH(J992,{"January","February","March","April","May","June","July","August","September","October","November","December"},0),1)</f>
        <v>45474</v>
      </c>
    </row>
    <row r="993" spans="1:26" x14ac:dyDescent="0.3">
      <c r="A993" s="4" t="s">
        <v>1061</v>
      </c>
      <c r="B993" s="4" t="s">
        <v>43</v>
      </c>
      <c r="C993" s="4" t="s">
        <v>40</v>
      </c>
      <c r="D993" s="5">
        <v>6075.65</v>
      </c>
      <c r="E993" s="6">
        <v>2</v>
      </c>
      <c r="F993" s="5">
        <v>12151.3</v>
      </c>
      <c r="G993" s="1">
        <v>45357</v>
      </c>
      <c r="H993" t="s">
        <v>71</v>
      </c>
      <c r="I993">
        <v>2.1</v>
      </c>
      <c r="J993" t="s">
        <v>56</v>
      </c>
      <c r="K993">
        <v>2024</v>
      </c>
      <c r="L993">
        <v>2430.2599999999998</v>
      </c>
      <c r="M993">
        <v>6</v>
      </c>
      <c r="N993" t="s">
        <v>41</v>
      </c>
      <c r="O993" t="s">
        <v>33</v>
      </c>
      <c r="P993">
        <f>FlipkartSales[[#This Row],[Price (INR)]]*FlipkartSales[[#This Row],[Quantity Sold]]</f>
        <v>12151.3</v>
      </c>
      <c r="Q993">
        <f>FlipkartSales[[#This Row],[Total Sales (INR)]]-FlipkartSales[[#This Row],[Calculated Sales]]</f>
        <v>0</v>
      </c>
      <c r="R993" s="9">
        <f t="shared" si="120"/>
        <v>0.19999999999999998</v>
      </c>
      <c r="S993">
        <f t="shared" si="121"/>
        <v>6075.65</v>
      </c>
      <c r="T993">
        <f t="shared" si="122"/>
        <v>1215.1299999999999</v>
      </c>
      <c r="U993">
        <f t="shared" si="123"/>
        <v>3</v>
      </c>
      <c r="V993" t="str">
        <f t="shared" si="124"/>
        <v>Q1</v>
      </c>
      <c r="W993" t="str">
        <f t="shared" si="125"/>
        <v>Mar-2024</v>
      </c>
      <c r="X993">
        <f t="shared" si="126"/>
        <v>729.07799999999986</v>
      </c>
      <c r="Y993" s="5">
        <f t="shared" si="127"/>
        <v>11422.222</v>
      </c>
      <c r="Z993" s="21">
        <f>DATE(K993,MATCH(J993,{"January","February","March","April","May","June","July","August","September","October","November","December"},0),1)</f>
        <v>45352</v>
      </c>
    </row>
    <row r="994" spans="1:26" x14ac:dyDescent="0.3">
      <c r="A994" s="4" t="s">
        <v>1062</v>
      </c>
      <c r="B994" s="4" t="s">
        <v>43</v>
      </c>
      <c r="C994" s="4" t="s">
        <v>40</v>
      </c>
      <c r="D994" s="5">
        <v>25511.46</v>
      </c>
      <c r="E994" s="6">
        <v>2</v>
      </c>
      <c r="F994" s="5">
        <v>51022.92</v>
      </c>
      <c r="G994" s="1">
        <v>45623</v>
      </c>
      <c r="H994" t="s">
        <v>80</v>
      </c>
      <c r="I994">
        <v>3.7</v>
      </c>
      <c r="J994" t="s">
        <v>37</v>
      </c>
      <c r="K994">
        <v>2024</v>
      </c>
      <c r="L994">
        <v>10204.584000000001</v>
      </c>
      <c r="M994">
        <v>17</v>
      </c>
      <c r="N994" t="s">
        <v>41</v>
      </c>
      <c r="O994" t="s">
        <v>33</v>
      </c>
      <c r="P994">
        <f>FlipkartSales[[#This Row],[Price (INR)]]*FlipkartSales[[#This Row],[Quantity Sold]]</f>
        <v>51022.92</v>
      </c>
      <c r="Q994">
        <f>FlipkartSales[[#This Row],[Total Sales (INR)]]-FlipkartSales[[#This Row],[Calculated Sales]]</f>
        <v>0</v>
      </c>
      <c r="R994" s="9">
        <f t="shared" si="120"/>
        <v>0.2</v>
      </c>
      <c r="S994">
        <f t="shared" si="121"/>
        <v>25511.46</v>
      </c>
      <c r="T994">
        <f t="shared" si="122"/>
        <v>5102.2920000000004</v>
      </c>
      <c r="U994">
        <f t="shared" si="123"/>
        <v>11</v>
      </c>
      <c r="V994" t="str">
        <f t="shared" si="124"/>
        <v>Q4</v>
      </c>
      <c r="W994" t="str">
        <f t="shared" si="125"/>
        <v>Nov-2024</v>
      </c>
      <c r="X994">
        <f t="shared" si="126"/>
        <v>8673.8963999999996</v>
      </c>
      <c r="Y994" s="5">
        <f t="shared" si="127"/>
        <v>42349.0236</v>
      </c>
      <c r="Z994" s="21">
        <f>DATE(K994,MATCH(J994,{"January","February","March","April","May","June","July","August","September","October","November","December"},0),1)</f>
        <v>45597</v>
      </c>
    </row>
    <row r="995" spans="1:26" x14ac:dyDescent="0.3">
      <c r="A995" s="4" t="s">
        <v>1063</v>
      </c>
      <c r="B995" s="4" t="s">
        <v>43</v>
      </c>
      <c r="C995" s="4" t="s">
        <v>40</v>
      </c>
      <c r="D995" s="5">
        <v>5815.52</v>
      </c>
      <c r="E995" s="6">
        <v>4</v>
      </c>
      <c r="F995" s="5">
        <v>23262.080000000002</v>
      </c>
      <c r="G995" s="1">
        <v>45577</v>
      </c>
      <c r="H995" t="s">
        <v>25</v>
      </c>
      <c r="I995">
        <v>2.2000000000000002</v>
      </c>
      <c r="J995" t="s">
        <v>45</v>
      </c>
      <c r="K995">
        <v>2024</v>
      </c>
      <c r="L995">
        <v>4652.4160000000002</v>
      </c>
      <c r="M995">
        <v>30</v>
      </c>
      <c r="N995" t="s">
        <v>27</v>
      </c>
      <c r="O995" t="s">
        <v>21</v>
      </c>
      <c r="P995">
        <f>FlipkartSales[[#This Row],[Price (INR)]]*FlipkartSales[[#This Row],[Quantity Sold]]</f>
        <v>23262.080000000002</v>
      </c>
      <c r="Q995">
        <f>FlipkartSales[[#This Row],[Total Sales (INR)]]-FlipkartSales[[#This Row],[Calculated Sales]]</f>
        <v>0</v>
      </c>
      <c r="R995" s="9">
        <f t="shared" si="120"/>
        <v>0.19999999999999998</v>
      </c>
      <c r="S995">
        <f t="shared" si="121"/>
        <v>5815.52</v>
      </c>
      <c r="T995">
        <f t="shared" si="122"/>
        <v>1163.104</v>
      </c>
      <c r="U995">
        <f t="shared" si="123"/>
        <v>10</v>
      </c>
      <c r="V995" t="str">
        <f t="shared" si="124"/>
        <v>Q4</v>
      </c>
      <c r="W995" t="str">
        <f t="shared" si="125"/>
        <v>Oct-2024</v>
      </c>
      <c r="X995">
        <f t="shared" si="126"/>
        <v>6978.6239999999998</v>
      </c>
      <c r="Y995" s="5">
        <f t="shared" si="127"/>
        <v>16283.456000000002</v>
      </c>
      <c r="Z995" s="21">
        <f>DATE(K995,MATCH(J995,{"January","February","March","April","May","June","July","August","September","October","November","December"},0),1)</f>
        <v>45566</v>
      </c>
    </row>
    <row r="996" spans="1:26" x14ac:dyDescent="0.3">
      <c r="A996" s="4" t="s">
        <v>1064</v>
      </c>
      <c r="B996" s="4" t="s">
        <v>47</v>
      </c>
      <c r="C996" s="4" t="s">
        <v>24</v>
      </c>
      <c r="D996" s="5">
        <v>11479.89</v>
      </c>
      <c r="E996" s="6">
        <v>3</v>
      </c>
      <c r="F996" s="5">
        <v>34439.67</v>
      </c>
      <c r="G996" s="1">
        <v>45503</v>
      </c>
      <c r="H996" t="s">
        <v>80</v>
      </c>
      <c r="I996">
        <v>2.5</v>
      </c>
      <c r="J996" t="s">
        <v>48</v>
      </c>
      <c r="K996">
        <v>2024</v>
      </c>
      <c r="L996">
        <v>6887.9340000000002</v>
      </c>
      <c r="M996">
        <v>18</v>
      </c>
      <c r="N996" t="s">
        <v>20</v>
      </c>
      <c r="O996" t="s">
        <v>21</v>
      </c>
      <c r="P996">
        <f>FlipkartSales[[#This Row],[Price (INR)]]*FlipkartSales[[#This Row],[Quantity Sold]]</f>
        <v>34439.67</v>
      </c>
      <c r="Q996">
        <f>FlipkartSales[[#This Row],[Total Sales (INR)]]-FlipkartSales[[#This Row],[Calculated Sales]]</f>
        <v>0</v>
      </c>
      <c r="R996" s="9">
        <f t="shared" si="120"/>
        <v>0.2</v>
      </c>
      <c r="S996">
        <f t="shared" si="121"/>
        <v>11479.89</v>
      </c>
      <c r="T996">
        <f t="shared" si="122"/>
        <v>2295.9780000000001</v>
      </c>
      <c r="U996">
        <f t="shared" si="123"/>
        <v>7</v>
      </c>
      <c r="V996" t="str">
        <f t="shared" si="124"/>
        <v>Q3</v>
      </c>
      <c r="W996" t="str">
        <f t="shared" si="125"/>
        <v>Jul-2024</v>
      </c>
      <c r="X996">
        <f t="shared" si="126"/>
        <v>6199.1405999999997</v>
      </c>
      <c r="Y996" s="5">
        <f t="shared" si="127"/>
        <v>28240.529399999999</v>
      </c>
      <c r="Z996" s="21">
        <f>DATE(K996,MATCH(J996,{"January","February","March","April","May","June","July","August","September","October","November","December"},0),1)</f>
        <v>45474</v>
      </c>
    </row>
    <row r="997" spans="1:26" x14ac:dyDescent="0.3">
      <c r="A997" s="4" t="s">
        <v>1065</v>
      </c>
      <c r="B997" s="4" t="s">
        <v>66</v>
      </c>
      <c r="C997" s="4" t="s">
        <v>36</v>
      </c>
      <c r="D997" s="5">
        <v>28995.81</v>
      </c>
      <c r="E997" s="6">
        <v>3</v>
      </c>
      <c r="F997" s="5">
        <v>86987.43</v>
      </c>
      <c r="G997" s="1">
        <v>45670</v>
      </c>
      <c r="H997" t="s">
        <v>64</v>
      </c>
      <c r="I997">
        <v>5</v>
      </c>
      <c r="J997" t="s">
        <v>53</v>
      </c>
      <c r="K997">
        <v>2025</v>
      </c>
      <c r="L997">
        <v>17397.486000000001</v>
      </c>
      <c r="M997">
        <v>28</v>
      </c>
      <c r="N997" t="s">
        <v>27</v>
      </c>
      <c r="O997" t="s">
        <v>21</v>
      </c>
      <c r="P997">
        <f>FlipkartSales[[#This Row],[Price (INR)]]*FlipkartSales[[#This Row],[Quantity Sold]]</f>
        <v>86987.430000000008</v>
      </c>
      <c r="Q997">
        <f>FlipkartSales[[#This Row],[Total Sales (INR)]]-FlipkartSales[[#This Row],[Calculated Sales]]</f>
        <v>0</v>
      </c>
      <c r="R997" s="9">
        <f t="shared" si="120"/>
        <v>0.20000000000000004</v>
      </c>
      <c r="S997">
        <f t="shared" si="121"/>
        <v>28995.809999999998</v>
      </c>
      <c r="T997">
        <f t="shared" si="122"/>
        <v>5799.1620000000003</v>
      </c>
      <c r="U997">
        <f t="shared" si="123"/>
        <v>1</v>
      </c>
      <c r="V997" t="str">
        <f t="shared" si="124"/>
        <v>Q1</v>
      </c>
      <c r="W997" t="str">
        <f t="shared" si="125"/>
        <v>Jan-2025</v>
      </c>
      <c r="X997">
        <f t="shared" si="126"/>
        <v>24356.4804</v>
      </c>
      <c r="Y997" s="5">
        <f t="shared" si="127"/>
        <v>62630.949599999993</v>
      </c>
      <c r="Z997" s="21">
        <f>DATE(K997,MATCH(J997,{"January","February","March","April","May","June","July","August","September","October","November","December"},0),1)</f>
        <v>45658</v>
      </c>
    </row>
    <row r="998" spans="1:26" x14ac:dyDescent="0.3">
      <c r="A998" s="4" t="s">
        <v>1066</v>
      </c>
      <c r="B998" s="4" t="s">
        <v>58</v>
      </c>
      <c r="C998" s="4" t="s">
        <v>31</v>
      </c>
      <c r="D998" s="5">
        <v>32799.51</v>
      </c>
      <c r="E998" s="6">
        <v>2</v>
      </c>
      <c r="F998" s="5">
        <v>65599.02</v>
      </c>
      <c r="G998" s="1">
        <v>45644</v>
      </c>
      <c r="H998" t="s">
        <v>44</v>
      </c>
      <c r="I998">
        <v>2.4</v>
      </c>
      <c r="J998" t="s">
        <v>26</v>
      </c>
      <c r="K998">
        <v>2024</v>
      </c>
      <c r="L998">
        <v>13119.804000000002</v>
      </c>
      <c r="M998">
        <v>23</v>
      </c>
      <c r="N998" t="s">
        <v>27</v>
      </c>
      <c r="O998" t="s">
        <v>28</v>
      </c>
      <c r="P998">
        <f>FlipkartSales[[#This Row],[Price (INR)]]*FlipkartSales[[#This Row],[Quantity Sold]]</f>
        <v>65599.02</v>
      </c>
      <c r="Q998">
        <f>FlipkartSales[[#This Row],[Total Sales (INR)]]-FlipkartSales[[#This Row],[Calculated Sales]]</f>
        <v>0</v>
      </c>
      <c r="R998" s="9">
        <f t="shared" si="120"/>
        <v>0.2</v>
      </c>
      <c r="S998">
        <f t="shared" si="121"/>
        <v>32799.51</v>
      </c>
      <c r="T998">
        <f t="shared" si="122"/>
        <v>6559.902000000001</v>
      </c>
      <c r="U998">
        <f t="shared" si="123"/>
        <v>12</v>
      </c>
      <c r="V998" t="str">
        <f t="shared" si="124"/>
        <v>Q4</v>
      </c>
      <c r="W998" t="str">
        <f t="shared" si="125"/>
        <v>Dec-2024</v>
      </c>
      <c r="X998">
        <f t="shared" si="126"/>
        <v>15087.774600000002</v>
      </c>
      <c r="Y998" s="5">
        <f t="shared" si="127"/>
        <v>50511.2454</v>
      </c>
      <c r="Z998" s="21">
        <f>DATE(K998,MATCH(J998,{"January","February","March","April","May","June","July","August","September","October","November","December"},0),1)</f>
        <v>45627</v>
      </c>
    </row>
    <row r="999" spans="1:26" x14ac:dyDescent="0.3">
      <c r="A999" s="4" t="s">
        <v>1067</v>
      </c>
      <c r="B999" s="4" t="s">
        <v>30</v>
      </c>
      <c r="C999" s="4" t="s">
        <v>31</v>
      </c>
      <c r="D999" s="5">
        <v>40840.800000000003</v>
      </c>
      <c r="E999" s="6">
        <v>1</v>
      </c>
      <c r="F999" s="5">
        <v>40840.800000000003</v>
      </c>
      <c r="G999" s="1">
        <v>45499</v>
      </c>
      <c r="H999" t="s">
        <v>25</v>
      </c>
      <c r="I999">
        <v>3.1</v>
      </c>
      <c r="J999" t="s">
        <v>48</v>
      </c>
      <c r="K999">
        <v>2024</v>
      </c>
      <c r="L999">
        <v>8168.1600000000008</v>
      </c>
      <c r="M999">
        <v>11</v>
      </c>
      <c r="N999" t="s">
        <v>41</v>
      </c>
      <c r="O999" t="s">
        <v>21</v>
      </c>
      <c r="P999">
        <f>FlipkartSales[[#This Row],[Price (INR)]]*FlipkartSales[[#This Row],[Quantity Sold]]</f>
        <v>40840.800000000003</v>
      </c>
      <c r="Q999">
        <f>FlipkartSales[[#This Row],[Total Sales (INR)]]-FlipkartSales[[#This Row],[Calculated Sales]]</f>
        <v>0</v>
      </c>
      <c r="R999" s="9">
        <f t="shared" si="120"/>
        <v>0.2</v>
      </c>
      <c r="S999">
        <f t="shared" si="121"/>
        <v>40840.800000000003</v>
      </c>
      <c r="T999">
        <f t="shared" si="122"/>
        <v>8168.1600000000008</v>
      </c>
      <c r="U999">
        <f t="shared" si="123"/>
        <v>7</v>
      </c>
      <c r="V999" t="str">
        <f t="shared" si="124"/>
        <v>Q3</v>
      </c>
      <c r="W999" t="str">
        <f t="shared" si="125"/>
        <v>Jul-2024</v>
      </c>
      <c r="X999">
        <f t="shared" si="126"/>
        <v>4492.4880000000003</v>
      </c>
      <c r="Y999" s="5">
        <f t="shared" si="127"/>
        <v>36348.312000000005</v>
      </c>
      <c r="Z999" s="21">
        <f>DATE(K999,MATCH(J999,{"January","February","March","April","May","June","July","August","September","October","November","December"},0),1)</f>
        <v>45474</v>
      </c>
    </row>
    <row r="1000" spans="1:26" x14ac:dyDescent="0.3">
      <c r="A1000" s="4" t="s">
        <v>1068</v>
      </c>
      <c r="B1000" s="4" t="s">
        <v>39</v>
      </c>
      <c r="C1000" s="4" t="s">
        <v>40</v>
      </c>
      <c r="D1000" s="5">
        <v>34741.79</v>
      </c>
      <c r="E1000" s="6">
        <v>4</v>
      </c>
      <c r="F1000" s="5">
        <v>138967.16</v>
      </c>
      <c r="G1000" s="1">
        <v>45567</v>
      </c>
      <c r="H1000" t="s">
        <v>80</v>
      </c>
      <c r="I1000">
        <v>3.2</v>
      </c>
      <c r="J1000" t="s">
        <v>45</v>
      </c>
      <c r="K1000">
        <v>2024</v>
      </c>
      <c r="L1000">
        <v>27793.432000000001</v>
      </c>
      <c r="M1000">
        <v>7</v>
      </c>
      <c r="N1000" t="s">
        <v>27</v>
      </c>
      <c r="O1000" t="s">
        <v>68</v>
      </c>
      <c r="P1000">
        <f>FlipkartSales[[#This Row],[Price (INR)]]*FlipkartSales[[#This Row],[Quantity Sold]]</f>
        <v>138967.16</v>
      </c>
      <c r="Q1000">
        <f>FlipkartSales[[#This Row],[Total Sales (INR)]]-FlipkartSales[[#This Row],[Calculated Sales]]</f>
        <v>0</v>
      </c>
      <c r="R1000" s="9">
        <f t="shared" si="120"/>
        <v>0.2</v>
      </c>
      <c r="S1000">
        <f t="shared" si="121"/>
        <v>34741.79</v>
      </c>
      <c r="T1000">
        <f t="shared" si="122"/>
        <v>6948.3580000000002</v>
      </c>
      <c r="U1000">
        <f t="shared" si="123"/>
        <v>10</v>
      </c>
      <c r="V1000" t="str">
        <f t="shared" si="124"/>
        <v>Q4</v>
      </c>
      <c r="W1000" t="str">
        <f t="shared" si="125"/>
        <v>Oct-2024</v>
      </c>
      <c r="X1000">
        <f t="shared" si="126"/>
        <v>9727.7011999999995</v>
      </c>
      <c r="Y1000" s="5">
        <f t="shared" si="127"/>
        <v>129239.45880000001</v>
      </c>
      <c r="Z1000" s="21">
        <f>DATE(K1000,MATCH(J1000,{"January","February","March","April","May","June","July","August","September","October","November","December"},0),1)</f>
        <v>45566</v>
      </c>
    </row>
    <row r="1001" spans="1:26" x14ac:dyDescent="0.3">
      <c r="A1001" s="4" t="s">
        <v>1069</v>
      </c>
      <c r="B1001" s="4" t="s">
        <v>50</v>
      </c>
      <c r="C1001" s="4" t="s">
        <v>40</v>
      </c>
      <c r="D1001" s="5">
        <v>16698.12</v>
      </c>
      <c r="E1001" s="6">
        <v>4</v>
      </c>
      <c r="F1001" s="5">
        <v>66792.479999999996</v>
      </c>
      <c r="G1001" s="1">
        <v>45377</v>
      </c>
      <c r="H1001" t="s">
        <v>71</v>
      </c>
      <c r="I1001">
        <v>1.6</v>
      </c>
      <c r="J1001" t="s">
        <v>56</v>
      </c>
      <c r="K1001">
        <v>2024</v>
      </c>
      <c r="L1001">
        <v>13358.495999999999</v>
      </c>
      <c r="M1001">
        <v>19</v>
      </c>
      <c r="N1001" t="s">
        <v>27</v>
      </c>
      <c r="O1001" t="s">
        <v>68</v>
      </c>
      <c r="P1001">
        <f>FlipkartSales[[#This Row],[Price (INR)]]*FlipkartSales[[#This Row],[Quantity Sold]]</f>
        <v>66792.479999999996</v>
      </c>
      <c r="Q1001">
        <f>FlipkartSales[[#This Row],[Total Sales (INR)]]-FlipkartSales[[#This Row],[Calculated Sales]]</f>
        <v>0</v>
      </c>
      <c r="R1001" s="9">
        <f t="shared" si="120"/>
        <v>0.2</v>
      </c>
      <c r="S1001">
        <f t="shared" si="121"/>
        <v>16698.12</v>
      </c>
      <c r="T1001">
        <f t="shared" si="122"/>
        <v>3339.6239999999998</v>
      </c>
      <c r="U1001">
        <f t="shared" si="123"/>
        <v>3</v>
      </c>
      <c r="V1001" t="str">
        <f t="shared" si="124"/>
        <v>Q1</v>
      </c>
      <c r="W1001" t="str">
        <f t="shared" si="125"/>
        <v>Mar-2024</v>
      </c>
      <c r="X1001">
        <f t="shared" si="126"/>
        <v>12690.571199999998</v>
      </c>
      <c r="Y1001" s="5">
        <f t="shared" si="127"/>
        <v>54101.908799999997</v>
      </c>
      <c r="Z1001" s="21">
        <f>DATE(K1001,MATCH(J1001,{"January","February","March","April","May","June","July","August","September","October","November","December"},0),1)</f>
        <v>45352</v>
      </c>
    </row>
  </sheetData>
  <conditionalFormatting sqref="A2:O1001">
    <cfRule type="duplicateValues" dxfId="0" priority="1"/>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9B14C-9662-43B4-A919-C507D17169E1}">
  <dimension ref="A1:O1001"/>
  <sheetViews>
    <sheetView workbookViewId="0">
      <selection activeCell="C28" sqref="C28"/>
    </sheetView>
  </sheetViews>
  <sheetFormatPr defaultRowHeight="14.4" x14ac:dyDescent="0.3"/>
  <cols>
    <col min="1" max="1" width="10.21875" bestFit="1" customWidth="1"/>
    <col min="2" max="2" width="15.44140625" bestFit="1" customWidth="1"/>
    <col min="3" max="3" width="14.21875" bestFit="1" customWidth="1"/>
    <col min="4" max="4" width="12.109375" bestFit="1" customWidth="1"/>
    <col min="5" max="5" width="14.6640625" bestFit="1" customWidth="1"/>
    <col min="6" max="6" width="17" bestFit="1" customWidth="1"/>
    <col min="7" max="7" width="12.33203125" bestFit="1" customWidth="1"/>
    <col min="8" max="8" width="18.109375" bestFit="1" customWidth="1"/>
    <col min="9" max="9" width="17.21875" bestFit="1" customWidth="1"/>
    <col min="10" max="10" width="9.77734375" bestFit="1" customWidth="1"/>
    <col min="11" max="11" width="6.88671875" bestFit="1" customWidth="1"/>
    <col min="12" max="12" width="12.6640625" bestFit="1" customWidth="1"/>
    <col min="13" max="13" width="12.44140625" bestFit="1" customWidth="1"/>
    <col min="14" max="14" width="19.44140625" bestFit="1" customWidth="1"/>
    <col min="15" max="15" width="9"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t="s">
        <v>16</v>
      </c>
      <c r="C2" t="s">
        <v>17</v>
      </c>
      <c r="D2">
        <v>49069.56</v>
      </c>
      <c r="E2">
        <v>2</v>
      </c>
      <c r="F2">
        <v>98139.12</v>
      </c>
      <c r="G2" s="1">
        <v>45547</v>
      </c>
      <c r="H2" t="s">
        <v>18</v>
      </c>
      <c r="I2">
        <v>3.5</v>
      </c>
      <c r="J2" t="s">
        <v>19</v>
      </c>
      <c r="K2">
        <v>2024</v>
      </c>
      <c r="L2">
        <v>19627.824000000001</v>
      </c>
      <c r="M2">
        <v>11</v>
      </c>
      <c r="N2" t="s">
        <v>20</v>
      </c>
      <c r="O2" t="s">
        <v>21</v>
      </c>
    </row>
    <row r="3" spans="1:15" x14ac:dyDescent="0.3">
      <c r="A3" t="s">
        <v>22</v>
      </c>
      <c r="B3" t="s">
        <v>23</v>
      </c>
      <c r="C3" t="s">
        <v>24</v>
      </c>
      <c r="D3">
        <v>12755.85</v>
      </c>
      <c r="E3">
        <v>4</v>
      </c>
      <c r="F3">
        <v>51023.4</v>
      </c>
      <c r="G3" s="1">
        <v>45644</v>
      </c>
      <c r="H3" t="s">
        <v>25</v>
      </c>
      <c r="I3">
        <v>3.9</v>
      </c>
      <c r="J3" t="s">
        <v>26</v>
      </c>
      <c r="K3">
        <v>2024</v>
      </c>
      <c r="L3">
        <v>10204.68</v>
      </c>
      <c r="M3">
        <v>24</v>
      </c>
      <c r="N3" t="s">
        <v>27</v>
      </c>
      <c r="O3" t="s">
        <v>28</v>
      </c>
    </row>
    <row r="4" spans="1:15" x14ac:dyDescent="0.3">
      <c r="A4" t="s">
        <v>29</v>
      </c>
      <c r="B4" t="s">
        <v>30</v>
      </c>
      <c r="C4" t="s">
        <v>31</v>
      </c>
      <c r="D4">
        <v>11092.19</v>
      </c>
      <c r="E4">
        <v>4</v>
      </c>
      <c r="F4">
        <v>44368.76</v>
      </c>
      <c r="G4" s="1">
        <v>45430</v>
      </c>
      <c r="H4" t="s">
        <v>18</v>
      </c>
      <c r="I4">
        <v>4.4000000000000004</v>
      </c>
      <c r="J4" t="s">
        <v>32</v>
      </c>
      <c r="K4">
        <v>2024</v>
      </c>
      <c r="L4">
        <v>8873.7520000000004</v>
      </c>
      <c r="M4">
        <v>19</v>
      </c>
      <c r="N4" t="s">
        <v>20</v>
      </c>
      <c r="O4" t="s">
        <v>33</v>
      </c>
    </row>
    <row r="5" spans="1:15" x14ac:dyDescent="0.3">
      <c r="A5" t="s">
        <v>34</v>
      </c>
      <c r="B5" t="s">
        <v>35</v>
      </c>
      <c r="C5" t="s">
        <v>36</v>
      </c>
      <c r="D5">
        <v>32657.81</v>
      </c>
      <c r="E5">
        <v>1</v>
      </c>
      <c r="F5">
        <v>32657.81</v>
      </c>
      <c r="G5" s="1">
        <v>45604</v>
      </c>
      <c r="H5" t="s">
        <v>18</v>
      </c>
      <c r="I5">
        <v>3.2</v>
      </c>
      <c r="J5" t="s">
        <v>37</v>
      </c>
      <c r="K5">
        <v>2024</v>
      </c>
      <c r="L5">
        <v>6531.5620000000008</v>
      </c>
      <c r="M5">
        <v>15</v>
      </c>
      <c r="N5" t="s">
        <v>20</v>
      </c>
      <c r="O5" t="s">
        <v>28</v>
      </c>
    </row>
    <row r="6" spans="1:15" x14ac:dyDescent="0.3">
      <c r="A6" t="s">
        <v>38</v>
      </c>
      <c r="B6" t="s">
        <v>39</v>
      </c>
      <c r="C6" t="s">
        <v>40</v>
      </c>
      <c r="D6">
        <v>26590.080000000002</v>
      </c>
      <c r="E6">
        <v>3</v>
      </c>
      <c r="F6">
        <v>79770.240000000005</v>
      </c>
      <c r="G6" s="1">
        <v>45653</v>
      </c>
      <c r="H6" t="s">
        <v>25</v>
      </c>
      <c r="I6">
        <v>3.1</v>
      </c>
      <c r="J6" t="s">
        <v>26</v>
      </c>
      <c r="K6">
        <v>2024</v>
      </c>
      <c r="L6">
        <v>15954.048000000003</v>
      </c>
      <c r="M6">
        <v>12</v>
      </c>
      <c r="N6" t="s">
        <v>41</v>
      </c>
      <c r="O6" t="s">
        <v>28</v>
      </c>
    </row>
    <row r="7" spans="1:15" x14ac:dyDescent="0.3">
      <c r="A7" t="s">
        <v>42</v>
      </c>
      <c r="B7" t="s">
        <v>43</v>
      </c>
      <c r="C7" t="s">
        <v>40</v>
      </c>
      <c r="D7">
        <v>10475.030000000001</v>
      </c>
      <c r="E7">
        <v>2</v>
      </c>
      <c r="F7">
        <v>20950.060000000001</v>
      </c>
      <c r="G7" s="1">
        <v>45587</v>
      </c>
      <c r="H7" t="s">
        <v>44</v>
      </c>
      <c r="I7">
        <v>1.7</v>
      </c>
      <c r="J7" t="s">
        <v>45</v>
      </c>
      <c r="K7">
        <v>2024</v>
      </c>
      <c r="L7">
        <v>4190.0120000000006</v>
      </c>
      <c r="M7">
        <v>25</v>
      </c>
      <c r="N7" t="s">
        <v>27</v>
      </c>
      <c r="O7" t="s">
        <v>28</v>
      </c>
    </row>
    <row r="8" spans="1:15" x14ac:dyDescent="0.3">
      <c r="A8" t="s">
        <v>46</v>
      </c>
      <c r="B8" t="s">
        <v>47</v>
      </c>
      <c r="C8" t="s">
        <v>24</v>
      </c>
      <c r="D8">
        <v>38647.72</v>
      </c>
      <c r="E8">
        <v>3</v>
      </c>
      <c r="F8">
        <v>115943.16</v>
      </c>
      <c r="G8" s="1">
        <v>45477</v>
      </c>
      <c r="H8" t="s">
        <v>44</v>
      </c>
      <c r="I8">
        <v>2</v>
      </c>
      <c r="J8" t="s">
        <v>48</v>
      </c>
      <c r="K8">
        <v>2024</v>
      </c>
      <c r="L8">
        <v>23188.632000000001</v>
      </c>
      <c r="M8">
        <v>11</v>
      </c>
      <c r="N8" t="s">
        <v>27</v>
      </c>
      <c r="O8" t="s">
        <v>28</v>
      </c>
    </row>
    <row r="9" spans="1:15" x14ac:dyDescent="0.3">
      <c r="A9" t="s">
        <v>49</v>
      </c>
      <c r="B9" t="s">
        <v>50</v>
      </c>
      <c r="C9" t="s">
        <v>40</v>
      </c>
      <c r="D9">
        <v>24818.59</v>
      </c>
      <c r="E9">
        <v>3</v>
      </c>
      <c r="F9">
        <v>74455.77</v>
      </c>
      <c r="G9" s="1">
        <v>45653</v>
      </c>
      <c r="H9" t="s">
        <v>18</v>
      </c>
      <c r="I9">
        <v>2.4</v>
      </c>
      <c r="J9" t="s">
        <v>26</v>
      </c>
      <c r="K9">
        <v>2024</v>
      </c>
      <c r="L9">
        <v>14891.154000000002</v>
      </c>
      <c r="M9">
        <v>30</v>
      </c>
      <c r="N9" t="s">
        <v>27</v>
      </c>
      <c r="O9" t="s">
        <v>33</v>
      </c>
    </row>
    <row r="10" spans="1:15" x14ac:dyDescent="0.3">
      <c r="A10" t="s">
        <v>51</v>
      </c>
      <c r="B10" t="s">
        <v>52</v>
      </c>
      <c r="C10" t="s">
        <v>24</v>
      </c>
      <c r="D10">
        <v>1987.39</v>
      </c>
      <c r="E10">
        <v>2</v>
      </c>
      <c r="F10">
        <v>3974.78</v>
      </c>
      <c r="G10" s="1">
        <v>45675</v>
      </c>
      <c r="H10" t="s">
        <v>18</v>
      </c>
      <c r="I10">
        <v>2.6</v>
      </c>
      <c r="J10" t="s">
        <v>53</v>
      </c>
      <c r="K10">
        <v>2025</v>
      </c>
      <c r="L10">
        <v>794.95600000000013</v>
      </c>
      <c r="M10">
        <v>23</v>
      </c>
      <c r="N10" t="s">
        <v>20</v>
      </c>
      <c r="O10" t="s">
        <v>28</v>
      </c>
    </row>
    <row r="11" spans="1:15" x14ac:dyDescent="0.3">
      <c r="A11" t="s">
        <v>54</v>
      </c>
      <c r="B11" t="s">
        <v>55</v>
      </c>
      <c r="C11" t="s">
        <v>36</v>
      </c>
      <c r="D11">
        <v>26876.51</v>
      </c>
      <c r="E11">
        <v>2</v>
      </c>
      <c r="F11">
        <v>53753.02</v>
      </c>
      <c r="G11" s="1">
        <v>45365</v>
      </c>
      <c r="H11" t="s">
        <v>18</v>
      </c>
      <c r="I11">
        <v>4</v>
      </c>
      <c r="J11" t="s">
        <v>56</v>
      </c>
      <c r="K11">
        <v>2024</v>
      </c>
      <c r="L11">
        <v>10750.603999999999</v>
      </c>
      <c r="M11">
        <v>27</v>
      </c>
      <c r="N11" t="s">
        <v>20</v>
      </c>
      <c r="O11" t="s">
        <v>28</v>
      </c>
    </row>
    <row r="12" spans="1:15" x14ac:dyDescent="0.3">
      <c r="A12" t="s">
        <v>57</v>
      </c>
      <c r="B12" t="s">
        <v>58</v>
      </c>
      <c r="C12" t="s">
        <v>31</v>
      </c>
      <c r="D12">
        <v>46409.57</v>
      </c>
      <c r="E12">
        <v>5</v>
      </c>
      <c r="F12">
        <v>232047.85</v>
      </c>
      <c r="G12" s="1">
        <v>45696</v>
      </c>
      <c r="H12" t="s">
        <v>25</v>
      </c>
      <c r="I12">
        <v>2.2999999999999998</v>
      </c>
      <c r="J12" t="s">
        <v>59</v>
      </c>
      <c r="K12">
        <v>2025</v>
      </c>
      <c r="L12">
        <v>46409.570000000007</v>
      </c>
      <c r="M12">
        <v>15</v>
      </c>
      <c r="N12" t="s">
        <v>20</v>
      </c>
      <c r="O12" t="s">
        <v>21</v>
      </c>
    </row>
    <row r="13" spans="1:15" x14ac:dyDescent="0.3">
      <c r="A13" t="s">
        <v>60</v>
      </c>
      <c r="B13" t="s">
        <v>61</v>
      </c>
      <c r="C13" t="s">
        <v>31</v>
      </c>
      <c r="D13">
        <v>48780.78</v>
      </c>
      <c r="E13">
        <v>5</v>
      </c>
      <c r="F13">
        <v>243903.9</v>
      </c>
      <c r="G13" s="1">
        <v>45395</v>
      </c>
      <c r="H13" t="s">
        <v>25</v>
      </c>
      <c r="I13">
        <v>1.3</v>
      </c>
      <c r="J13" t="s">
        <v>62</v>
      </c>
      <c r="K13">
        <v>2024</v>
      </c>
      <c r="L13">
        <v>48780.78</v>
      </c>
      <c r="M13">
        <v>15</v>
      </c>
      <c r="N13" t="s">
        <v>41</v>
      </c>
      <c r="O13" t="s">
        <v>33</v>
      </c>
    </row>
    <row r="14" spans="1:15" x14ac:dyDescent="0.3">
      <c r="A14" t="s">
        <v>63</v>
      </c>
      <c r="B14" t="s">
        <v>16</v>
      </c>
      <c r="C14" t="s">
        <v>17</v>
      </c>
      <c r="D14">
        <v>6670.82</v>
      </c>
      <c r="E14">
        <v>5</v>
      </c>
      <c r="F14">
        <v>33354.1</v>
      </c>
      <c r="G14" s="1">
        <v>45345</v>
      </c>
      <c r="H14" t="s">
        <v>64</v>
      </c>
      <c r="I14">
        <v>1.2</v>
      </c>
      <c r="J14" t="s">
        <v>59</v>
      </c>
      <c r="K14">
        <v>2024</v>
      </c>
      <c r="L14">
        <v>6670.82</v>
      </c>
      <c r="M14">
        <v>28</v>
      </c>
      <c r="N14" t="s">
        <v>20</v>
      </c>
      <c r="O14" t="s">
        <v>33</v>
      </c>
    </row>
    <row r="15" spans="1:15" x14ac:dyDescent="0.3">
      <c r="A15" t="s">
        <v>65</v>
      </c>
      <c r="B15" t="s">
        <v>66</v>
      </c>
      <c r="C15" t="s">
        <v>36</v>
      </c>
      <c r="D15">
        <v>10826.05</v>
      </c>
      <c r="E15">
        <v>1</v>
      </c>
      <c r="F15">
        <v>10826.05</v>
      </c>
      <c r="G15" s="1">
        <v>45445</v>
      </c>
      <c r="H15" t="s">
        <v>44</v>
      </c>
      <c r="I15">
        <v>3.7</v>
      </c>
      <c r="J15" t="s">
        <v>67</v>
      </c>
      <c r="K15">
        <v>2024</v>
      </c>
      <c r="L15">
        <v>2165.21</v>
      </c>
      <c r="M15">
        <v>25</v>
      </c>
      <c r="N15" t="s">
        <v>41</v>
      </c>
      <c r="O15" t="s">
        <v>68</v>
      </c>
    </row>
    <row r="16" spans="1:15" x14ac:dyDescent="0.3">
      <c r="A16" t="s">
        <v>69</v>
      </c>
      <c r="B16" t="s">
        <v>70</v>
      </c>
      <c r="C16" t="s">
        <v>17</v>
      </c>
      <c r="D16">
        <v>6839.1</v>
      </c>
      <c r="E16">
        <v>1</v>
      </c>
      <c r="F16">
        <v>6839.1</v>
      </c>
      <c r="G16" s="1">
        <v>45547</v>
      </c>
      <c r="H16" t="s">
        <v>71</v>
      </c>
      <c r="I16">
        <v>1.6</v>
      </c>
      <c r="J16" t="s">
        <v>19</v>
      </c>
      <c r="K16">
        <v>2024</v>
      </c>
      <c r="L16">
        <v>1367.8200000000002</v>
      </c>
      <c r="M16">
        <v>8</v>
      </c>
      <c r="N16" t="s">
        <v>27</v>
      </c>
      <c r="O16" t="s">
        <v>33</v>
      </c>
    </row>
    <row r="17" spans="1:15" x14ac:dyDescent="0.3">
      <c r="A17" t="s">
        <v>72</v>
      </c>
      <c r="B17" t="s">
        <v>43</v>
      </c>
      <c r="C17" t="s">
        <v>40</v>
      </c>
      <c r="D17">
        <v>18197.89</v>
      </c>
      <c r="E17">
        <v>5</v>
      </c>
      <c r="F17">
        <v>90989.45</v>
      </c>
      <c r="G17" s="1">
        <v>45381</v>
      </c>
      <c r="H17" t="s">
        <v>18</v>
      </c>
      <c r="I17">
        <v>1.6</v>
      </c>
      <c r="J17" t="s">
        <v>56</v>
      </c>
      <c r="K17">
        <v>2024</v>
      </c>
      <c r="L17">
        <v>18197.89</v>
      </c>
      <c r="M17">
        <v>12</v>
      </c>
      <c r="N17" t="s">
        <v>20</v>
      </c>
      <c r="O17" t="s">
        <v>33</v>
      </c>
    </row>
    <row r="18" spans="1:15" x14ac:dyDescent="0.3">
      <c r="A18" t="s">
        <v>73</v>
      </c>
      <c r="B18" t="s">
        <v>74</v>
      </c>
      <c r="C18" t="s">
        <v>17</v>
      </c>
      <c r="D18">
        <v>20817.46</v>
      </c>
      <c r="E18">
        <v>2</v>
      </c>
      <c r="F18">
        <v>41634.92</v>
      </c>
      <c r="G18" s="1">
        <v>45381</v>
      </c>
      <c r="H18" t="s">
        <v>18</v>
      </c>
      <c r="I18">
        <v>2.2999999999999998</v>
      </c>
      <c r="J18" t="s">
        <v>56</v>
      </c>
      <c r="K18">
        <v>2024</v>
      </c>
      <c r="L18">
        <v>8326.9840000000004</v>
      </c>
      <c r="M18">
        <v>28</v>
      </c>
      <c r="N18" t="s">
        <v>41</v>
      </c>
      <c r="O18" t="s">
        <v>68</v>
      </c>
    </row>
    <row r="19" spans="1:15" x14ac:dyDescent="0.3">
      <c r="A19" t="s">
        <v>75</v>
      </c>
      <c r="B19" t="s">
        <v>58</v>
      </c>
      <c r="C19" t="s">
        <v>31</v>
      </c>
      <c r="D19">
        <v>44061.25</v>
      </c>
      <c r="E19">
        <v>4</v>
      </c>
      <c r="F19">
        <v>176245</v>
      </c>
      <c r="G19" s="1">
        <v>45404</v>
      </c>
      <c r="H19" t="s">
        <v>64</v>
      </c>
      <c r="I19">
        <v>2.5</v>
      </c>
      <c r="J19" t="s">
        <v>62</v>
      </c>
      <c r="K19">
        <v>2024</v>
      </c>
      <c r="L19">
        <v>35249</v>
      </c>
      <c r="M19">
        <v>7</v>
      </c>
      <c r="N19" t="s">
        <v>41</v>
      </c>
      <c r="O19" t="s">
        <v>33</v>
      </c>
    </row>
    <row r="20" spans="1:15" x14ac:dyDescent="0.3">
      <c r="A20" t="s">
        <v>76</v>
      </c>
      <c r="B20" t="s">
        <v>74</v>
      </c>
      <c r="C20" t="s">
        <v>17</v>
      </c>
      <c r="D20">
        <v>4398.59</v>
      </c>
      <c r="E20">
        <v>5</v>
      </c>
      <c r="F20">
        <v>21992.95</v>
      </c>
      <c r="G20" s="1">
        <v>45373</v>
      </c>
      <c r="H20" t="s">
        <v>44</v>
      </c>
      <c r="I20">
        <v>4</v>
      </c>
      <c r="J20" t="s">
        <v>56</v>
      </c>
      <c r="K20">
        <v>2024</v>
      </c>
      <c r="L20">
        <v>4398.59</v>
      </c>
      <c r="M20">
        <v>26</v>
      </c>
      <c r="N20" t="s">
        <v>20</v>
      </c>
      <c r="O20" t="s">
        <v>33</v>
      </c>
    </row>
    <row r="21" spans="1:15" x14ac:dyDescent="0.3">
      <c r="A21" t="s">
        <v>77</v>
      </c>
      <c r="B21" t="s">
        <v>78</v>
      </c>
      <c r="C21" t="s">
        <v>24</v>
      </c>
      <c r="D21">
        <v>32565.77</v>
      </c>
      <c r="E21">
        <v>5</v>
      </c>
      <c r="F21">
        <v>162828.85</v>
      </c>
      <c r="G21" s="1">
        <v>45663</v>
      </c>
      <c r="H21" t="s">
        <v>64</v>
      </c>
      <c r="I21">
        <v>4.4000000000000004</v>
      </c>
      <c r="J21" t="s">
        <v>53</v>
      </c>
      <c r="K21">
        <v>2025</v>
      </c>
      <c r="L21">
        <v>32565.770000000004</v>
      </c>
      <c r="M21">
        <v>25</v>
      </c>
      <c r="N21" t="s">
        <v>27</v>
      </c>
      <c r="O21" t="s">
        <v>33</v>
      </c>
    </row>
    <row r="22" spans="1:15" x14ac:dyDescent="0.3">
      <c r="A22" t="s">
        <v>79</v>
      </c>
      <c r="B22" t="s">
        <v>39</v>
      </c>
      <c r="C22" t="s">
        <v>40</v>
      </c>
      <c r="D22">
        <v>47529.36</v>
      </c>
      <c r="E22">
        <v>1</v>
      </c>
      <c r="F22">
        <v>47529.36</v>
      </c>
      <c r="G22" s="1">
        <v>45482</v>
      </c>
      <c r="H22" t="s">
        <v>80</v>
      </c>
      <c r="I22">
        <v>4.5</v>
      </c>
      <c r="J22" t="s">
        <v>48</v>
      </c>
      <c r="K22">
        <v>2024</v>
      </c>
      <c r="L22">
        <v>9505.8720000000012</v>
      </c>
      <c r="M22">
        <v>6</v>
      </c>
      <c r="N22" t="s">
        <v>27</v>
      </c>
      <c r="O22" t="s">
        <v>33</v>
      </c>
    </row>
    <row r="23" spans="1:15" x14ac:dyDescent="0.3">
      <c r="A23" t="s">
        <v>81</v>
      </c>
      <c r="B23" t="s">
        <v>23</v>
      </c>
      <c r="C23" t="s">
        <v>24</v>
      </c>
      <c r="D23">
        <v>37129.730000000003</v>
      </c>
      <c r="E23">
        <v>3</v>
      </c>
      <c r="F23">
        <v>111389.19</v>
      </c>
      <c r="G23" s="1">
        <v>45679</v>
      </c>
      <c r="H23" t="s">
        <v>44</v>
      </c>
      <c r="I23">
        <v>4.3</v>
      </c>
      <c r="J23" t="s">
        <v>53</v>
      </c>
      <c r="K23">
        <v>2025</v>
      </c>
      <c r="L23">
        <v>22277.838000000003</v>
      </c>
      <c r="M23">
        <v>28</v>
      </c>
      <c r="N23" t="s">
        <v>27</v>
      </c>
      <c r="O23" t="s">
        <v>68</v>
      </c>
    </row>
    <row r="24" spans="1:15" x14ac:dyDescent="0.3">
      <c r="A24" t="s">
        <v>82</v>
      </c>
      <c r="B24" t="s">
        <v>16</v>
      </c>
      <c r="C24" t="s">
        <v>17</v>
      </c>
      <c r="D24">
        <v>48258.19</v>
      </c>
      <c r="E24">
        <v>4</v>
      </c>
      <c r="F24">
        <v>193032.76</v>
      </c>
      <c r="G24" s="1">
        <v>45466</v>
      </c>
      <c r="H24" t="s">
        <v>25</v>
      </c>
      <c r="I24">
        <v>1.6</v>
      </c>
      <c r="J24" t="s">
        <v>67</v>
      </c>
      <c r="K24">
        <v>2024</v>
      </c>
      <c r="L24">
        <v>38606.552000000003</v>
      </c>
      <c r="M24">
        <v>16</v>
      </c>
      <c r="N24" t="s">
        <v>41</v>
      </c>
      <c r="O24" t="s">
        <v>33</v>
      </c>
    </row>
    <row r="25" spans="1:15" x14ac:dyDescent="0.3">
      <c r="A25" t="s">
        <v>83</v>
      </c>
      <c r="B25" t="s">
        <v>84</v>
      </c>
      <c r="C25" t="s">
        <v>40</v>
      </c>
      <c r="D25">
        <v>32505.96</v>
      </c>
      <c r="E25">
        <v>1</v>
      </c>
      <c r="F25">
        <v>32505.96</v>
      </c>
      <c r="G25" s="1">
        <v>45370</v>
      </c>
      <c r="H25" t="s">
        <v>44</v>
      </c>
      <c r="I25">
        <v>2.8</v>
      </c>
      <c r="J25" t="s">
        <v>56</v>
      </c>
      <c r="K25">
        <v>2024</v>
      </c>
      <c r="L25">
        <v>6501.192</v>
      </c>
      <c r="M25">
        <v>10</v>
      </c>
      <c r="N25" t="s">
        <v>41</v>
      </c>
      <c r="O25" t="s">
        <v>33</v>
      </c>
    </row>
    <row r="26" spans="1:15" x14ac:dyDescent="0.3">
      <c r="A26" t="s">
        <v>85</v>
      </c>
      <c r="B26" t="s">
        <v>39</v>
      </c>
      <c r="C26" t="s">
        <v>40</v>
      </c>
      <c r="D26">
        <v>4165.6400000000003</v>
      </c>
      <c r="E26">
        <v>2</v>
      </c>
      <c r="F26">
        <v>8331.2800000000007</v>
      </c>
      <c r="G26" s="1">
        <v>45620</v>
      </c>
      <c r="H26" t="s">
        <v>64</v>
      </c>
      <c r="I26">
        <v>1.1000000000000001</v>
      </c>
      <c r="J26" t="s">
        <v>37</v>
      </c>
      <c r="K26">
        <v>2024</v>
      </c>
      <c r="L26">
        <v>1666.2560000000003</v>
      </c>
      <c r="M26">
        <v>6</v>
      </c>
      <c r="N26" t="s">
        <v>41</v>
      </c>
      <c r="O26" t="s">
        <v>68</v>
      </c>
    </row>
    <row r="27" spans="1:15" x14ac:dyDescent="0.3">
      <c r="A27" t="s">
        <v>86</v>
      </c>
      <c r="B27" t="s">
        <v>78</v>
      </c>
      <c r="C27" t="s">
        <v>24</v>
      </c>
      <c r="D27">
        <v>2053.11</v>
      </c>
      <c r="E27">
        <v>4</v>
      </c>
      <c r="F27">
        <v>8212.44</v>
      </c>
      <c r="G27" s="1">
        <v>45496</v>
      </c>
      <c r="H27" t="s">
        <v>64</v>
      </c>
      <c r="I27">
        <v>3.4</v>
      </c>
      <c r="J27" t="s">
        <v>48</v>
      </c>
      <c r="K27">
        <v>2024</v>
      </c>
      <c r="L27">
        <v>1642.4880000000003</v>
      </c>
      <c r="M27">
        <v>25</v>
      </c>
      <c r="N27" t="s">
        <v>41</v>
      </c>
      <c r="O27" t="s">
        <v>21</v>
      </c>
    </row>
    <row r="28" spans="1:15" x14ac:dyDescent="0.3">
      <c r="A28" t="s">
        <v>87</v>
      </c>
      <c r="B28" t="s">
        <v>23</v>
      </c>
      <c r="C28" t="s">
        <v>24</v>
      </c>
      <c r="D28">
        <v>38927.620000000003</v>
      </c>
      <c r="E28">
        <v>4</v>
      </c>
      <c r="F28">
        <v>155710.48000000001</v>
      </c>
      <c r="G28" s="1">
        <v>45528</v>
      </c>
      <c r="H28" t="s">
        <v>44</v>
      </c>
      <c r="I28">
        <v>2.5</v>
      </c>
      <c r="J28" t="s">
        <v>88</v>
      </c>
      <c r="K28">
        <v>2024</v>
      </c>
      <c r="L28">
        <v>31142.096000000005</v>
      </c>
      <c r="M28">
        <v>5</v>
      </c>
      <c r="N28" t="s">
        <v>27</v>
      </c>
      <c r="O28" t="s">
        <v>28</v>
      </c>
    </row>
    <row r="29" spans="1:15" x14ac:dyDescent="0.3">
      <c r="A29" t="s">
        <v>89</v>
      </c>
      <c r="B29" t="s">
        <v>43</v>
      </c>
      <c r="C29" t="s">
        <v>40</v>
      </c>
      <c r="D29">
        <v>28978.47</v>
      </c>
      <c r="E29">
        <v>4</v>
      </c>
      <c r="F29">
        <v>115913.88</v>
      </c>
      <c r="G29" s="1">
        <v>45494</v>
      </c>
      <c r="H29" t="s">
        <v>25</v>
      </c>
      <c r="I29">
        <v>2.2999999999999998</v>
      </c>
      <c r="J29" t="s">
        <v>48</v>
      </c>
      <c r="K29">
        <v>2024</v>
      </c>
      <c r="L29">
        <v>23182.776000000002</v>
      </c>
      <c r="M29">
        <v>16</v>
      </c>
      <c r="N29" t="s">
        <v>20</v>
      </c>
      <c r="O29" t="s">
        <v>21</v>
      </c>
    </row>
    <row r="30" spans="1:15" x14ac:dyDescent="0.3">
      <c r="A30" t="s">
        <v>90</v>
      </c>
      <c r="B30" t="s">
        <v>61</v>
      </c>
      <c r="C30" t="s">
        <v>31</v>
      </c>
      <c r="D30">
        <v>21293.42</v>
      </c>
      <c r="E30">
        <v>5</v>
      </c>
      <c r="F30">
        <v>106467.1</v>
      </c>
      <c r="G30" s="1">
        <v>45398</v>
      </c>
      <c r="H30" t="s">
        <v>44</v>
      </c>
      <c r="I30">
        <v>2.2000000000000002</v>
      </c>
      <c r="J30" t="s">
        <v>62</v>
      </c>
      <c r="K30">
        <v>2024</v>
      </c>
      <c r="L30">
        <v>21293.420000000002</v>
      </c>
      <c r="M30">
        <v>30</v>
      </c>
      <c r="N30" t="s">
        <v>41</v>
      </c>
      <c r="O30" t="s">
        <v>68</v>
      </c>
    </row>
    <row r="31" spans="1:15" x14ac:dyDescent="0.3">
      <c r="A31" t="s">
        <v>91</v>
      </c>
      <c r="B31" t="s">
        <v>61</v>
      </c>
      <c r="C31" t="s">
        <v>31</v>
      </c>
      <c r="D31">
        <v>49097.01</v>
      </c>
      <c r="E31">
        <v>4</v>
      </c>
      <c r="F31">
        <v>196388.04</v>
      </c>
      <c r="G31" s="1">
        <v>45509</v>
      </c>
      <c r="H31" t="s">
        <v>71</v>
      </c>
      <c r="I31">
        <v>3.7</v>
      </c>
      <c r="J31" t="s">
        <v>88</v>
      </c>
      <c r="K31">
        <v>2024</v>
      </c>
      <c r="L31">
        <v>39277.608</v>
      </c>
      <c r="M31">
        <v>26</v>
      </c>
      <c r="N31" t="s">
        <v>41</v>
      </c>
      <c r="O31" t="s">
        <v>28</v>
      </c>
    </row>
    <row r="32" spans="1:15" x14ac:dyDescent="0.3">
      <c r="A32" t="s">
        <v>92</v>
      </c>
      <c r="B32" t="s">
        <v>58</v>
      </c>
      <c r="C32" t="s">
        <v>31</v>
      </c>
      <c r="D32">
        <v>47651.19</v>
      </c>
      <c r="E32">
        <v>1</v>
      </c>
      <c r="F32">
        <v>47651.19</v>
      </c>
      <c r="G32" s="1">
        <v>45396</v>
      </c>
      <c r="H32" t="s">
        <v>80</v>
      </c>
      <c r="I32">
        <v>3.6</v>
      </c>
      <c r="J32" t="s">
        <v>62</v>
      </c>
      <c r="K32">
        <v>2024</v>
      </c>
      <c r="L32">
        <v>9530.2380000000012</v>
      </c>
      <c r="M32">
        <v>16</v>
      </c>
      <c r="N32" t="s">
        <v>27</v>
      </c>
      <c r="O32" t="s">
        <v>68</v>
      </c>
    </row>
    <row r="33" spans="1:15" x14ac:dyDescent="0.3">
      <c r="A33" t="s">
        <v>93</v>
      </c>
      <c r="B33" t="s">
        <v>94</v>
      </c>
      <c r="C33" t="s">
        <v>31</v>
      </c>
      <c r="D33">
        <v>15046.01</v>
      </c>
      <c r="E33">
        <v>5</v>
      </c>
      <c r="F33">
        <v>75230.05</v>
      </c>
      <c r="G33" s="1">
        <v>45582</v>
      </c>
      <c r="H33" t="s">
        <v>64</v>
      </c>
      <c r="I33">
        <v>1.1000000000000001</v>
      </c>
      <c r="J33" t="s">
        <v>45</v>
      </c>
      <c r="K33">
        <v>2024</v>
      </c>
      <c r="L33">
        <v>15046.010000000002</v>
      </c>
      <c r="M33">
        <v>29</v>
      </c>
      <c r="N33" t="s">
        <v>20</v>
      </c>
      <c r="O33" t="s">
        <v>68</v>
      </c>
    </row>
    <row r="34" spans="1:15" x14ac:dyDescent="0.3">
      <c r="A34" t="s">
        <v>95</v>
      </c>
      <c r="B34" t="s">
        <v>96</v>
      </c>
      <c r="C34" t="s">
        <v>36</v>
      </c>
      <c r="D34">
        <v>36980.1</v>
      </c>
      <c r="E34">
        <v>3</v>
      </c>
      <c r="F34">
        <v>110940.3</v>
      </c>
      <c r="G34" s="1">
        <v>45566</v>
      </c>
      <c r="H34" t="s">
        <v>64</v>
      </c>
      <c r="I34">
        <v>3.2</v>
      </c>
      <c r="J34" t="s">
        <v>45</v>
      </c>
      <c r="K34">
        <v>2024</v>
      </c>
      <c r="L34">
        <v>22188.06</v>
      </c>
      <c r="M34">
        <v>21</v>
      </c>
      <c r="N34" t="s">
        <v>20</v>
      </c>
      <c r="O34" t="s">
        <v>33</v>
      </c>
    </row>
    <row r="35" spans="1:15" x14ac:dyDescent="0.3">
      <c r="A35" t="s">
        <v>97</v>
      </c>
      <c r="B35" t="s">
        <v>50</v>
      </c>
      <c r="C35" t="s">
        <v>40</v>
      </c>
      <c r="D35">
        <v>38144.67</v>
      </c>
      <c r="E35">
        <v>2</v>
      </c>
      <c r="F35">
        <v>76289.34</v>
      </c>
      <c r="G35" s="1">
        <v>45488</v>
      </c>
      <c r="H35" t="s">
        <v>80</v>
      </c>
      <c r="I35">
        <v>3.1</v>
      </c>
      <c r="J35" t="s">
        <v>48</v>
      </c>
      <c r="K35">
        <v>2024</v>
      </c>
      <c r="L35">
        <v>15257.868</v>
      </c>
      <c r="M35">
        <v>14</v>
      </c>
      <c r="N35" t="s">
        <v>27</v>
      </c>
      <c r="O35" t="s">
        <v>28</v>
      </c>
    </row>
    <row r="36" spans="1:15" x14ac:dyDescent="0.3">
      <c r="A36" t="s">
        <v>98</v>
      </c>
      <c r="B36" t="s">
        <v>96</v>
      </c>
      <c r="C36" t="s">
        <v>36</v>
      </c>
      <c r="D36">
        <v>49355.45</v>
      </c>
      <c r="E36">
        <v>2</v>
      </c>
      <c r="F36">
        <v>98710.9</v>
      </c>
      <c r="G36" s="1">
        <v>45413</v>
      </c>
      <c r="H36" t="s">
        <v>64</v>
      </c>
      <c r="I36">
        <v>3.5</v>
      </c>
      <c r="J36" t="s">
        <v>32</v>
      </c>
      <c r="K36">
        <v>2024</v>
      </c>
      <c r="L36">
        <v>19742.18</v>
      </c>
      <c r="M36">
        <v>20</v>
      </c>
      <c r="N36" t="s">
        <v>27</v>
      </c>
      <c r="O36" t="s">
        <v>33</v>
      </c>
    </row>
    <row r="37" spans="1:15" x14ac:dyDescent="0.3">
      <c r="A37" t="s">
        <v>99</v>
      </c>
      <c r="B37" t="s">
        <v>100</v>
      </c>
      <c r="C37" t="s">
        <v>31</v>
      </c>
      <c r="D37">
        <v>12945.96</v>
      </c>
      <c r="E37">
        <v>3</v>
      </c>
      <c r="F37">
        <v>38837.879999999997</v>
      </c>
      <c r="G37" s="1">
        <v>45453</v>
      </c>
      <c r="H37" t="s">
        <v>44</v>
      </c>
      <c r="I37">
        <v>1.4</v>
      </c>
      <c r="J37" t="s">
        <v>67</v>
      </c>
      <c r="K37">
        <v>2024</v>
      </c>
      <c r="L37">
        <v>7767.576</v>
      </c>
      <c r="M37">
        <v>19</v>
      </c>
      <c r="N37" t="s">
        <v>20</v>
      </c>
      <c r="O37" t="s">
        <v>28</v>
      </c>
    </row>
    <row r="38" spans="1:15" x14ac:dyDescent="0.3">
      <c r="A38" t="s">
        <v>101</v>
      </c>
      <c r="B38" t="s">
        <v>58</v>
      </c>
      <c r="C38" t="s">
        <v>31</v>
      </c>
      <c r="D38">
        <v>34927.79</v>
      </c>
      <c r="E38">
        <v>4</v>
      </c>
      <c r="F38">
        <v>139711.16</v>
      </c>
      <c r="G38" s="1">
        <v>45470</v>
      </c>
      <c r="H38" t="s">
        <v>71</v>
      </c>
      <c r="I38">
        <v>1.1000000000000001</v>
      </c>
      <c r="J38" t="s">
        <v>67</v>
      </c>
      <c r="K38">
        <v>2024</v>
      </c>
      <c r="L38">
        <v>27942.232000000004</v>
      </c>
      <c r="M38">
        <v>19</v>
      </c>
      <c r="N38" t="s">
        <v>41</v>
      </c>
      <c r="O38" t="s">
        <v>68</v>
      </c>
    </row>
    <row r="39" spans="1:15" x14ac:dyDescent="0.3">
      <c r="A39" t="s">
        <v>102</v>
      </c>
      <c r="B39" t="s">
        <v>50</v>
      </c>
      <c r="C39" t="s">
        <v>40</v>
      </c>
      <c r="D39">
        <v>3677.4</v>
      </c>
      <c r="E39">
        <v>3</v>
      </c>
      <c r="F39">
        <v>11032.2</v>
      </c>
      <c r="G39" s="1">
        <v>45504</v>
      </c>
      <c r="H39" t="s">
        <v>25</v>
      </c>
      <c r="I39">
        <v>3.7</v>
      </c>
      <c r="J39" t="s">
        <v>48</v>
      </c>
      <c r="K39">
        <v>2024</v>
      </c>
      <c r="L39">
        <v>2206.44</v>
      </c>
      <c r="M39">
        <v>23</v>
      </c>
      <c r="N39" t="s">
        <v>20</v>
      </c>
      <c r="O39" t="s">
        <v>68</v>
      </c>
    </row>
    <row r="40" spans="1:15" x14ac:dyDescent="0.3">
      <c r="A40" t="s">
        <v>103</v>
      </c>
      <c r="B40" t="s">
        <v>70</v>
      </c>
      <c r="C40" t="s">
        <v>17</v>
      </c>
      <c r="D40">
        <v>37004.54</v>
      </c>
      <c r="E40">
        <v>4</v>
      </c>
      <c r="F40">
        <v>148018.16</v>
      </c>
      <c r="G40" s="1">
        <v>45591</v>
      </c>
      <c r="H40" t="s">
        <v>18</v>
      </c>
      <c r="I40">
        <v>4</v>
      </c>
      <c r="J40" t="s">
        <v>45</v>
      </c>
      <c r="K40">
        <v>2024</v>
      </c>
      <c r="L40">
        <v>29603.632000000001</v>
      </c>
      <c r="M40">
        <v>16</v>
      </c>
      <c r="N40" t="s">
        <v>27</v>
      </c>
      <c r="O40" t="s">
        <v>21</v>
      </c>
    </row>
    <row r="41" spans="1:15" x14ac:dyDescent="0.3">
      <c r="A41" t="s">
        <v>104</v>
      </c>
      <c r="B41" t="s">
        <v>74</v>
      </c>
      <c r="C41" t="s">
        <v>17</v>
      </c>
      <c r="D41">
        <v>27961.78</v>
      </c>
      <c r="E41">
        <v>5</v>
      </c>
      <c r="F41">
        <v>139808.9</v>
      </c>
      <c r="G41" s="1">
        <v>45345</v>
      </c>
      <c r="H41" t="s">
        <v>80</v>
      </c>
      <c r="I41">
        <v>4</v>
      </c>
      <c r="J41" t="s">
        <v>59</v>
      </c>
      <c r="K41">
        <v>2024</v>
      </c>
      <c r="L41">
        <v>27961.78</v>
      </c>
      <c r="M41">
        <v>27</v>
      </c>
      <c r="N41" t="s">
        <v>41</v>
      </c>
      <c r="O41" t="s">
        <v>28</v>
      </c>
    </row>
    <row r="42" spans="1:15" x14ac:dyDescent="0.3">
      <c r="A42" t="s">
        <v>105</v>
      </c>
      <c r="B42" t="s">
        <v>70</v>
      </c>
      <c r="C42" t="s">
        <v>17</v>
      </c>
      <c r="D42">
        <v>2655.8</v>
      </c>
      <c r="E42">
        <v>2</v>
      </c>
      <c r="F42">
        <v>5311.6</v>
      </c>
      <c r="G42" s="1">
        <v>45334</v>
      </c>
      <c r="H42" t="s">
        <v>80</v>
      </c>
      <c r="I42">
        <v>3.7</v>
      </c>
      <c r="J42" t="s">
        <v>59</v>
      </c>
      <c r="K42">
        <v>2024</v>
      </c>
      <c r="L42">
        <v>1062.3200000000002</v>
      </c>
      <c r="M42">
        <v>24</v>
      </c>
      <c r="N42" t="s">
        <v>41</v>
      </c>
      <c r="O42" t="s">
        <v>33</v>
      </c>
    </row>
    <row r="43" spans="1:15" x14ac:dyDescent="0.3">
      <c r="A43" t="s">
        <v>106</v>
      </c>
      <c r="B43" t="s">
        <v>107</v>
      </c>
      <c r="C43" t="s">
        <v>36</v>
      </c>
      <c r="D43">
        <v>965.51</v>
      </c>
      <c r="E43">
        <v>4</v>
      </c>
      <c r="F43">
        <v>3862.04</v>
      </c>
      <c r="G43" s="1">
        <v>45449</v>
      </c>
      <c r="H43" t="s">
        <v>64</v>
      </c>
      <c r="I43">
        <v>3.5</v>
      </c>
      <c r="J43" t="s">
        <v>67</v>
      </c>
      <c r="K43">
        <v>2024</v>
      </c>
      <c r="L43">
        <v>772.40800000000002</v>
      </c>
      <c r="M43">
        <v>29</v>
      </c>
      <c r="N43" t="s">
        <v>27</v>
      </c>
      <c r="O43" t="s">
        <v>21</v>
      </c>
    </row>
    <row r="44" spans="1:15" x14ac:dyDescent="0.3">
      <c r="A44" t="s">
        <v>108</v>
      </c>
      <c r="B44" t="s">
        <v>84</v>
      </c>
      <c r="C44" t="s">
        <v>40</v>
      </c>
      <c r="D44">
        <v>2980.08</v>
      </c>
      <c r="E44">
        <v>3</v>
      </c>
      <c r="F44">
        <v>8940.24</v>
      </c>
      <c r="G44" s="1">
        <v>45640</v>
      </c>
      <c r="H44" t="s">
        <v>80</v>
      </c>
      <c r="I44">
        <v>4.2</v>
      </c>
      <c r="J44" t="s">
        <v>26</v>
      </c>
      <c r="K44">
        <v>2024</v>
      </c>
      <c r="L44">
        <v>1788.048</v>
      </c>
      <c r="M44">
        <v>7</v>
      </c>
      <c r="N44" t="s">
        <v>27</v>
      </c>
      <c r="O44" t="s">
        <v>21</v>
      </c>
    </row>
    <row r="45" spans="1:15" x14ac:dyDescent="0.3">
      <c r="A45" t="s">
        <v>109</v>
      </c>
      <c r="B45" t="s">
        <v>43</v>
      </c>
      <c r="C45" t="s">
        <v>40</v>
      </c>
      <c r="D45">
        <v>8598.58</v>
      </c>
      <c r="E45">
        <v>1</v>
      </c>
      <c r="F45">
        <v>8598.58</v>
      </c>
      <c r="G45" s="1">
        <v>45574</v>
      </c>
      <c r="H45" t="s">
        <v>18</v>
      </c>
      <c r="I45">
        <v>1.1000000000000001</v>
      </c>
      <c r="J45" t="s">
        <v>45</v>
      </c>
      <c r="K45">
        <v>2024</v>
      </c>
      <c r="L45">
        <v>1719.7160000000001</v>
      </c>
      <c r="M45">
        <v>9</v>
      </c>
      <c r="N45" t="s">
        <v>27</v>
      </c>
      <c r="O45" t="s">
        <v>21</v>
      </c>
    </row>
    <row r="46" spans="1:15" x14ac:dyDescent="0.3">
      <c r="A46" t="s">
        <v>110</v>
      </c>
      <c r="B46" t="s">
        <v>100</v>
      </c>
      <c r="C46" t="s">
        <v>31</v>
      </c>
      <c r="D46">
        <v>31850.15</v>
      </c>
      <c r="E46">
        <v>2</v>
      </c>
      <c r="F46">
        <v>63700.3</v>
      </c>
      <c r="G46" s="1">
        <v>45396</v>
      </c>
      <c r="H46" t="s">
        <v>80</v>
      </c>
      <c r="I46">
        <v>2.8</v>
      </c>
      <c r="J46" t="s">
        <v>62</v>
      </c>
      <c r="K46">
        <v>2024</v>
      </c>
      <c r="L46">
        <v>12740.060000000001</v>
      </c>
      <c r="M46">
        <v>23</v>
      </c>
      <c r="N46" t="s">
        <v>20</v>
      </c>
      <c r="O46" t="s">
        <v>33</v>
      </c>
    </row>
    <row r="47" spans="1:15" x14ac:dyDescent="0.3">
      <c r="A47" t="s">
        <v>111</v>
      </c>
      <c r="B47" t="s">
        <v>35</v>
      </c>
      <c r="C47" t="s">
        <v>36</v>
      </c>
      <c r="D47">
        <v>33443.32</v>
      </c>
      <c r="E47">
        <v>5</v>
      </c>
      <c r="F47">
        <v>167216.6</v>
      </c>
      <c r="G47" s="1">
        <v>45337</v>
      </c>
      <c r="H47" t="s">
        <v>25</v>
      </c>
      <c r="I47">
        <v>2.4</v>
      </c>
      <c r="J47" t="s">
        <v>59</v>
      </c>
      <c r="K47">
        <v>2024</v>
      </c>
      <c r="L47">
        <v>33443.32</v>
      </c>
      <c r="M47">
        <v>11</v>
      </c>
      <c r="N47" t="s">
        <v>20</v>
      </c>
      <c r="O47" t="s">
        <v>21</v>
      </c>
    </row>
    <row r="48" spans="1:15" x14ac:dyDescent="0.3">
      <c r="A48" t="s">
        <v>112</v>
      </c>
      <c r="B48" t="s">
        <v>52</v>
      </c>
      <c r="C48" t="s">
        <v>24</v>
      </c>
      <c r="D48">
        <v>29592.5</v>
      </c>
      <c r="E48">
        <v>5</v>
      </c>
      <c r="F48">
        <v>147962.5</v>
      </c>
      <c r="G48" s="1">
        <v>45498</v>
      </c>
      <c r="H48" t="s">
        <v>80</v>
      </c>
      <c r="I48">
        <v>4.7</v>
      </c>
      <c r="J48" t="s">
        <v>48</v>
      </c>
      <c r="K48">
        <v>2024</v>
      </c>
      <c r="L48">
        <v>29592.5</v>
      </c>
      <c r="M48">
        <v>25</v>
      </c>
      <c r="N48" t="s">
        <v>41</v>
      </c>
      <c r="O48" t="s">
        <v>33</v>
      </c>
    </row>
    <row r="49" spans="1:15" x14ac:dyDescent="0.3">
      <c r="A49" t="s">
        <v>113</v>
      </c>
      <c r="B49" t="s">
        <v>94</v>
      </c>
      <c r="C49" t="s">
        <v>31</v>
      </c>
      <c r="D49">
        <v>11187.38</v>
      </c>
      <c r="E49">
        <v>4</v>
      </c>
      <c r="F49">
        <v>44749.52</v>
      </c>
      <c r="G49" s="1">
        <v>45465</v>
      </c>
      <c r="H49" t="s">
        <v>44</v>
      </c>
      <c r="I49">
        <v>2.2999999999999998</v>
      </c>
      <c r="J49" t="s">
        <v>67</v>
      </c>
      <c r="K49">
        <v>2024</v>
      </c>
      <c r="L49">
        <v>8949.9040000000005</v>
      </c>
      <c r="M49">
        <v>13</v>
      </c>
      <c r="N49" t="s">
        <v>27</v>
      </c>
      <c r="O49" t="s">
        <v>21</v>
      </c>
    </row>
    <row r="50" spans="1:15" x14ac:dyDescent="0.3">
      <c r="A50" t="s">
        <v>114</v>
      </c>
      <c r="B50" t="s">
        <v>84</v>
      </c>
      <c r="C50" t="s">
        <v>40</v>
      </c>
      <c r="D50">
        <v>23898.58</v>
      </c>
      <c r="E50">
        <v>5</v>
      </c>
      <c r="F50">
        <v>119492.9</v>
      </c>
      <c r="G50" s="1">
        <v>45624</v>
      </c>
      <c r="H50" t="s">
        <v>71</v>
      </c>
      <c r="I50">
        <v>3.3</v>
      </c>
      <c r="J50" t="s">
        <v>37</v>
      </c>
      <c r="K50">
        <v>2024</v>
      </c>
      <c r="L50">
        <v>23898.58</v>
      </c>
      <c r="M50">
        <v>11</v>
      </c>
      <c r="N50" t="s">
        <v>41</v>
      </c>
      <c r="O50" t="s">
        <v>33</v>
      </c>
    </row>
    <row r="51" spans="1:15" x14ac:dyDescent="0.3">
      <c r="A51" t="s">
        <v>115</v>
      </c>
      <c r="B51" t="s">
        <v>70</v>
      </c>
      <c r="C51" t="s">
        <v>17</v>
      </c>
      <c r="D51">
        <v>1391.49</v>
      </c>
      <c r="E51">
        <v>4</v>
      </c>
      <c r="F51">
        <v>5565.96</v>
      </c>
      <c r="G51" s="1">
        <v>45515</v>
      </c>
      <c r="H51" t="s">
        <v>71</v>
      </c>
      <c r="I51">
        <v>4.5</v>
      </c>
      <c r="J51" t="s">
        <v>88</v>
      </c>
      <c r="K51">
        <v>2024</v>
      </c>
      <c r="L51">
        <v>1113.192</v>
      </c>
      <c r="M51">
        <v>22</v>
      </c>
      <c r="N51" t="s">
        <v>41</v>
      </c>
      <c r="O51" t="s">
        <v>68</v>
      </c>
    </row>
    <row r="52" spans="1:15" x14ac:dyDescent="0.3">
      <c r="A52" t="s">
        <v>116</v>
      </c>
      <c r="B52" t="s">
        <v>23</v>
      </c>
      <c r="C52" t="s">
        <v>24</v>
      </c>
      <c r="D52">
        <v>18607.689999999999</v>
      </c>
      <c r="E52">
        <v>5</v>
      </c>
      <c r="F52">
        <v>93038.45</v>
      </c>
      <c r="G52" s="1">
        <v>45545</v>
      </c>
      <c r="H52" t="s">
        <v>64</v>
      </c>
      <c r="I52">
        <v>2.4</v>
      </c>
      <c r="J52" t="s">
        <v>19</v>
      </c>
      <c r="K52">
        <v>2024</v>
      </c>
      <c r="L52">
        <v>18607.689999999999</v>
      </c>
      <c r="M52">
        <v>8</v>
      </c>
      <c r="N52" t="s">
        <v>41</v>
      </c>
      <c r="O52" t="s">
        <v>68</v>
      </c>
    </row>
    <row r="53" spans="1:15" x14ac:dyDescent="0.3">
      <c r="A53" t="s">
        <v>117</v>
      </c>
      <c r="B53" t="s">
        <v>118</v>
      </c>
      <c r="C53" t="s">
        <v>17</v>
      </c>
      <c r="D53">
        <v>46224.88</v>
      </c>
      <c r="E53">
        <v>3</v>
      </c>
      <c r="F53">
        <v>138674.64000000001</v>
      </c>
      <c r="G53" s="1">
        <v>45595</v>
      </c>
      <c r="H53" t="s">
        <v>71</v>
      </c>
      <c r="I53">
        <v>4.0999999999999996</v>
      </c>
      <c r="J53" t="s">
        <v>45</v>
      </c>
      <c r="K53">
        <v>2024</v>
      </c>
      <c r="L53">
        <v>27734.928000000004</v>
      </c>
      <c r="M53">
        <v>29</v>
      </c>
      <c r="N53" t="s">
        <v>41</v>
      </c>
      <c r="O53" t="s">
        <v>68</v>
      </c>
    </row>
    <row r="54" spans="1:15" x14ac:dyDescent="0.3">
      <c r="A54" t="s">
        <v>119</v>
      </c>
      <c r="B54" t="s">
        <v>55</v>
      </c>
      <c r="C54" t="s">
        <v>36</v>
      </c>
      <c r="D54">
        <v>11864.13</v>
      </c>
      <c r="E54">
        <v>5</v>
      </c>
      <c r="F54">
        <v>59320.65</v>
      </c>
      <c r="G54" s="1">
        <v>45607</v>
      </c>
      <c r="H54" t="s">
        <v>18</v>
      </c>
      <c r="I54">
        <v>1.3</v>
      </c>
      <c r="J54" t="s">
        <v>37</v>
      </c>
      <c r="K54">
        <v>2024</v>
      </c>
      <c r="L54">
        <v>11864.130000000001</v>
      </c>
      <c r="M54">
        <v>18</v>
      </c>
      <c r="N54" t="s">
        <v>27</v>
      </c>
      <c r="O54" t="s">
        <v>68</v>
      </c>
    </row>
    <row r="55" spans="1:15" x14ac:dyDescent="0.3">
      <c r="A55" t="s">
        <v>120</v>
      </c>
      <c r="B55" t="s">
        <v>70</v>
      </c>
      <c r="C55" t="s">
        <v>17</v>
      </c>
      <c r="D55">
        <v>7757.2</v>
      </c>
      <c r="E55">
        <v>5</v>
      </c>
      <c r="F55">
        <v>38786</v>
      </c>
      <c r="G55" s="1">
        <v>45618</v>
      </c>
      <c r="H55" t="s">
        <v>44</v>
      </c>
      <c r="I55">
        <v>2.2000000000000002</v>
      </c>
      <c r="J55" t="s">
        <v>37</v>
      </c>
      <c r="K55">
        <v>2024</v>
      </c>
      <c r="L55">
        <v>7757.2000000000007</v>
      </c>
      <c r="M55">
        <v>22</v>
      </c>
      <c r="N55" t="s">
        <v>41</v>
      </c>
      <c r="O55" t="s">
        <v>68</v>
      </c>
    </row>
    <row r="56" spans="1:15" x14ac:dyDescent="0.3">
      <c r="A56" t="s">
        <v>121</v>
      </c>
      <c r="B56" t="s">
        <v>35</v>
      </c>
      <c r="C56" t="s">
        <v>36</v>
      </c>
      <c r="D56">
        <v>29745</v>
      </c>
      <c r="E56">
        <v>1</v>
      </c>
      <c r="F56">
        <v>29745</v>
      </c>
      <c r="G56" s="1">
        <v>45569</v>
      </c>
      <c r="H56" t="s">
        <v>25</v>
      </c>
      <c r="I56">
        <v>3.6</v>
      </c>
      <c r="J56" t="s">
        <v>45</v>
      </c>
      <c r="K56">
        <v>2024</v>
      </c>
      <c r="L56">
        <v>5949</v>
      </c>
      <c r="M56">
        <v>30</v>
      </c>
      <c r="N56" t="s">
        <v>27</v>
      </c>
      <c r="O56" t="s">
        <v>21</v>
      </c>
    </row>
    <row r="57" spans="1:15" x14ac:dyDescent="0.3">
      <c r="A57" t="s">
        <v>122</v>
      </c>
      <c r="B57" t="s">
        <v>23</v>
      </c>
      <c r="C57" t="s">
        <v>24</v>
      </c>
      <c r="D57">
        <v>39176.54</v>
      </c>
      <c r="E57">
        <v>5</v>
      </c>
      <c r="F57">
        <v>195882.7</v>
      </c>
      <c r="G57" s="1">
        <v>45386</v>
      </c>
      <c r="H57" t="s">
        <v>80</v>
      </c>
      <c r="I57">
        <v>4.0999999999999996</v>
      </c>
      <c r="J57" t="s">
        <v>62</v>
      </c>
      <c r="K57">
        <v>2024</v>
      </c>
      <c r="L57">
        <v>39176.54</v>
      </c>
      <c r="M57">
        <v>13</v>
      </c>
      <c r="N57" t="s">
        <v>27</v>
      </c>
      <c r="O57" t="s">
        <v>21</v>
      </c>
    </row>
    <row r="58" spans="1:15" x14ac:dyDescent="0.3">
      <c r="A58" t="s">
        <v>123</v>
      </c>
      <c r="B58" t="s">
        <v>23</v>
      </c>
      <c r="C58" t="s">
        <v>24</v>
      </c>
      <c r="D58">
        <v>18075.189999999999</v>
      </c>
      <c r="E58">
        <v>5</v>
      </c>
      <c r="F58">
        <v>90375.95</v>
      </c>
      <c r="G58" s="1">
        <v>45538</v>
      </c>
      <c r="H58" t="s">
        <v>18</v>
      </c>
      <c r="I58">
        <v>1.7</v>
      </c>
      <c r="J58" t="s">
        <v>19</v>
      </c>
      <c r="K58">
        <v>2024</v>
      </c>
      <c r="L58">
        <v>18075.189999999999</v>
      </c>
      <c r="M58">
        <v>30</v>
      </c>
      <c r="N58" t="s">
        <v>20</v>
      </c>
      <c r="O58" t="s">
        <v>21</v>
      </c>
    </row>
    <row r="59" spans="1:15" x14ac:dyDescent="0.3">
      <c r="A59" t="s">
        <v>124</v>
      </c>
      <c r="B59" t="s">
        <v>125</v>
      </c>
      <c r="C59" t="s">
        <v>17</v>
      </c>
      <c r="D59">
        <v>18830.59</v>
      </c>
      <c r="E59">
        <v>4</v>
      </c>
      <c r="F59">
        <v>75322.36</v>
      </c>
      <c r="G59" s="1">
        <v>45428</v>
      </c>
      <c r="H59" t="s">
        <v>80</v>
      </c>
      <c r="I59">
        <v>3.6</v>
      </c>
      <c r="J59" t="s">
        <v>32</v>
      </c>
      <c r="K59">
        <v>2024</v>
      </c>
      <c r="L59">
        <v>15064.472000000002</v>
      </c>
      <c r="M59">
        <v>25</v>
      </c>
      <c r="N59" t="s">
        <v>27</v>
      </c>
      <c r="O59" t="s">
        <v>33</v>
      </c>
    </row>
    <row r="60" spans="1:15" x14ac:dyDescent="0.3">
      <c r="A60" t="s">
        <v>126</v>
      </c>
      <c r="B60" t="s">
        <v>107</v>
      </c>
      <c r="C60" t="s">
        <v>36</v>
      </c>
      <c r="D60">
        <v>38476.480000000003</v>
      </c>
      <c r="E60">
        <v>4</v>
      </c>
      <c r="F60">
        <v>153905.92000000001</v>
      </c>
      <c r="G60" s="1">
        <v>45534</v>
      </c>
      <c r="H60" t="s">
        <v>71</v>
      </c>
      <c r="I60">
        <v>2</v>
      </c>
      <c r="J60" t="s">
        <v>88</v>
      </c>
      <c r="K60">
        <v>2024</v>
      </c>
      <c r="L60">
        <v>30781.184000000005</v>
      </c>
      <c r="M60">
        <v>6</v>
      </c>
      <c r="N60" t="s">
        <v>20</v>
      </c>
      <c r="O60" t="s">
        <v>33</v>
      </c>
    </row>
    <row r="61" spans="1:15" x14ac:dyDescent="0.3">
      <c r="A61" t="s">
        <v>127</v>
      </c>
      <c r="B61" t="s">
        <v>96</v>
      </c>
      <c r="C61" t="s">
        <v>36</v>
      </c>
      <c r="D61">
        <v>27120.36</v>
      </c>
      <c r="E61">
        <v>2</v>
      </c>
      <c r="F61">
        <v>54240.72</v>
      </c>
      <c r="G61" s="1">
        <v>45456</v>
      </c>
      <c r="H61" t="s">
        <v>71</v>
      </c>
      <c r="I61">
        <v>3.8</v>
      </c>
      <c r="J61" t="s">
        <v>67</v>
      </c>
      <c r="K61">
        <v>2024</v>
      </c>
      <c r="L61">
        <v>10848.144</v>
      </c>
      <c r="M61">
        <v>24</v>
      </c>
      <c r="N61" t="s">
        <v>27</v>
      </c>
      <c r="O61" t="s">
        <v>33</v>
      </c>
    </row>
    <row r="62" spans="1:15" x14ac:dyDescent="0.3">
      <c r="A62" t="s">
        <v>128</v>
      </c>
      <c r="B62" t="s">
        <v>74</v>
      </c>
      <c r="C62" t="s">
        <v>17</v>
      </c>
      <c r="D62">
        <v>31627</v>
      </c>
      <c r="E62">
        <v>5</v>
      </c>
      <c r="F62">
        <v>158135</v>
      </c>
      <c r="G62" s="1">
        <v>45501</v>
      </c>
      <c r="H62" t="s">
        <v>18</v>
      </c>
      <c r="I62">
        <v>3.1</v>
      </c>
      <c r="J62" t="s">
        <v>48</v>
      </c>
      <c r="K62">
        <v>2024</v>
      </c>
      <c r="L62">
        <v>31627</v>
      </c>
      <c r="M62">
        <v>19</v>
      </c>
      <c r="N62" t="s">
        <v>27</v>
      </c>
      <c r="O62" t="s">
        <v>33</v>
      </c>
    </row>
    <row r="63" spans="1:15" x14ac:dyDescent="0.3">
      <c r="A63" t="s">
        <v>129</v>
      </c>
      <c r="B63" t="s">
        <v>70</v>
      </c>
      <c r="C63" t="s">
        <v>17</v>
      </c>
      <c r="D63">
        <v>14505.79</v>
      </c>
      <c r="E63">
        <v>3</v>
      </c>
      <c r="F63">
        <v>43517.37</v>
      </c>
      <c r="G63" s="1">
        <v>45483</v>
      </c>
      <c r="H63" t="s">
        <v>25</v>
      </c>
      <c r="I63">
        <v>3.9</v>
      </c>
      <c r="J63" t="s">
        <v>48</v>
      </c>
      <c r="K63">
        <v>2024</v>
      </c>
      <c r="L63">
        <v>8703.4740000000002</v>
      </c>
      <c r="M63">
        <v>11</v>
      </c>
      <c r="N63" t="s">
        <v>27</v>
      </c>
      <c r="O63" t="s">
        <v>68</v>
      </c>
    </row>
    <row r="64" spans="1:15" x14ac:dyDescent="0.3">
      <c r="A64" t="s">
        <v>130</v>
      </c>
      <c r="B64" t="s">
        <v>35</v>
      </c>
      <c r="C64" t="s">
        <v>36</v>
      </c>
      <c r="D64">
        <v>15229.67</v>
      </c>
      <c r="E64">
        <v>3</v>
      </c>
      <c r="F64">
        <v>45689.01</v>
      </c>
      <c r="G64" s="1">
        <v>45494</v>
      </c>
      <c r="H64" t="s">
        <v>71</v>
      </c>
      <c r="I64">
        <v>2.7</v>
      </c>
      <c r="J64" t="s">
        <v>48</v>
      </c>
      <c r="K64">
        <v>2024</v>
      </c>
      <c r="L64">
        <v>9137.8020000000015</v>
      </c>
      <c r="M64">
        <v>16</v>
      </c>
      <c r="N64" t="s">
        <v>20</v>
      </c>
      <c r="O64" t="s">
        <v>68</v>
      </c>
    </row>
    <row r="65" spans="1:15" x14ac:dyDescent="0.3">
      <c r="A65" t="s">
        <v>131</v>
      </c>
      <c r="B65" t="s">
        <v>50</v>
      </c>
      <c r="C65" t="s">
        <v>40</v>
      </c>
      <c r="D65">
        <v>2158.12</v>
      </c>
      <c r="E65">
        <v>3</v>
      </c>
      <c r="F65">
        <v>6474.36</v>
      </c>
      <c r="G65" s="1">
        <v>45659</v>
      </c>
      <c r="H65" t="s">
        <v>64</v>
      </c>
      <c r="I65">
        <v>3.4</v>
      </c>
      <c r="J65" t="s">
        <v>53</v>
      </c>
      <c r="K65">
        <v>2025</v>
      </c>
      <c r="L65">
        <v>1294.8720000000001</v>
      </c>
      <c r="M65">
        <v>12</v>
      </c>
      <c r="N65" t="s">
        <v>20</v>
      </c>
      <c r="O65" t="s">
        <v>68</v>
      </c>
    </row>
    <row r="66" spans="1:15" x14ac:dyDescent="0.3">
      <c r="A66" t="s">
        <v>132</v>
      </c>
      <c r="B66" t="s">
        <v>61</v>
      </c>
      <c r="C66" t="s">
        <v>31</v>
      </c>
      <c r="D66">
        <v>11106.19</v>
      </c>
      <c r="E66">
        <v>2</v>
      </c>
      <c r="F66">
        <v>22212.38</v>
      </c>
      <c r="G66" s="1">
        <v>45648</v>
      </c>
      <c r="H66" t="s">
        <v>44</v>
      </c>
      <c r="I66">
        <v>1.1000000000000001</v>
      </c>
      <c r="J66" t="s">
        <v>26</v>
      </c>
      <c r="K66">
        <v>2024</v>
      </c>
      <c r="L66">
        <v>4442.4760000000006</v>
      </c>
      <c r="M66">
        <v>19</v>
      </c>
      <c r="N66" t="s">
        <v>41</v>
      </c>
      <c r="O66" t="s">
        <v>28</v>
      </c>
    </row>
    <row r="67" spans="1:15" x14ac:dyDescent="0.3">
      <c r="A67" t="s">
        <v>133</v>
      </c>
      <c r="B67" t="s">
        <v>16</v>
      </c>
      <c r="C67" t="s">
        <v>17</v>
      </c>
      <c r="D67">
        <v>21690.55</v>
      </c>
      <c r="E67">
        <v>2</v>
      </c>
      <c r="F67">
        <v>43381.1</v>
      </c>
      <c r="G67" s="1">
        <v>45624</v>
      </c>
      <c r="H67" t="s">
        <v>71</v>
      </c>
      <c r="I67">
        <v>1.9</v>
      </c>
      <c r="J67" t="s">
        <v>37</v>
      </c>
      <c r="K67">
        <v>2024</v>
      </c>
      <c r="L67">
        <v>8676.2199999999993</v>
      </c>
      <c r="M67">
        <v>7</v>
      </c>
      <c r="N67" t="s">
        <v>20</v>
      </c>
      <c r="O67" t="s">
        <v>21</v>
      </c>
    </row>
    <row r="68" spans="1:15" x14ac:dyDescent="0.3">
      <c r="A68" t="s">
        <v>134</v>
      </c>
      <c r="B68" t="s">
        <v>94</v>
      </c>
      <c r="C68" t="s">
        <v>31</v>
      </c>
      <c r="D68">
        <v>4225.6899999999996</v>
      </c>
      <c r="E68">
        <v>4</v>
      </c>
      <c r="F68">
        <v>16902.759999999998</v>
      </c>
      <c r="G68" s="1">
        <v>45418</v>
      </c>
      <c r="H68" t="s">
        <v>71</v>
      </c>
      <c r="I68">
        <v>2.5</v>
      </c>
      <c r="J68" t="s">
        <v>32</v>
      </c>
      <c r="K68">
        <v>2024</v>
      </c>
      <c r="L68">
        <v>3380.5519999999997</v>
      </c>
      <c r="M68">
        <v>18</v>
      </c>
      <c r="N68" t="s">
        <v>20</v>
      </c>
      <c r="O68" t="s">
        <v>33</v>
      </c>
    </row>
    <row r="69" spans="1:15" x14ac:dyDescent="0.3">
      <c r="A69" t="s">
        <v>135</v>
      </c>
      <c r="B69" t="s">
        <v>35</v>
      </c>
      <c r="C69" t="s">
        <v>36</v>
      </c>
      <c r="D69">
        <v>23621.02</v>
      </c>
      <c r="E69">
        <v>1</v>
      </c>
      <c r="F69">
        <v>23621.02</v>
      </c>
      <c r="G69" s="1">
        <v>45348</v>
      </c>
      <c r="H69" t="s">
        <v>44</v>
      </c>
      <c r="I69">
        <v>4.7</v>
      </c>
      <c r="J69" t="s">
        <v>59</v>
      </c>
      <c r="K69">
        <v>2024</v>
      </c>
      <c r="L69">
        <v>4724.2040000000006</v>
      </c>
      <c r="M69">
        <v>21</v>
      </c>
      <c r="N69" t="s">
        <v>20</v>
      </c>
      <c r="O69" t="s">
        <v>33</v>
      </c>
    </row>
    <row r="70" spans="1:15" x14ac:dyDescent="0.3">
      <c r="A70" t="s">
        <v>136</v>
      </c>
      <c r="B70" t="s">
        <v>16</v>
      </c>
      <c r="C70" t="s">
        <v>17</v>
      </c>
      <c r="D70">
        <v>38937.919999999998</v>
      </c>
      <c r="E70">
        <v>3</v>
      </c>
      <c r="F70">
        <v>116813.75999999999</v>
      </c>
      <c r="G70" s="1">
        <v>45390</v>
      </c>
      <c r="H70" t="s">
        <v>71</v>
      </c>
      <c r="I70">
        <v>3.4</v>
      </c>
      <c r="J70" t="s">
        <v>62</v>
      </c>
      <c r="K70">
        <v>2024</v>
      </c>
      <c r="L70">
        <v>23362.752</v>
      </c>
      <c r="M70">
        <v>8</v>
      </c>
      <c r="N70" t="s">
        <v>20</v>
      </c>
      <c r="O70" t="s">
        <v>68</v>
      </c>
    </row>
    <row r="71" spans="1:15" x14ac:dyDescent="0.3">
      <c r="A71" t="s">
        <v>137</v>
      </c>
      <c r="B71" t="s">
        <v>39</v>
      </c>
      <c r="C71" t="s">
        <v>40</v>
      </c>
      <c r="D71">
        <v>2707.97</v>
      </c>
      <c r="E71">
        <v>1</v>
      </c>
      <c r="F71">
        <v>2707.97</v>
      </c>
      <c r="G71" s="1">
        <v>45410</v>
      </c>
      <c r="H71" t="s">
        <v>80</v>
      </c>
      <c r="I71">
        <v>1.2</v>
      </c>
      <c r="J71" t="s">
        <v>62</v>
      </c>
      <c r="K71">
        <v>2024</v>
      </c>
      <c r="L71">
        <v>541.59399999999994</v>
      </c>
      <c r="M71">
        <v>22</v>
      </c>
      <c r="N71" t="s">
        <v>41</v>
      </c>
      <c r="O71" t="s">
        <v>33</v>
      </c>
    </row>
    <row r="72" spans="1:15" x14ac:dyDescent="0.3">
      <c r="A72" t="s">
        <v>138</v>
      </c>
      <c r="B72" t="s">
        <v>30</v>
      </c>
      <c r="C72" t="s">
        <v>31</v>
      </c>
      <c r="D72">
        <v>23715.42</v>
      </c>
      <c r="E72">
        <v>4</v>
      </c>
      <c r="F72">
        <v>94861.68</v>
      </c>
      <c r="G72" s="1">
        <v>45375</v>
      </c>
      <c r="H72" t="s">
        <v>64</v>
      </c>
      <c r="I72">
        <v>2</v>
      </c>
      <c r="J72" t="s">
        <v>56</v>
      </c>
      <c r="K72">
        <v>2024</v>
      </c>
      <c r="L72">
        <v>18972.335999999999</v>
      </c>
      <c r="M72">
        <v>12</v>
      </c>
      <c r="N72" t="s">
        <v>20</v>
      </c>
      <c r="O72" t="s">
        <v>33</v>
      </c>
    </row>
    <row r="73" spans="1:15" x14ac:dyDescent="0.3">
      <c r="A73" t="s">
        <v>139</v>
      </c>
      <c r="B73" t="s">
        <v>55</v>
      </c>
      <c r="C73" t="s">
        <v>36</v>
      </c>
      <c r="D73">
        <v>9083.5</v>
      </c>
      <c r="E73">
        <v>2</v>
      </c>
      <c r="F73">
        <v>18167</v>
      </c>
      <c r="G73" s="1">
        <v>45478</v>
      </c>
      <c r="H73" t="s">
        <v>25</v>
      </c>
      <c r="I73">
        <v>1.8</v>
      </c>
      <c r="J73" t="s">
        <v>48</v>
      </c>
      <c r="K73">
        <v>2024</v>
      </c>
      <c r="L73">
        <v>3633.4</v>
      </c>
      <c r="M73">
        <v>8</v>
      </c>
      <c r="N73" t="s">
        <v>27</v>
      </c>
      <c r="O73" t="s">
        <v>21</v>
      </c>
    </row>
    <row r="74" spans="1:15" x14ac:dyDescent="0.3">
      <c r="A74" t="s">
        <v>140</v>
      </c>
      <c r="B74" t="s">
        <v>61</v>
      </c>
      <c r="C74" t="s">
        <v>31</v>
      </c>
      <c r="D74">
        <v>26379.35</v>
      </c>
      <c r="E74">
        <v>4</v>
      </c>
      <c r="F74">
        <v>105517.4</v>
      </c>
      <c r="G74" s="1">
        <v>45542</v>
      </c>
      <c r="H74" t="s">
        <v>25</v>
      </c>
      <c r="I74">
        <v>3</v>
      </c>
      <c r="J74" t="s">
        <v>19</v>
      </c>
      <c r="K74">
        <v>2024</v>
      </c>
      <c r="L74">
        <v>21103.48</v>
      </c>
      <c r="M74">
        <v>6</v>
      </c>
      <c r="N74" t="s">
        <v>27</v>
      </c>
      <c r="O74" t="s">
        <v>68</v>
      </c>
    </row>
    <row r="75" spans="1:15" x14ac:dyDescent="0.3">
      <c r="A75" t="s">
        <v>141</v>
      </c>
      <c r="B75" t="s">
        <v>52</v>
      </c>
      <c r="C75" t="s">
        <v>24</v>
      </c>
      <c r="D75">
        <v>34023.96</v>
      </c>
      <c r="E75">
        <v>3</v>
      </c>
      <c r="F75">
        <v>102071.88</v>
      </c>
      <c r="G75" s="1">
        <v>45335</v>
      </c>
      <c r="H75" t="s">
        <v>71</v>
      </c>
      <c r="I75">
        <v>4.5999999999999996</v>
      </c>
      <c r="J75" t="s">
        <v>59</v>
      </c>
      <c r="K75">
        <v>2024</v>
      </c>
      <c r="L75">
        <v>20414.376000000004</v>
      </c>
      <c r="M75">
        <v>10</v>
      </c>
      <c r="N75" t="s">
        <v>20</v>
      </c>
      <c r="O75" t="s">
        <v>21</v>
      </c>
    </row>
    <row r="76" spans="1:15" x14ac:dyDescent="0.3">
      <c r="A76" t="s">
        <v>142</v>
      </c>
      <c r="B76" t="s">
        <v>47</v>
      </c>
      <c r="C76" t="s">
        <v>24</v>
      </c>
      <c r="D76">
        <v>1542.1</v>
      </c>
      <c r="E76">
        <v>4</v>
      </c>
      <c r="F76">
        <v>6168.4</v>
      </c>
      <c r="G76" s="1">
        <v>45529</v>
      </c>
      <c r="H76" t="s">
        <v>71</v>
      </c>
      <c r="I76">
        <v>1</v>
      </c>
      <c r="J76" t="s">
        <v>88</v>
      </c>
      <c r="K76">
        <v>2024</v>
      </c>
      <c r="L76">
        <v>1233.68</v>
      </c>
      <c r="M76">
        <v>26</v>
      </c>
      <c r="N76" t="s">
        <v>20</v>
      </c>
      <c r="O76" t="s">
        <v>28</v>
      </c>
    </row>
    <row r="77" spans="1:15" x14ac:dyDescent="0.3">
      <c r="A77" t="s">
        <v>143</v>
      </c>
      <c r="B77" t="s">
        <v>118</v>
      </c>
      <c r="C77" t="s">
        <v>17</v>
      </c>
      <c r="D77">
        <v>42981.08</v>
      </c>
      <c r="E77">
        <v>3</v>
      </c>
      <c r="F77">
        <v>128943.24</v>
      </c>
      <c r="G77" s="1">
        <v>45376</v>
      </c>
      <c r="H77" t="s">
        <v>64</v>
      </c>
      <c r="I77">
        <v>3.8</v>
      </c>
      <c r="J77" t="s">
        <v>56</v>
      </c>
      <c r="K77">
        <v>2024</v>
      </c>
      <c r="L77">
        <v>25788.648000000001</v>
      </c>
      <c r="M77">
        <v>14</v>
      </c>
      <c r="N77" t="s">
        <v>27</v>
      </c>
      <c r="O77" t="s">
        <v>28</v>
      </c>
    </row>
    <row r="78" spans="1:15" x14ac:dyDescent="0.3">
      <c r="A78" t="s">
        <v>144</v>
      </c>
      <c r="B78" t="s">
        <v>145</v>
      </c>
      <c r="C78" t="s">
        <v>40</v>
      </c>
      <c r="D78">
        <v>46338.29</v>
      </c>
      <c r="E78">
        <v>5</v>
      </c>
      <c r="F78">
        <v>231691.45</v>
      </c>
      <c r="G78" s="1">
        <v>45373</v>
      </c>
      <c r="H78" t="s">
        <v>64</v>
      </c>
      <c r="I78">
        <v>3.4</v>
      </c>
      <c r="J78" t="s">
        <v>56</v>
      </c>
      <c r="K78">
        <v>2024</v>
      </c>
      <c r="L78">
        <v>46338.290000000008</v>
      </c>
      <c r="M78">
        <v>8</v>
      </c>
      <c r="N78" t="s">
        <v>27</v>
      </c>
      <c r="O78" t="s">
        <v>28</v>
      </c>
    </row>
    <row r="79" spans="1:15" x14ac:dyDescent="0.3">
      <c r="A79" t="s">
        <v>146</v>
      </c>
      <c r="B79" t="s">
        <v>107</v>
      </c>
      <c r="C79" t="s">
        <v>36</v>
      </c>
      <c r="D79">
        <v>34161.440000000002</v>
      </c>
      <c r="E79">
        <v>1</v>
      </c>
      <c r="F79">
        <v>34161.440000000002</v>
      </c>
      <c r="G79" s="1">
        <v>45473</v>
      </c>
      <c r="H79" t="s">
        <v>44</v>
      </c>
      <c r="I79">
        <v>2.4</v>
      </c>
      <c r="J79" t="s">
        <v>67</v>
      </c>
      <c r="K79">
        <v>2024</v>
      </c>
      <c r="L79">
        <v>6832.2880000000005</v>
      </c>
      <c r="M79">
        <v>26</v>
      </c>
      <c r="N79" t="s">
        <v>41</v>
      </c>
      <c r="O79" t="s">
        <v>68</v>
      </c>
    </row>
    <row r="80" spans="1:15" x14ac:dyDescent="0.3">
      <c r="A80" t="s">
        <v>147</v>
      </c>
      <c r="B80" t="s">
        <v>61</v>
      </c>
      <c r="C80" t="s">
        <v>31</v>
      </c>
      <c r="D80">
        <v>21317.31</v>
      </c>
      <c r="E80">
        <v>5</v>
      </c>
      <c r="F80">
        <v>106586.55</v>
      </c>
      <c r="G80" s="1">
        <v>45489</v>
      </c>
      <c r="H80" t="s">
        <v>71</v>
      </c>
      <c r="I80">
        <v>4</v>
      </c>
      <c r="J80" t="s">
        <v>48</v>
      </c>
      <c r="K80">
        <v>2024</v>
      </c>
      <c r="L80">
        <v>21317.31</v>
      </c>
      <c r="M80">
        <v>22</v>
      </c>
      <c r="N80" t="s">
        <v>27</v>
      </c>
      <c r="O80" t="s">
        <v>33</v>
      </c>
    </row>
    <row r="81" spans="1:15" x14ac:dyDescent="0.3">
      <c r="A81" t="s">
        <v>148</v>
      </c>
      <c r="B81" t="s">
        <v>30</v>
      </c>
      <c r="C81" t="s">
        <v>31</v>
      </c>
      <c r="D81">
        <v>46011.839999999997</v>
      </c>
      <c r="E81">
        <v>4</v>
      </c>
      <c r="F81">
        <v>184047.35999999999</v>
      </c>
      <c r="G81" s="1">
        <v>45413</v>
      </c>
      <c r="H81" t="s">
        <v>64</v>
      </c>
      <c r="I81">
        <v>3.3</v>
      </c>
      <c r="J81" t="s">
        <v>32</v>
      </c>
      <c r="K81">
        <v>2024</v>
      </c>
      <c r="L81">
        <v>36809.472000000002</v>
      </c>
      <c r="M81">
        <v>30</v>
      </c>
      <c r="N81" t="s">
        <v>27</v>
      </c>
      <c r="O81" t="s">
        <v>68</v>
      </c>
    </row>
    <row r="82" spans="1:15" x14ac:dyDescent="0.3">
      <c r="A82" t="s">
        <v>149</v>
      </c>
      <c r="B82" t="s">
        <v>58</v>
      </c>
      <c r="C82" t="s">
        <v>31</v>
      </c>
      <c r="D82">
        <v>2097.9899999999998</v>
      </c>
      <c r="E82">
        <v>1</v>
      </c>
      <c r="F82">
        <v>2097.9899999999998</v>
      </c>
      <c r="G82" s="1">
        <v>45697</v>
      </c>
      <c r="H82" t="s">
        <v>18</v>
      </c>
      <c r="I82">
        <v>3.2</v>
      </c>
      <c r="J82" t="s">
        <v>59</v>
      </c>
      <c r="K82">
        <v>2025</v>
      </c>
      <c r="L82">
        <v>419.59799999999996</v>
      </c>
      <c r="M82">
        <v>16</v>
      </c>
      <c r="N82" t="s">
        <v>20</v>
      </c>
      <c r="O82" t="s">
        <v>68</v>
      </c>
    </row>
    <row r="83" spans="1:15" x14ac:dyDescent="0.3">
      <c r="A83" t="s">
        <v>150</v>
      </c>
      <c r="B83" t="s">
        <v>66</v>
      </c>
      <c r="C83" t="s">
        <v>36</v>
      </c>
      <c r="D83">
        <v>17104.91</v>
      </c>
      <c r="E83">
        <v>3</v>
      </c>
      <c r="F83">
        <v>51314.73</v>
      </c>
      <c r="G83" s="1">
        <v>45636</v>
      </c>
      <c r="H83" t="s">
        <v>71</v>
      </c>
      <c r="I83">
        <v>2.7</v>
      </c>
      <c r="J83" t="s">
        <v>26</v>
      </c>
      <c r="K83">
        <v>2024</v>
      </c>
      <c r="L83">
        <v>10262.946000000002</v>
      </c>
      <c r="M83">
        <v>6</v>
      </c>
      <c r="N83" t="s">
        <v>27</v>
      </c>
      <c r="O83" t="s">
        <v>33</v>
      </c>
    </row>
    <row r="84" spans="1:15" x14ac:dyDescent="0.3">
      <c r="A84" t="s">
        <v>151</v>
      </c>
      <c r="B84" t="s">
        <v>145</v>
      </c>
      <c r="C84" t="s">
        <v>40</v>
      </c>
      <c r="D84">
        <v>29326.6</v>
      </c>
      <c r="E84">
        <v>3</v>
      </c>
      <c r="F84">
        <v>87979.8</v>
      </c>
      <c r="G84" s="1">
        <v>45603</v>
      </c>
      <c r="H84" t="s">
        <v>71</v>
      </c>
      <c r="I84">
        <v>4.9000000000000004</v>
      </c>
      <c r="J84" t="s">
        <v>37</v>
      </c>
      <c r="K84">
        <v>2024</v>
      </c>
      <c r="L84">
        <v>17595.960000000003</v>
      </c>
      <c r="M84">
        <v>14</v>
      </c>
      <c r="N84" t="s">
        <v>41</v>
      </c>
      <c r="O84" t="s">
        <v>21</v>
      </c>
    </row>
    <row r="85" spans="1:15" x14ac:dyDescent="0.3">
      <c r="A85" t="s">
        <v>152</v>
      </c>
      <c r="B85" t="s">
        <v>107</v>
      </c>
      <c r="C85" t="s">
        <v>36</v>
      </c>
      <c r="D85">
        <v>28892.73</v>
      </c>
      <c r="E85">
        <v>4</v>
      </c>
      <c r="F85">
        <v>115570.92</v>
      </c>
      <c r="G85" s="1">
        <v>45607</v>
      </c>
      <c r="H85" t="s">
        <v>64</v>
      </c>
      <c r="I85">
        <v>1.3</v>
      </c>
      <c r="J85" t="s">
        <v>37</v>
      </c>
      <c r="K85">
        <v>2024</v>
      </c>
      <c r="L85">
        <v>23114.184000000001</v>
      </c>
      <c r="M85">
        <v>8</v>
      </c>
      <c r="N85" t="s">
        <v>27</v>
      </c>
      <c r="O85" t="s">
        <v>28</v>
      </c>
    </row>
    <row r="86" spans="1:15" x14ac:dyDescent="0.3">
      <c r="A86" t="s">
        <v>153</v>
      </c>
      <c r="B86" t="s">
        <v>55</v>
      </c>
      <c r="C86" t="s">
        <v>36</v>
      </c>
      <c r="D86">
        <v>35033.120000000003</v>
      </c>
      <c r="E86">
        <v>4</v>
      </c>
      <c r="F86">
        <v>140132.48000000001</v>
      </c>
      <c r="G86" s="1">
        <v>45629</v>
      </c>
      <c r="H86" t="s">
        <v>25</v>
      </c>
      <c r="I86">
        <v>4.7</v>
      </c>
      <c r="J86" t="s">
        <v>26</v>
      </c>
      <c r="K86">
        <v>2024</v>
      </c>
      <c r="L86">
        <v>28026.496000000003</v>
      </c>
      <c r="M86">
        <v>18</v>
      </c>
      <c r="N86" t="s">
        <v>20</v>
      </c>
      <c r="O86" t="s">
        <v>21</v>
      </c>
    </row>
    <row r="87" spans="1:15" x14ac:dyDescent="0.3">
      <c r="A87" t="s">
        <v>154</v>
      </c>
      <c r="B87" t="s">
        <v>23</v>
      </c>
      <c r="C87" t="s">
        <v>24</v>
      </c>
      <c r="D87">
        <v>40069.300000000003</v>
      </c>
      <c r="E87">
        <v>3</v>
      </c>
      <c r="F87">
        <v>120207.9</v>
      </c>
      <c r="G87" s="1">
        <v>45592</v>
      </c>
      <c r="H87" t="s">
        <v>18</v>
      </c>
      <c r="I87">
        <v>2.4</v>
      </c>
      <c r="J87" t="s">
        <v>45</v>
      </c>
      <c r="K87">
        <v>2024</v>
      </c>
      <c r="L87">
        <v>24041.58</v>
      </c>
      <c r="M87">
        <v>20</v>
      </c>
      <c r="N87" t="s">
        <v>20</v>
      </c>
      <c r="O87" t="s">
        <v>28</v>
      </c>
    </row>
    <row r="88" spans="1:15" x14ac:dyDescent="0.3">
      <c r="A88" t="s">
        <v>155</v>
      </c>
      <c r="B88" t="s">
        <v>70</v>
      </c>
      <c r="C88" t="s">
        <v>17</v>
      </c>
      <c r="D88">
        <v>20613.14</v>
      </c>
      <c r="E88">
        <v>4</v>
      </c>
      <c r="F88">
        <v>82452.56</v>
      </c>
      <c r="G88" s="1">
        <v>45442</v>
      </c>
      <c r="H88" t="s">
        <v>25</v>
      </c>
      <c r="I88">
        <v>3.4</v>
      </c>
      <c r="J88" t="s">
        <v>32</v>
      </c>
      <c r="K88">
        <v>2024</v>
      </c>
      <c r="L88">
        <v>16490.511999999999</v>
      </c>
      <c r="M88">
        <v>19</v>
      </c>
      <c r="N88" t="s">
        <v>27</v>
      </c>
      <c r="O88" t="s">
        <v>68</v>
      </c>
    </row>
    <row r="89" spans="1:15" x14ac:dyDescent="0.3">
      <c r="A89" t="s">
        <v>156</v>
      </c>
      <c r="B89" t="s">
        <v>39</v>
      </c>
      <c r="C89" t="s">
        <v>40</v>
      </c>
      <c r="D89">
        <v>3432</v>
      </c>
      <c r="E89">
        <v>5</v>
      </c>
      <c r="F89">
        <v>17160</v>
      </c>
      <c r="G89" s="1">
        <v>45394</v>
      </c>
      <c r="H89" t="s">
        <v>71</v>
      </c>
      <c r="I89">
        <v>3.4</v>
      </c>
      <c r="J89" t="s">
        <v>62</v>
      </c>
      <c r="K89">
        <v>2024</v>
      </c>
      <c r="L89">
        <v>3432</v>
      </c>
      <c r="M89">
        <v>12</v>
      </c>
      <c r="N89" t="s">
        <v>20</v>
      </c>
      <c r="O89" t="s">
        <v>28</v>
      </c>
    </row>
    <row r="90" spans="1:15" x14ac:dyDescent="0.3">
      <c r="A90" t="s">
        <v>157</v>
      </c>
      <c r="B90" t="s">
        <v>100</v>
      </c>
      <c r="C90" t="s">
        <v>31</v>
      </c>
      <c r="D90">
        <v>25752.65</v>
      </c>
      <c r="E90">
        <v>3</v>
      </c>
      <c r="F90">
        <v>77257.95</v>
      </c>
      <c r="G90" s="1">
        <v>45471</v>
      </c>
      <c r="H90" t="s">
        <v>80</v>
      </c>
      <c r="I90">
        <v>2.5</v>
      </c>
      <c r="J90" t="s">
        <v>67</v>
      </c>
      <c r="K90">
        <v>2024</v>
      </c>
      <c r="L90">
        <v>15451.59</v>
      </c>
      <c r="M90">
        <v>18</v>
      </c>
      <c r="N90" t="s">
        <v>41</v>
      </c>
      <c r="O90" t="s">
        <v>68</v>
      </c>
    </row>
    <row r="91" spans="1:15" x14ac:dyDescent="0.3">
      <c r="A91" t="s">
        <v>158</v>
      </c>
      <c r="B91" t="s">
        <v>35</v>
      </c>
      <c r="C91" t="s">
        <v>36</v>
      </c>
      <c r="D91">
        <v>30238.47</v>
      </c>
      <c r="E91">
        <v>2</v>
      </c>
      <c r="F91">
        <v>60476.94</v>
      </c>
      <c r="G91" s="1">
        <v>45559</v>
      </c>
      <c r="H91" t="s">
        <v>80</v>
      </c>
      <c r="I91">
        <v>4</v>
      </c>
      <c r="J91" t="s">
        <v>19</v>
      </c>
      <c r="K91">
        <v>2024</v>
      </c>
      <c r="L91">
        <v>12095.388000000001</v>
      </c>
      <c r="M91">
        <v>27</v>
      </c>
      <c r="N91" t="s">
        <v>41</v>
      </c>
      <c r="O91" t="s">
        <v>21</v>
      </c>
    </row>
    <row r="92" spans="1:15" x14ac:dyDescent="0.3">
      <c r="A92" t="s">
        <v>159</v>
      </c>
      <c r="B92" t="s">
        <v>84</v>
      </c>
      <c r="C92" t="s">
        <v>40</v>
      </c>
      <c r="D92">
        <v>34293.379999999997</v>
      </c>
      <c r="E92">
        <v>4</v>
      </c>
      <c r="F92">
        <v>137173.51999999999</v>
      </c>
      <c r="G92" s="1">
        <v>45383</v>
      </c>
      <c r="H92" t="s">
        <v>80</v>
      </c>
      <c r="I92">
        <v>4.4000000000000004</v>
      </c>
      <c r="J92" t="s">
        <v>62</v>
      </c>
      <c r="K92">
        <v>2024</v>
      </c>
      <c r="L92">
        <v>27434.703999999998</v>
      </c>
      <c r="M92">
        <v>29</v>
      </c>
      <c r="N92" t="s">
        <v>27</v>
      </c>
      <c r="O92" t="s">
        <v>68</v>
      </c>
    </row>
    <row r="93" spans="1:15" x14ac:dyDescent="0.3">
      <c r="A93" t="s">
        <v>160</v>
      </c>
      <c r="B93" t="s">
        <v>58</v>
      </c>
      <c r="C93" t="s">
        <v>31</v>
      </c>
      <c r="D93">
        <v>19498.32</v>
      </c>
      <c r="E93">
        <v>2</v>
      </c>
      <c r="F93">
        <v>38996.639999999999</v>
      </c>
      <c r="G93" s="1">
        <v>45619</v>
      </c>
      <c r="H93" t="s">
        <v>71</v>
      </c>
      <c r="I93">
        <v>3.6</v>
      </c>
      <c r="J93" t="s">
        <v>37</v>
      </c>
      <c r="K93">
        <v>2024</v>
      </c>
      <c r="L93">
        <v>7799.3280000000004</v>
      </c>
      <c r="M93">
        <v>12</v>
      </c>
      <c r="N93" t="s">
        <v>27</v>
      </c>
      <c r="O93" t="s">
        <v>21</v>
      </c>
    </row>
    <row r="94" spans="1:15" x14ac:dyDescent="0.3">
      <c r="A94" t="s">
        <v>161</v>
      </c>
      <c r="B94" t="s">
        <v>78</v>
      </c>
      <c r="C94" t="s">
        <v>24</v>
      </c>
      <c r="D94">
        <v>39355.589999999997</v>
      </c>
      <c r="E94">
        <v>1</v>
      </c>
      <c r="F94">
        <v>39355.589999999997</v>
      </c>
      <c r="G94" s="1">
        <v>45587</v>
      </c>
      <c r="H94" t="s">
        <v>44</v>
      </c>
      <c r="I94">
        <v>2.9</v>
      </c>
      <c r="J94" t="s">
        <v>45</v>
      </c>
      <c r="K94">
        <v>2024</v>
      </c>
      <c r="L94">
        <v>7871.1179999999995</v>
      </c>
      <c r="M94">
        <v>25</v>
      </c>
      <c r="N94" t="s">
        <v>27</v>
      </c>
      <c r="O94" t="s">
        <v>33</v>
      </c>
    </row>
    <row r="95" spans="1:15" x14ac:dyDescent="0.3">
      <c r="A95" t="s">
        <v>162</v>
      </c>
      <c r="B95" t="s">
        <v>74</v>
      </c>
      <c r="C95" t="s">
        <v>17</v>
      </c>
      <c r="D95">
        <v>26575.86</v>
      </c>
      <c r="E95">
        <v>2</v>
      </c>
      <c r="F95">
        <v>53151.72</v>
      </c>
      <c r="G95" s="1">
        <v>45435</v>
      </c>
      <c r="H95" t="s">
        <v>44</v>
      </c>
      <c r="I95">
        <v>2</v>
      </c>
      <c r="J95" t="s">
        <v>32</v>
      </c>
      <c r="K95">
        <v>2024</v>
      </c>
      <c r="L95">
        <v>10630.344000000001</v>
      </c>
      <c r="M95">
        <v>20</v>
      </c>
      <c r="N95" t="s">
        <v>20</v>
      </c>
      <c r="O95" t="s">
        <v>33</v>
      </c>
    </row>
    <row r="96" spans="1:15" x14ac:dyDescent="0.3">
      <c r="A96" t="s">
        <v>163</v>
      </c>
      <c r="B96" t="s">
        <v>107</v>
      </c>
      <c r="C96" t="s">
        <v>36</v>
      </c>
      <c r="D96">
        <v>12506.31</v>
      </c>
      <c r="E96">
        <v>3</v>
      </c>
      <c r="F96">
        <v>37518.93</v>
      </c>
      <c r="G96" s="1">
        <v>45669</v>
      </c>
      <c r="H96" t="s">
        <v>25</v>
      </c>
      <c r="I96">
        <v>1.4</v>
      </c>
      <c r="J96" t="s">
        <v>53</v>
      </c>
      <c r="K96">
        <v>2025</v>
      </c>
      <c r="L96">
        <v>7503.7860000000001</v>
      </c>
      <c r="M96">
        <v>17</v>
      </c>
      <c r="N96" t="s">
        <v>41</v>
      </c>
      <c r="O96" t="s">
        <v>33</v>
      </c>
    </row>
    <row r="97" spans="1:15" x14ac:dyDescent="0.3">
      <c r="A97" t="s">
        <v>164</v>
      </c>
      <c r="B97" t="s">
        <v>78</v>
      </c>
      <c r="C97" t="s">
        <v>24</v>
      </c>
      <c r="D97">
        <v>19180.77</v>
      </c>
      <c r="E97">
        <v>3</v>
      </c>
      <c r="F97">
        <v>57542.31</v>
      </c>
      <c r="G97" s="1">
        <v>45685</v>
      </c>
      <c r="H97" t="s">
        <v>44</v>
      </c>
      <c r="I97">
        <v>3.9</v>
      </c>
      <c r="J97" t="s">
        <v>53</v>
      </c>
      <c r="K97">
        <v>2025</v>
      </c>
      <c r="L97">
        <v>11508.462</v>
      </c>
      <c r="M97">
        <v>22</v>
      </c>
      <c r="N97" t="s">
        <v>41</v>
      </c>
      <c r="O97" t="s">
        <v>68</v>
      </c>
    </row>
    <row r="98" spans="1:15" x14ac:dyDescent="0.3">
      <c r="A98" t="s">
        <v>165</v>
      </c>
      <c r="B98" t="s">
        <v>84</v>
      </c>
      <c r="C98" t="s">
        <v>40</v>
      </c>
      <c r="D98">
        <v>8877.51</v>
      </c>
      <c r="E98">
        <v>5</v>
      </c>
      <c r="F98">
        <v>44387.55</v>
      </c>
      <c r="G98" s="1">
        <v>45443</v>
      </c>
      <c r="H98" t="s">
        <v>25</v>
      </c>
      <c r="I98">
        <v>2.5</v>
      </c>
      <c r="J98" t="s">
        <v>32</v>
      </c>
      <c r="K98">
        <v>2024</v>
      </c>
      <c r="L98">
        <v>8877.51</v>
      </c>
      <c r="M98">
        <v>19</v>
      </c>
      <c r="N98" t="s">
        <v>20</v>
      </c>
      <c r="O98" t="s">
        <v>33</v>
      </c>
    </row>
    <row r="99" spans="1:15" x14ac:dyDescent="0.3">
      <c r="A99" t="s">
        <v>166</v>
      </c>
      <c r="B99" t="s">
        <v>47</v>
      </c>
      <c r="C99" t="s">
        <v>24</v>
      </c>
      <c r="D99">
        <v>32348.92</v>
      </c>
      <c r="E99">
        <v>2</v>
      </c>
      <c r="F99">
        <v>64697.84</v>
      </c>
      <c r="G99" s="1">
        <v>45690</v>
      </c>
      <c r="H99" t="s">
        <v>71</v>
      </c>
      <c r="I99">
        <v>3.1</v>
      </c>
      <c r="J99" t="s">
        <v>59</v>
      </c>
      <c r="K99">
        <v>2025</v>
      </c>
      <c r="L99">
        <v>12939.567999999999</v>
      </c>
      <c r="M99">
        <v>25</v>
      </c>
      <c r="N99" t="s">
        <v>41</v>
      </c>
      <c r="O99" t="s">
        <v>28</v>
      </c>
    </row>
    <row r="100" spans="1:15" x14ac:dyDescent="0.3">
      <c r="A100" t="s">
        <v>167</v>
      </c>
      <c r="B100" t="s">
        <v>35</v>
      </c>
      <c r="C100" t="s">
        <v>36</v>
      </c>
      <c r="D100">
        <v>19375.759999999998</v>
      </c>
      <c r="E100">
        <v>2</v>
      </c>
      <c r="F100">
        <v>38751.519999999997</v>
      </c>
      <c r="G100" s="1">
        <v>45632</v>
      </c>
      <c r="H100" t="s">
        <v>71</v>
      </c>
      <c r="I100">
        <v>2.1</v>
      </c>
      <c r="J100" t="s">
        <v>26</v>
      </c>
      <c r="K100">
        <v>2024</v>
      </c>
      <c r="L100">
        <v>7750.3040000000001</v>
      </c>
      <c r="M100">
        <v>28</v>
      </c>
      <c r="N100" t="s">
        <v>27</v>
      </c>
      <c r="O100" t="s">
        <v>21</v>
      </c>
    </row>
    <row r="101" spans="1:15" x14ac:dyDescent="0.3">
      <c r="A101" t="s">
        <v>168</v>
      </c>
      <c r="B101" t="s">
        <v>16</v>
      </c>
      <c r="C101" t="s">
        <v>17</v>
      </c>
      <c r="D101">
        <v>48157.93</v>
      </c>
      <c r="E101">
        <v>1</v>
      </c>
      <c r="F101">
        <v>48157.93</v>
      </c>
      <c r="G101" s="1">
        <v>45540</v>
      </c>
      <c r="H101" t="s">
        <v>64</v>
      </c>
      <c r="I101">
        <v>2.4</v>
      </c>
      <c r="J101" t="s">
        <v>19</v>
      </c>
      <c r="K101">
        <v>2024</v>
      </c>
      <c r="L101">
        <v>9631.5860000000011</v>
      </c>
      <c r="M101">
        <v>30</v>
      </c>
      <c r="N101" t="s">
        <v>27</v>
      </c>
      <c r="O101" t="s">
        <v>21</v>
      </c>
    </row>
    <row r="102" spans="1:15" x14ac:dyDescent="0.3">
      <c r="A102" t="s">
        <v>169</v>
      </c>
      <c r="B102" t="s">
        <v>96</v>
      </c>
      <c r="C102" t="s">
        <v>36</v>
      </c>
      <c r="D102">
        <v>4360.05</v>
      </c>
      <c r="E102">
        <v>4</v>
      </c>
      <c r="F102">
        <v>17440.2</v>
      </c>
      <c r="G102" s="1">
        <v>45675</v>
      </c>
      <c r="H102" t="s">
        <v>44</v>
      </c>
      <c r="I102">
        <v>3.3</v>
      </c>
      <c r="J102" t="s">
        <v>53</v>
      </c>
      <c r="K102">
        <v>2025</v>
      </c>
      <c r="L102">
        <v>3488.0400000000004</v>
      </c>
      <c r="M102">
        <v>29</v>
      </c>
      <c r="N102" t="s">
        <v>27</v>
      </c>
      <c r="O102" t="s">
        <v>28</v>
      </c>
    </row>
    <row r="103" spans="1:15" x14ac:dyDescent="0.3">
      <c r="A103" t="s">
        <v>170</v>
      </c>
      <c r="B103" t="s">
        <v>52</v>
      </c>
      <c r="C103" t="s">
        <v>24</v>
      </c>
      <c r="D103">
        <v>38093.14</v>
      </c>
      <c r="E103">
        <v>1</v>
      </c>
      <c r="F103">
        <v>38093.14</v>
      </c>
      <c r="G103" s="1">
        <v>45587</v>
      </c>
      <c r="H103" t="s">
        <v>71</v>
      </c>
      <c r="I103">
        <v>3</v>
      </c>
      <c r="J103" t="s">
        <v>45</v>
      </c>
      <c r="K103">
        <v>2024</v>
      </c>
      <c r="L103">
        <v>7618.6280000000006</v>
      </c>
      <c r="M103">
        <v>17</v>
      </c>
      <c r="N103" t="s">
        <v>41</v>
      </c>
      <c r="O103" t="s">
        <v>68</v>
      </c>
    </row>
    <row r="104" spans="1:15" x14ac:dyDescent="0.3">
      <c r="A104" t="s">
        <v>171</v>
      </c>
      <c r="B104" t="s">
        <v>16</v>
      </c>
      <c r="C104" t="s">
        <v>17</v>
      </c>
      <c r="D104">
        <v>32788.199999999997</v>
      </c>
      <c r="E104">
        <v>5</v>
      </c>
      <c r="F104">
        <v>163941</v>
      </c>
      <c r="G104" s="1">
        <v>45480</v>
      </c>
      <c r="H104" t="s">
        <v>71</v>
      </c>
      <c r="I104">
        <v>4</v>
      </c>
      <c r="J104" t="s">
        <v>48</v>
      </c>
      <c r="K104">
        <v>2024</v>
      </c>
      <c r="L104">
        <v>32788.200000000004</v>
      </c>
      <c r="M104">
        <v>13</v>
      </c>
      <c r="N104" t="s">
        <v>27</v>
      </c>
      <c r="O104" t="s">
        <v>68</v>
      </c>
    </row>
    <row r="105" spans="1:15" x14ac:dyDescent="0.3">
      <c r="A105" t="s">
        <v>172</v>
      </c>
      <c r="B105" t="s">
        <v>70</v>
      </c>
      <c r="C105" t="s">
        <v>17</v>
      </c>
      <c r="D105">
        <v>42715.55</v>
      </c>
      <c r="E105">
        <v>1</v>
      </c>
      <c r="F105">
        <v>42715.55</v>
      </c>
      <c r="G105" s="1">
        <v>45487</v>
      </c>
      <c r="H105" t="s">
        <v>71</v>
      </c>
      <c r="I105">
        <v>4.4000000000000004</v>
      </c>
      <c r="J105" t="s">
        <v>48</v>
      </c>
      <c r="K105">
        <v>2024</v>
      </c>
      <c r="L105">
        <v>8543.11</v>
      </c>
      <c r="M105">
        <v>19</v>
      </c>
      <c r="N105" t="s">
        <v>20</v>
      </c>
      <c r="O105" t="s">
        <v>21</v>
      </c>
    </row>
    <row r="106" spans="1:15" x14ac:dyDescent="0.3">
      <c r="A106" t="s">
        <v>173</v>
      </c>
      <c r="B106" t="s">
        <v>58</v>
      </c>
      <c r="C106" t="s">
        <v>31</v>
      </c>
      <c r="D106">
        <v>28758.42</v>
      </c>
      <c r="E106">
        <v>5</v>
      </c>
      <c r="F106">
        <v>143792.1</v>
      </c>
      <c r="G106" s="1">
        <v>45557</v>
      </c>
      <c r="H106" t="s">
        <v>80</v>
      </c>
      <c r="I106">
        <v>3.7</v>
      </c>
      <c r="J106" t="s">
        <v>19</v>
      </c>
      <c r="K106">
        <v>2024</v>
      </c>
      <c r="L106">
        <v>28758.420000000002</v>
      </c>
      <c r="M106">
        <v>17</v>
      </c>
      <c r="N106" t="s">
        <v>20</v>
      </c>
      <c r="O106" t="s">
        <v>33</v>
      </c>
    </row>
    <row r="107" spans="1:15" x14ac:dyDescent="0.3">
      <c r="A107" t="s">
        <v>174</v>
      </c>
      <c r="B107" t="s">
        <v>16</v>
      </c>
      <c r="C107" t="s">
        <v>17</v>
      </c>
      <c r="D107">
        <v>22555.21</v>
      </c>
      <c r="E107">
        <v>2</v>
      </c>
      <c r="F107">
        <v>45110.42</v>
      </c>
      <c r="G107" s="1">
        <v>45422</v>
      </c>
      <c r="H107" t="s">
        <v>25</v>
      </c>
      <c r="I107">
        <v>4.3</v>
      </c>
      <c r="J107" t="s">
        <v>32</v>
      </c>
      <c r="K107">
        <v>2024</v>
      </c>
      <c r="L107">
        <v>9022.0840000000007</v>
      </c>
      <c r="M107">
        <v>5</v>
      </c>
      <c r="N107" t="s">
        <v>41</v>
      </c>
      <c r="O107" t="s">
        <v>68</v>
      </c>
    </row>
    <row r="108" spans="1:15" x14ac:dyDescent="0.3">
      <c r="A108" t="s">
        <v>175</v>
      </c>
      <c r="B108" t="s">
        <v>176</v>
      </c>
      <c r="C108" t="s">
        <v>24</v>
      </c>
      <c r="D108">
        <v>33613.18</v>
      </c>
      <c r="E108">
        <v>1</v>
      </c>
      <c r="F108">
        <v>33613.18</v>
      </c>
      <c r="G108" s="1">
        <v>45528</v>
      </c>
      <c r="H108" t="s">
        <v>44</v>
      </c>
      <c r="I108">
        <v>3.5</v>
      </c>
      <c r="J108" t="s">
        <v>88</v>
      </c>
      <c r="K108">
        <v>2024</v>
      </c>
      <c r="L108">
        <v>6722.6360000000004</v>
      </c>
      <c r="M108">
        <v>29</v>
      </c>
      <c r="N108" t="s">
        <v>20</v>
      </c>
      <c r="O108" t="s">
        <v>68</v>
      </c>
    </row>
    <row r="109" spans="1:15" x14ac:dyDescent="0.3">
      <c r="A109" t="s">
        <v>177</v>
      </c>
      <c r="B109" t="s">
        <v>78</v>
      </c>
      <c r="C109" t="s">
        <v>24</v>
      </c>
      <c r="D109">
        <v>44639</v>
      </c>
      <c r="E109">
        <v>5</v>
      </c>
      <c r="F109">
        <v>223195</v>
      </c>
      <c r="G109" s="1">
        <v>45416</v>
      </c>
      <c r="H109" t="s">
        <v>71</v>
      </c>
      <c r="I109">
        <v>1.1000000000000001</v>
      </c>
      <c r="J109" t="s">
        <v>32</v>
      </c>
      <c r="K109">
        <v>2024</v>
      </c>
      <c r="L109">
        <v>44639</v>
      </c>
      <c r="M109">
        <v>11</v>
      </c>
      <c r="N109" t="s">
        <v>20</v>
      </c>
      <c r="O109" t="s">
        <v>28</v>
      </c>
    </row>
    <row r="110" spans="1:15" x14ac:dyDescent="0.3">
      <c r="A110" t="s">
        <v>178</v>
      </c>
      <c r="B110" t="s">
        <v>23</v>
      </c>
      <c r="C110" t="s">
        <v>24</v>
      </c>
      <c r="D110">
        <v>11785.4</v>
      </c>
      <c r="E110">
        <v>5</v>
      </c>
      <c r="F110">
        <v>58927</v>
      </c>
      <c r="G110" s="1">
        <v>45468</v>
      </c>
      <c r="H110" t="s">
        <v>44</v>
      </c>
      <c r="I110">
        <v>1.6</v>
      </c>
      <c r="J110" t="s">
        <v>67</v>
      </c>
      <c r="K110">
        <v>2024</v>
      </c>
      <c r="L110">
        <v>11785.400000000001</v>
      </c>
      <c r="M110">
        <v>13</v>
      </c>
      <c r="N110" t="s">
        <v>41</v>
      </c>
      <c r="O110" t="s">
        <v>28</v>
      </c>
    </row>
    <row r="111" spans="1:15" x14ac:dyDescent="0.3">
      <c r="A111" t="s">
        <v>179</v>
      </c>
      <c r="B111" t="s">
        <v>125</v>
      </c>
      <c r="C111" t="s">
        <v>17</v>
      </c>
      <c r="D111">
        <v>30826.720000000001</v>
      </c>
      <c r="E111">
        <v>1</v>
      </c>
      <c r="F111">
        <v>30826.720000000001</v>
      </c>
      <c r="G111" s="1">
        <v>45508</v>
      </c>
      <c r="H111" t="s">
        <v>25</v>
      </c>
      <c r="I111">
        <v>3.9</v>
      </c>
      <c r="J111" t="s">
        <v>88</v>
      </c>
      <c r="K111">
        <v>2024</v>
      </c>
      <c r="L111">
        <v>6165.344000000001</v>
      </c>
      <c r="M111">
        <v>28</v>
      </c>
      <c r="N111" t="s">
        <v>27</v>
      </c>
      <c r="O111" t="s">
        <v>33</v>
      </c>
    </row>
    <row r="112" spans="1:15" x14ac:dyDescent="0.3">
      <c r="A112" t="s">
        <v>180</v>
      </c>
      <c r="B112" t="s">
        <v>52</v>
      </c>
      <c r="C112" t="s">
        <v>24</v>
      </c>
      <c r="D112">
        <v>35811.1</v>
      </c>
      <c r="E112">
        <v>4</v>
      </c>
      <c r="F112">
        <v>143244.4</v>
      </c>
      <c r="G112" s="1">
        <v>45546</v>
      </c>
      <c r="H112" t="s">
        <v>80</v>
      </c>
      <c r="I112">
        <v>1.9</v>
      </c>
      <c r="J112" t="s">
        <v>19</v>
      </c>
      <c r="K112">
        <v>2024</v>
      </c>
      <c r="L112">
        <v>28648.880000000001</v>
      </c>
      <c r="M112">
        <v>5</v>
      </c>
      <c r="N112" t="s">
        <v>27</v>
      </c>
      <c r="O112" t="s">
        <v>68</v>
      </c>
    </row>
    <row r="113" spans="1:15" x14ac:dyDescent="0.3">
      <c r="A113" t="s">
        <v>181</v>
      </c>
      <c r="B113" t="s">
        <v>100</v>
      </c>
      <c r="C113" t="s">
        <v>31</v>
      </c>
      <c r="D113">
        <v>45387.99</v>
      </c>
      <c r="E113">
        <v>3</v>
      </c>
      <c r="F113">
        <v>136163.97</v>
      </c>
      <c r="G113" s="1">
        <v>45649</v>
      </c>
      <c r="H113" t="s">
        <v>64</v>
      </c>
      <c r="I113">
        <v>4.8</v>
      </c>
      <c r="J113" t="s">
        <v>26</v>
      </c>
      <c r="K113">
        <v>2024</v>
      </c>
      <c r="L113">
        <v>27232.794000000002</v>
      </c>
      <c r="M113">
        <v>16</v>
      </c>
      <c r="N113" t="s">
        <v>27</v>
      </c>
      <c r="O113" t="s">
        <v>68</v>
      </c>
    </row>
    <row r="114" spans="1:15" x14ac:dyDescent="0.3">
      <c r="A114" t="s">
        <v>182</v>
      </c>
      <c r="B114" t="s">
        <v>145</v>
      </c>
      <c r="C114" t="s">
        <v>40</v>
      </c>
      <c r="D114">
        <v>39263.94</v>
      </c>
      <c r="E114">
        <v>5</v>
      </c>
      <c r="F114">
        <v>196319.7</v>
      </c>
      <c r="G114" s="1">
        <v>45509</v>
      </c>
      <c r="H114" t="s">
        <v>44</v>
      </c>
      <c r="I114">
        <v>3.8</v>
      </c>
      <c r="J114" t="s">
        <v>88</v>
      </c>
      <c r="K114">
        <v>2024</v>
      </c>
      <c r="L114">
        <v>39263.94</v>
      </c>
      <c r="M114">
        <v>12</v>
      </c>
      <c r="N114" t="s">
        <v>41</v>
      </c>
      <c r="O114" t="s">
        <v>28</v>
      </c>
    </row>
    <row r="115" spans="1:15" x14ac:dyDescent="0.3">
      <c r="A115" t="s">
        <v>183</v>
      </c>
      <c r="B115" t="s">
        <v>16</v>
      </c>
      <c r="C115" t="s">
        <v>17</v>
      </c>
      <c r="D115">
        <v>19787.61</v>
      </c>
      <c r="E115">
        <v>1</v>
      </c>
      <c r="F115">
        <v>19787.61</v>
      </c>
      <c r="G115" s="1">
        <v>45572</v>
      </c>
      <c r="H115" t="s">
        <v>18</v>
      </c>
      <c r="I115">
        <v>3.9</v>
      </c>
      <c r="J115" t="s">
        <v>45</v>
      </c>
      <c r="K115">
        <v>2024</v>
      </c>
      <c r="L115">
        <v>3957.5220000000004</v>
      </c>
      <c r="M115">
        <v>28</v>
      </c>
      <c r="N115" t="s">
        <v>20</v>
      </c>
      <c r="O115" t="s">
        <v>68</v>
      </c>
    </row>
    <row r="116" spans="1:15" x14ac:dyDescent="0.3">
      <c r="A116" t="s">
        <v>184</v>
      </c>
      <c r="B116" t="s">
        <v>52</v>
      </c>
      <c r="C116" t="s">
        <v>24</v>
      </c>
      <c r="D116">
        <v>26219.99</v>
      </c>
      <c r="E116">
        <v>4</v>
      </c>
      <c r="F116">
        <v>104879.96</v>
      </c>
      <c r="G116" s="1">
        <v>45365</v>
      </c>
      <c r="H116" t="s">
        <v>18</v>
      </c>
      <c r="I116">
        <v>2.1</v>
      </c>
      <c r="J116" t="s">
        <v>56</v>
      </c>
      <c r="K116">
        <v>2024</v>
      </c>
      <c r="L116">
        <v>20975.992000000002</v>
      </c>
      <c r="M116">
        <v>15</v>
      </c>
      <c r="N116" t="s">
        <v>27</v>
      </c>
      <c r="O116" t="s">
        <v>21</v>
      </c>
    </row>
    <row r="117" spans="1:15" x14ac:dyDescent="0.3">
      <c r="A117" t="s">
        <v>185</v>
      </c>
      <c r="B117" t="s">
        <v>61</v>
      </c>
      <c r="C117" t="s">
        <v>31</v>
      </c>
      <c r="D117">
        <v>14286.02</v>
      </c>
      <c r="E117">
        <v>4</v>
      </c>
      <c r="F117">
        <v>57144.08</v>
      </c>
      <c r="G117" s="1">
        <v>45437</v>
      </c>
      <c r="H117" t="s">
        <v>25</v>
      </c>
      <c r="I117">
        <v>3.7</v>
      </c>
      <c r="J117" t="s">
        <v>32</v>
      </c>
      <c r="K117">
        <v>2024</v>
      </c>
      <c r="L117">
        <v>11428.816000000001</v>
      </c>
      <c r="M117">
        <v>23</v>
      </c>
      <c r="N117" t="s">
        <v>27</v>
      </c>
      <c r="O117" t="s">
        <v>28</v>
      </c>
    </row>
    <row r="118" spans="1:15" x14ac:dyDescent="0.3">
      <c r="A118" t="s">
        <v>186</v>
      </c>
      <c r="B118" t="s">
        <v>78</v>
      </c>
      <c r="C118" t="s">
        <v>24</v>
      </c>
      <c r="D118">
        <v>13019.07</v>
      </c>
      <c r="E118">
        <v>3</v>
      </c>
      <c r="F118">
        <v>39057.21</v>
      </c>
      <c r="G118" s="1">
        <v>45690</v>
      </c>
      <c r="H118" t="s">
        <v>71</v>
      </c>
      <c r="I118">
        <v>2.8</v>
      </c>
      <c r="J118" t="s">
        <v>59</v>
      </c>
      <c r="K118">
        <v>2025</v>
      </c>
      <c r="L118">
        <v>7811.442</v>
      </c>
      <c r="M118">
        <v>21</v>
      </c>
      <c r="N118" t="s">
        <v>41</v>
      </c>
      <c r="O118" t="s">
        <v>33</v>
      </c>
    </row>
    <row r="119" spans="1:15" x14ac:dyDescent="0.3">
      <c r="A119" t="s">
        <v>187</v>
      </c>
      <c r="B119" t="s">
        <v>30</v>
      </c>
      <c r="C119" t="s">
        <v>31</v>
      </c>
      <c r="D119">
        <v>43488.42</v>
      </c>
      <c r="E119">
        <v>3</v>
      </c>
      <c r="F119">
        <v>130465.26</v>
      </c>
      <c r="G119" s="1">
        <v>45491</v>
      </c>
      <c r="H119" t="s">
        <v>80</v>
      </c>
      <c r="I119">
        <v>3</v>
      </c>
      <c r="J119" t="s">
        <v>48</v>
      </c>
      <c r="K119">
        <v>2024</v>
      </c>
      <c r="L119">
        <v>26093.052</v>
      </c>
      <c r="M119">
        <v>12</v>
      </c>
      <c r="N119" t="s">
        <v>27</v>
      </c>
      <c r="O119" t="s">
        <v>28</v>
      </c>
    </row>
    <row r="120" spans="1:15" x14ac:dyDescent="0.3">
      <c r="A120" t="s">
        <v>188</v>
      </c>
      <c r="B120" t="s">
        <v>74</v>
      </c>
      <c r="C120" t="s">
        <v>17</v>
      </c>
      <c r="D120">
        <v>30903.49</v>
      </c>
      <c r="E120">
        <v>4</v>
      </c>
      <c r="F120">
        <v>123613.96</v>
      </c>
      <c r="G120" s="1">
        <v>45545</v>
      </c>
      <c r="H120" t="s">
        <v>80</v>
      </c>
      <c r="I120">
        <v>1.7</v>
      </c>
      <c r="J120" t="s">
        <v>19</v>
      </c>
      <c r="K120">
        <v>2024</v>
      </c>
      <c r="L120">
        <v>24722.792000000001</v>
      </c>
      <c r="M120">
        <v>7</v>
      </c>
      <c r="N120" t="s">
        <v>41</v>
      </c>
      <c r="O120" t="s">
        <v>68</v>
      </c>
    </row>
    <row r="121" spans="1:15" x14ac:dyDescent="0.3">
      <c r="A121" t="s">
        <v>189</v>
      </c>
      <c r="B121" t="s">
        <v>50</v>
      </c>
      <c r="C121" t="s">
        <v>40</v>
      </c>
      <c r="D121">
        <v>37405.46</v>
      </c>
      <c r="E121">
        <v>4</v>
      </c>
      <c r="F121">
        <v>149621.84</v>
      </c>
      <c r="G121" s="1">
        <v>45672</v>
      </c>
      <c r="H121" t="s">
        <v>44</v>
      </c>
      <c r="I121">
        <v>1.3</v>
      </c>
      <c r="J121" t="s">
        <v>53</v>
      </c>
      <c r="K121">
        <v>2025</v>
      </c>
      <c r="L121">
        <v>29924.368000000002</v>
      </c>
      <c r="M121">
        <v>7</v>
      </c>
      <c r="N121" t="s">
        <v>20</v>
      </c>
      <c r="O121" t="s">
        <v>33</v>
      </c>
    </row>
    <row r="122" spans="1:15" x14ac:dyDescent="0.3">
      <c r="A122" t="s">
        <v>190</v>
      </c>
      <c r="B122" t="s">
        <v>55</v>
      </c>
      <c r="C122" t="s">
        <v>36</v>
      </c>
      <c r="D122">
        <v>30593.67</v>
      </c>
      <c r="E122">
        <v>4</v>
      </c>
      <c r="F122">
        <v>122374.68</v>
      </c>
      <c r="G122" s="1">
        <v>45430</v>
      </c>
      <c r="H122" t="s">
        <v>64</v>
      </c>
      <c r="I122">
        <v>1.5</v>
      </c>
      <c r="J122" t="s">
        <v>32</v>
      </c>
      <c r="K122">
        <v>2024</v>
      </c>
      <c r="L122">
        <v>24474.936000000002</v>
      </c>
      <c r="M122">
        <v>5</v>
      </c>
      <c r="N122" t="s">
        <v>41</v>
      </c>
      <c r="O122" t="s">
        <v>28</v>
      </c>
    </row>
    <row r="123" spans="1:15" x14ac:dyDescent="0.3">
      <c r="A123" t="s">
        <v>191</v>
      </c>
      <c r="B123" t="s">
        <v>107</v>
      </c>
      <c r="C123" t="s">
        <v>36</v>
      </c>
      <c r="D123">
        <v>28688.25</v>
      </c>
      <c r="E123">
        <v>3</v>
      </c>
      <c r="F123">
        <v>86064.75</v>
      </c>
      <c r="G123" s="1">
        <v>45439</v>
      </c>
      <c r="H123" t="s">
        <v>25</v>
      </c>
      <c r="I123">
        <v>2.4</v>
      </c>
      <c r="J123" t="s">
        <v>32</v>
      </c>
      <c r="K123">
        <v>2024</v>
      </c>
      <c r="L123">
        <v>17212.95</v>
      </c>
      <c r="M123">
        <v>9</v>
      </c>
      <c r="N123" t="s">
        <v>41</v>
      </c>
      <c r="O123" t="s">
        <v>21</v>
      </c>
    </row>
    <row r="124" spans="1:15" x14ac:dyDescent="0.3">
      <c r="A124" t="s">
        <v>192</v>
      </c>
      <c r="B124" t="s">
        <v>94</v>
      </c>
      <c r="C124" t="s">
        <v>31</v>
      </c>
      <c r="D124">
        <v>12158.96</v>
      </c>
      <c r="E124">
        <v>3</v>
      </c>
      <c r="F124">
        <v>36476.879999999997</v>
      </c>
      <c r="G124" s="1">
        <v>45372</v>
      </c>
      <c r="H124" t="s">
        <v>80</v>
      </c>
      <c r="I124">
        <v>1.1000000000000001</v>
      </c>
      <c r="J124" t="s">
        <v>56</v>
      </c>
      <c r="K124">
        <v>2024</v>
      </c>
      <c r="L124">
        <v>7295.3760000000002</v>
      </c>
      <c r="M124">
        <v>14</v>
      </c>
      <c r="N124" t="s">
        <v>41</v>
      </c>
      <c r="O124" t="s">
        <v>21</v>
      </c>
    </row>
    <row r="125" spans="1:15" x14ac:dyDescent="0.3">
      <c r="A125" t="s">
        <v>193</v>
      </c>
      <c r="B125" t="s">
        <v>107</v>
      </c>
      <c r="C125" t="s">
        <v>36</v>
      </c>
      <c r="D125">
        <v>24500.05</v>
      </c>
      <c r="E125">
        <v>3</v>
      </c>
      <c r="F125">
        <v>73500.149999999994</v>
      </c>
      <c r="G125" s="1">
        <v>45403</v>
      </c>
      <c r="H125" t="s">
        <v>71</v>
      </c>
      <c r="I125">
        <v>4.4000000000000004</v>
      </c>
      <c r="J125" t="s">
        <v>62</v>
      </c>
      <c r="K125">
        <v>2024</v>
      </c>
      <c r="L125">
        <v>14700.029999999999</v>
      </c>
      <c r="M125">
        <v>11</v>
      </c>
      <c r="N125" t="s">
        <v>41</v>
      </c>
      <c r="O125" t="s">
        <v>28</v>
      </c>
    </row>
    <row r="126" spans="1:15" x14ac:dyDescent="0.3">
      <c r="A126" t="s">
        <v>194</v>
      </c>
      <c r="B126" t="s">
        <v>50</v>
      </c>
      <c r="C126" t="s">
        <v>40</v>
      </c>
      <c r="D126">
        <v>44412.88</v>
      </c>
      <c r="E126">
        <v>3</v>
      </c>
      <c r="F126">
        <v>133238.64000000001</v>
      </c>
      <c r="G126" s="1">
        <v>45548</v>
      </c>
      <c r="H126" t="s">
        <v>64</v>
      </c>
      <c r="I126">
        <v>1.4</v>
      </c>
      <c r="J126" t="s">
        <v>19</v>
      </c>
      <c r="K126">
        <v>2024</v>
      </c>
      <c r="L126">
        <v>26647.728000000003</v>
      </c>
      <c r="M126">
        <v>30</v>
      </c>
      <c r="N126" t="s">
        <v>20</v>
      </c>
      <c r="O126" t="s">
        <v>21</v>
      </c>
    </row>
    <row r="127" spans="1:15" x14ac:dyDescent="0.3">
      <c r="A127" t="s">
        <v>195</v>
      </c>
      <c r="B127" t="s">
        <v>66</v>
      </c>
      <c r="C127" t="s">
        <v>36</v>
      </c>
      <c r="D127">
        <v>26615.97</v>
      </c>
      <c r="E127">
        <v>3</v>
      </c>
      <c r="F127">
        <v>79847.91</v>
      </c>
      <c r="G127" s="1">
        <v>45530</v>
      </c>
      <c r="H127" t="s">
        <v>80</v>
      </c>
      <c r="I127">
        <v>3.6</v>
      </c>
      <c r="J127" t="s">
        <v>88</v>
      </c>
      <c r="K127">
        <v>2024</v>
      </c>
      <c r="L127">
        <v>15969.582000000002</v>
      </c>
      <c r="M127">
        <v>13</v>
      </c>
      <c r="N127" t="s">
        <v>20</v>
      </c>
      <c r="O127" t="s">
        <v>21</v>
      </c>
    </row>
    <row r="128" spans="1:15" x14ac:dyDescent="0.3">
      <c r="A128" t="s">
        <v>196</v>
      </c>
      <c r="B128" t="s">
        <v>52</v>
      </c>
      <c r="C128" t="s">
        <v>24</v>
      </c>
      <c r="D128">
        <v>3979.4</v>
      </c>
      <c r="E128">
        <v>1</v>
      </c>
      <c r="F128">
        <v>3979.4</v>
      </c>
      <c r="G128" s="1">
        <v>45567</v>
      </c>
      <c r="H128" t="s">
        <v>18</v>
      </c>
      <c r="I128">
        <v>4.5999999999999996</v>
      </c>
      <c r="J128" t="s">
        <v>45</v>
      </c>
      <c r="K128">
        <v>2024</v>
      </c>
      <c r="L128">
        <v>795.88000000000011</v>
      </c>
      <c r="M128">
        <v>11</v>
      </c>
      <c r="N128" t="s">
        <v>27</v>
      </c>
      <c r="O128" t="s">
        <v>21</v>
      </c>
    </row>
    <row r="129" spans="1:15" x14ac:dyDescent="0.3">
      <c r="A129" t="s">
        <v>197</v>
      </c>
      <c r="B129" t="s">
        <v>58</v>
      </c>
      <c r="C129" t="s">
        <v>31</v>
      </c>
      <c r="D129">
        <v>49687.49</v>
      </c>
      <c r="E129">
        <v>2</v>
      </c>
      <c r="F129">
        <v>99374.98</v>
      </c>
      <c r="G129" s="1">
        <v>45414</v>
      </c>
      <c r="H129" t="s">
        <v>25</v>
      </c>
      <c r="I129">
        <v>2.5</v>
      </c>
      <c r="J129" t="s">
        <v>32</v>
      </c>
      <c r="K129">
        <v>2024</v>
      </c>
      <c r="L129">
        <v>19874.995999999999</v>
      </c>
      <c r="M129">
        <v>13</v>
      </c>
      <c r="N129" t="s">
        <v>20</v>
      </c>
      <c r="O129" t="s">
        <v>33</v>
      </c>
    </row>
    <row r="130" spans="1:15" x14ac:dyDescent="0.3">
      <c r="A130" t="s">
        <v>198</v>
      </c>
      <c r="B130" t="s">
        <v>96</v>
      </c>
      <c r="C130" t="s">
        <v>36</v>
      </c>
      <c r="D130">
        <v>11289.42</v>
      </c>
      <c r="E130">
        <v>3</v>
      </c>
      <c r="F130">
        <v>33868.26</v>
      </c>
      <c r="G130" s="1">
        <v>45514</v>
      </c>
      <c r="H130" t="s">
        <v>25</v>
      </c>
      <c r="I130">
        <v>2.2999999999999998</v>
      </c>
      <c r="J130" t="s">
        <v>88</v>
      </c>
      <c r="K130">
        <v>2024</v>
      </c>
      <c r="L130">
        <v>6773.652000000001</v>
      </c>
      <c r="M130">
        <v>12</v>
      </c>
      <c r="N130" t="s">
        <v>20</v>
      </c>
      <c r="O130" t="s">
        <v>21</v>
      </c>
    </row>
    <row r="131" spans="1:15" x14ac:dyDescent="0.3">
      <c r="A131" t="s">
        <v>199</v>
      </c>
      <c r="B131" t="s">
        <v>176</v>
      </c>
      <c r="C131" t="s">
        <v>24</v>
      </c>
      <c r="D131">
        <v>27309.73</v>
      </c>
      <c r="E131">
        <v>3</v>
      </c>
      <c r="F131">
        <v>81929.19</v>
      </c>
      <c r="G131" s="1">
        <v>45460</v>
      </c>
      <c r="H131" t="s">
        <v>80</v>
      </c>
      <c r="I131">
        <v>4</v>
      </c>
      <c r="J131" t="s">
        <v>67</v>
      </c>
      <c r="K131">
        <v>2024</v>
      </c>
      <c r="L131">
        <v>16385.838</v>
      </c>
      <c r="M131">
        <v>16</v>
      </c>
      <c r="N131" t="s">
        <v>27</v>
      </c>
      <c r="O131" t="s">
        <v>21</v>
      </c>
    </row>
    <row r="132" spans="1:15" x14ac:dyDescent="0.3">
      <c r="A132" t="s">
        <v>200</v>
      </c>
      <c r="B132" t="s">
        <v>96</v>
      </c>
      <c r="C132" t="s">
        <v>36</v>
      </c>
      <c r="D132">
        <v>30374.400000000001</v>
      </c>
      <c r="E132">
        <v>5</v>
      </c>
      <c r="F132">
        <v>151872</v>
      </c>
      <c r="G132" s="1">
        <v>45668</v>
      </c>
      <c r="H132" t="s">
        <v>80</v>
      </c>
      <c r="I132">
        <v>1.8</v>
      </c>
      <c r="J132" t="s">
        <v>53</v>
      </c>
      <c r="K132">
        <v>2025</v>
      </c>
      <c r="L132">
        <v>30374.400000000001</v>
      </c>
      <c r="M132">
        <v>6</v>
      </c>
      <c r="N132" t="s">
        <v>20</v>
      </c>
      <c r="O132" t="s">
        <v>21</v>
      </c>
    </row>
    <row r="133" spans="1:15" x14ac:dyDescent="0.3">
      <c r="A133" t="s">
        <v>201</v>
      </c>
      <c r="B133" t="s">
        <v>100</v>
      </c>
      <c r="C133" t="s">
        <v>31</v>
      </c>
      <c r="D133">
        <v>15486.41</v>
      </c>
      <c r="E133">
        <v>4</v>
      </c>
      <c r="F133">
        <v>61945.64</v>
      </c>
      <c r="G133" s="1">
        <v>45402</v>
      </c>
      <c r="H133" t="s">
        <v>64</v>
      </c>
      <c r="I133">
        <v>5</v>
      </c>
      <c r="J133" t="s">
        <v>62</v>
      </c>
      <c r="K133">
        <v>2024</v>
      </c>
      <c r="L133">
        <v>12389.128000000001</v>
      </c>
      <c r="M133">
        <v>5</v>
      </c>
      <c r="N133" t="s">
        <v>41</v>
      </c>
      <c r="O133" t="s">
        <v>33</v>
      </c>
    </row>
    <row r="134" spans="1:15" x14ac:dyDescent="0.3">
      <c r="A134" t="s">
        <v>202</v>
      </c>
      <c r="B134" t="s">
        <v>35</v>
      </c>
      <c r="C134" t="s">
        <v>36</v>
      </c>
      <c r="D134">
        <v>33698.339999999997</v>
      </c>
      <c r="E134">
        <v>1</v>
      </c>
      <c r="F134">
        <v>33698.339999999997</v>
      </c>
      <c r="G134" s="1">
        <v>45514</v>
      </c>
      <c r="H134" t="s">
        <v>18</v>
      </c>
      <c r="I134">
        <v>4.2</v>
      </c>
      <c r="J134" t="s">
        <v>88</v>
      </c>
      <c r="K134">
        <v>2024</v>
      </c>
      <c r="L134">
        <v>6739.6679999999997</v>
      </c>
      <c r="M134">
        <v>20</v>
      </c>
      <c r="N134" t="s">
        <v>41</v>
      </c>
      <c r="O134" t="s">
        <v>28</v>
      </c>
    </row>
    <row r="135" spans="1:15" x14ac:dyDescent="0.3">
      <c r="A135" t="s">
        <v>203</v>
      </c>
      <c r="B135" t="s">
        <v>176</v>
      </c>
      <c r="C135" t="s">
        <v>24</v>
      </c>
      <c r="D135">
        <v>42987.64</v>
      </c>
      <c r="E135">
        <v>5</v>
      </c>
      <c r="F135">
        <v>214938.2</v>
      </c>
      <c r="G135" s="1">
        <v>45381</v>
      </c>
      <c r="H135" t="s">
        <v>44</v>
      </c>
      <c r="I135">
        <v>3.7</v>
      </c>
      <c r="J135" t="s">
        <v>56</v>
      </c>
      <c r="K135">
        <v>2024</v>
      </c>
      <c r="L135">
        <v>42987.640000000007</v>
      </c>
      <c r="M135">
        <v>27</v>
      </c>
      <c r="N135" t="s">
        <v>27</v>
      </c>
      <c r="O135" t="s">
        <v>68</v>
      </c>
    </row>
    <row r="136" spans="1:15" x14ac:dyDescent="0.3">
      <c r="A136" t="s">
        <v>204</v>
      </c>
      <c r="B136" t="s">
        <v>35</v>
      </c>
      <c r="C136" t="s">
        <v>36</v>
      </c>
      <c r="D136">
        <v>1104.25</v>
      </c>
      <c r="E136">
        <v>5</v>
      </c>
      <c r="F136">
        <v>5521.25</v>
      </c>
      <c r="G136" s="1">
        <v>45624</v>
      </c>
      <c r="H136" t="s">
        <v>25</v>
      </c>
      <c r="I136">
        <v>3.8</v>
      </c>
      <c r="J136" t="s">
        <v>37</v>
      </c>
      <c r="K136">
        <v>2024</v>
      </c>
      <c r="L136">
        <v>1104.25</v>
      </c>
      <c r="M136">
        <v>27</v>
      </c>
      <c r="N136" t="s">
        <v>27</v>
      </c>
      <c r="O136" t="s">
        <v>21</v>
      </c>
    </row>
    <row r="137" spans="1:15" x14ac:dyDescent="0.3">
      <c r="A137" t="s">
        <v>205</v>
      </c>
      <c r="B137" t="s">
        <v>52</v>
      </c>
      <c r="C137" t="s">
        <v>24</v>
      </c>
      <c r="D137">
        <v>14043.16</v>
      </c>
      <c r="E137">
        <v>4</v>
      </c>
      <c r="F137">
        <v>56172.639999999999</v>
      </c>
      <c r="G137" s="1">
        <v>45444</v>
      </c>
      <c r="H137" t="s">
        <v>44</v>
      </c>
      <c r="I137">
        <v>3.1</v>
      </c>
      <c r="J137" t="s">
        <v>67</v>
      </c>
      <c r="K137">
        <v>2024</v>
      </c>
      <c r="L137">
        <v>11234.528</v>
      </c>
      <c r="M137">
        <v>28</v>
      </c>
      <c r="N137" t="s">
        <v>27</v>
      </c>
      <c r="O137" t="s">
        <v>28</v>
      </c>
    </row>
    <row r="138" spans="1:15" x14ac:dyDescent="0.3">
      <c r="A138" t="s">
        <v>206</v>
      </c>
      <c r="B138" t="s">
        <v>74</v>
      </c>
      <c r="C138" t="s">
        <v>17</v>
      </c>
      <c r="D138">
        <v>24032.880000000001</v>
      </c>
      <c r="E138">
        <v>1</v>
      </c>
      <c r="F138">
        <v>24032.880000000001</v>
      </c>
      <c r="G138" s="1">
        <v>45593</v>
      </c>
      <c r="H138" t="s">
        <v>44</v>
      </c>
      <c r="I138">
        <v>3.8</v>
      </c>
      <c r="J138" t="s">
        <v>45</v>
      </c>
      <c r="K138">
        <v>2024</v>
      </c>
      <c r="L138">
        <v>4806.576</v>
      </c>
      <c r="M138">
        <v>9</v>
      </c>
      <c r="N138" t="s">
        <v>41</v>
      </c>
      <c r="O138" t="s">
        <v>21</v>
      </c>
    </row>
    <row r="139" spans="1:15" x14ac:dyDescent="0.3">
      <c r="A139" t="s">
        <v>207</v>
      </c>
      <c r="B139" t="s">
        <v>30</v>
      </c>
      <c r="C139" t="s">
        <v>31</v>
      </c>
      <c r="D139">
        <v>32283.58</v>
      </c>
      <c r="E139">
        <v>3</v>
      </c>
      <c r="F139">
        <v>96850.74</v>
      </c>
      <c r="G139" s="1">
        <v>45659</v>
      </c>
      <c r="H139" t="s">
        <v>64</v>
      </c>
      <c r="I139">
        <v>4.4000000000000004</v>
      </c>
      <c r="J139" t="s">
        <v>53</v>
      </c>
      <c r="K139">
        <v>2025</v>
      </c>
      <c r="L139">
        <v>19370.148000000001</v>
      </c>
      <c r="M139">
        <v>7</v>
      </c>
      <c r="N139" t="s">
        <v>20</v>
      </c>
      <c r="O139" t="s">
        <v>33</v>
      </c>
    </row>
    <row r="140" spans="1:15" x14ac:dyDescent="0.3">
      <c r="A140" t="s">
        <v>208</v>
      </c>
      <c r="B140" t="s">
        <v>61</v>
      </c>
      <c r="C140" t="s">
        <v>31</v>
      </c>
      <c r="D140">
        <v>3848.54</v>
      </c>
      <c r="E140">
        <v>1</v>
      </c>
      <c r="F140">
        <v>3848.54</v>
      </c>
      <c r="G140" s="1">
        <v>45691</v>
      </c>
      <c r="H140" t="s">
        <v>80</v>
      </c>
      <c r="I140">
        <v>4.5999999999999996</v>
      </c>
      <c r="J140" t="s">
        <v>59</v>
      </c>
      <c r="K140">
        <v>2025</v>
      </c>
      <c r="L140">
        <v>769.70800000000008</v>
      </c>
      <c r="M140">
        <v>16</v>
      </c>
      <c r="N140" t="s">
        <v>41</v>
      </c>
      <c r="O140" t="s">
        <v>28</v>
      </c>
    </row>
    <row r="141" spans="1:15" x14ac:dyDescent="0.3">
      <c r="A141" t="s">
        <v>209</v>
      </c>
      <c r="B141" t="s">
        <v>39</v>
      </c>
      <c r="C141" t="s">
        <v>40</v>
      </c>
      <c r="D141">
        <v>48175.48</v>
      </c>
      <c r="E141">
        <v>1</v>
      </c>
      <c r="F141">
        <v>48175.48</v>
      </c>
      <c r="G141" s="1">
        <v>45483</v>
      </c>
      <c r="H141" t="s">
        <v>64</v>
      </c>
      <c r="I141">
        <v>1.5</v>
      </c>
      <c r="J141" t="s">
        <v>48</v>
      </c>
      <c r="K141">
        <v>2024</v>
      </c>
      <c r="L141">
        <v>9635.0960000000014</v>
      </c>
      <c r="M141">
        <v>12</v>
      </c>
      <c r="N141" t="s">
        <v>27</v>
      </c>
      <c r="O141" t="s">
        <v>33</v>
      </c>
    </row>
    <row r="142" spans="1:15" x14ac:dyDescent="0.3">
      <c r="A142" t="s">
        <v>210</v>
      </c>
      <c r="B142" t="s">
        <v>55</v>
      </c>
      <c r="C142" t="s">
        <v>36</v>
      </c>
      <c r="D142">
        <v>2273.0100000000002</v>
      </c>
      <c r="E142">
        <v>2</v>
      </c>
      <c r="F142">
        <v>4546.0200000000004</v>
      </c>
      <c r="G142" s="1">
        <v>45658</v>
      </c>
      <c r="H142" t="s">
        <v>25</v>
      </c>
      <c r="I142">
        <v>4.3</v>
      </c>
      <c r="J142" t="s">
        <v>53</v>
      </c>
      <c r="K142">
        <v>2025</v>
      </c>
      <c r="L142">
        <v>909.20400000000018</v>
      </c>
      <c r="M142">
        <v>26</v>
      </c>
      <c r="N142" t="s">
        <v>20</v>
      </c>
      <c r="O142" t="s">
        <v>21</v>
      </c>
    </row>
    <row r="143" spans="1:15" x14ac:dyDescent="0.3">
      <c r="A143" t="s">
        <v>211</v>
      </c>
      <c r="B143" t="s">
        <v>52</v>
      </c>
      <c r="C143" t="s">
        <v>24</v>
      </c>
      <c r="D143">
        <v>48346.41</v>
      </c>
      <c r="E143">
        <v>3</v>
      </c>
      <c r="F143">
        <v>145039.23000000001</v>
      </c>
      <c r="G143" s="1">
        <v>45684</v>
      </c>
      <c r="H143" t="s">
        <v>18</v>
      </c>
      <c r="I143">
        <v>1.4</v>
      </c>
      <c r="J143" t="s">
        <v>53</v>
      </c>
      <c r="K143">
        <v>2025</v>
      </c>
      <c r="L143">
        <v>29007.846000000005</v>
      </c>
      <c r="M143">
        <v>7</v>
      </c>
      <c r="N143" t="s">
        <v>20</v>
      </c>
      <c r="O143" t="s">
        <v>21</v>
      </c>
    </row>
    <row r="144" spans="1:15" x14ac:dyDescent="0.3">
      <c r="A144" t="s">
        <v>212</v>
      </c>
      <c r="B144" t="s">
        <v>50</v>
      </c>
      <c r="C144" t="s">
        <v>40</v>
      </c>
      <c r="D144">
        <v>8383.86</v>
      </c>
      <c r="E144">
        <v>2</v>
      </c>
      <c r="F144">
        <v>16767.72</v>
      </c>
      <c r="G144" s="1">
        <v>45554</v>
      </c>
      <c r="H144" t="s">
        <v>44</v>
      </c>
      <c r="I144">
        <v>3.1</v>
      </c>
      <c r="J144" t="s">
        <v>19</v>
      </c>
      <c r="K144">
        <v>2024</v>
      </c>
      <c r="L144">
        <v>3353.5440000000003</v>
      </c>
      <c r="M144">
        <v>5</v>
      </c>
      <c r="N144" t="s">
        <v>41</v>
      </c>
      <c r="O144" t="s">
        <v>33</v>
      </c>
    </row>
    <row r="145" spans="1:15" x14ac:dyDescent="0.3">
      <c r="A145" t="s">
        <v>213</v>
      </c>
      <c r="B145" t="s">
        <v>100</v>
      </c>
      <c r="C145" t="s">
        <v>31</v>
      </c>
      <c r="D145">
        <v>15344.02</v>
      </c>
      <c r="E145">
        <v>1</v>
      </c>
      <c r="F145">
        <v>15344.02</v>
      </c>
      <c r="G145" s="1">
        <v>45428</v>
      </c>
      <c r="H145" t="s">
        <v>25</v>
      </c>
      <c r="I145">
        <v>4</v>
      </c>
      <c r="J145" t="s">
        <v>32</v>
      </c>
      <c r="K145">
        <v>2024</v>
      </c>
      <c r="L145">
        <v>3068.8040000000001</v>
      </c>
      <c r="M145">
        <v>7</v>
      </c>
      <c r="N145" t="s">
        <v>27</v>
      </c>
      <c r="O145" t="s">
        <v>68</v>
      </c>
    </row>
    <row r="146" spans="1:15" x14ac:dyDescent="0.3">
      <c r="A146" t="s">
        <v>214</v>
      </c>
      <c r="B146" t="s">
        <v>66</v>
      </c>
      <c r="C146" t="s">
        <v>36</v>
      </c>
      <c r="D146">
        <v>49142.57</v>
      </c>
      <c r="E146">
        <v>4</v>
      </c>
      <c r="F146">
        <v>196570.28</v>
      </c>
      <c r="G146" s="1">
        <v>45355</v>
      </c>
      <c r="H146" t="s">
        <v>25</v>
      </c>
      <c r="I146">
        <v>4.9000000000000004</v>
      </c>
      <c r="J146" t="s">
        <v>56</v>
      </c>
      <c r="K146">
        <v>2024</v>
      </c>
      <c r="L146">
        <v>39314.056000000004</v>
      </c>
      <c r="M146">
        <v>9</v>
      </c>
      <c r="N146" t="s">
        <v>41</v>
      </c>
      <c r="O146" t="s">
        <v>33</v>
      </c>
    </row>
    <row r="147" spans="1:15" x14ac:dyDescent="0.3">
      <c r="A147" t="s">
        <v>215</v>
      </c>
      <c r="B147" t="s">
        <v>125</v>
      </c>
      <c r="C147" t="s">
        <v>17</v>
      </c>
      <c r="D147">
        <v>45182.27</v>
      </c>
      <c r="E147">
        <v>5</v>
      </c>
      <c r="F147">
        <v>225911.35</v>
      </c>
      <c r="G147" s="1">
        <v>45381</v>
      </c>
      <c r="H147" t="s">
        <v>18</v>
      </c>
      <c r="I147">
        <v>3.1</v>
      </c>
      <c r="J147" t="s">
        <v>56</v>
      </c>
      <c r="K147">
        <v>2024</v>
      </c>
      <c r="L147">
        <v>45182.270000000004</v>
      </c>
      <c r="M147">
        <v>19</v>
      </c>
      <c r="N147" t="s">
        <v>20</v>
      </c>
      <c r="O147" t="s">
        <v>21</v>
      </c>
    </row>
    <row r="148" spans="1:15" x14ac:dyDescent="0.3">
      <c r="A148" t="s">
        <v>216</v>
      </c>
      <c r="B148" t="s">
        <v>52</v>
      </c>
      <c r="C148" t="s">
        <v>24</v>
      </c>
      <c r="D148">
        <v>18309.060000000001</v>
      </c>
      <c r="E148">
        <v>2</v>
      </c>
      <c r="F148">
        <v>36618.120000000003</v>
      </c>
      <c r="G148" s="1">
        <v>45423</v>
      </c>
      <c r="H148" t="s">
        <v>80</v>
      </c>
      <c r="I148">
        <v>1.9</v>
      </c>
      <c r="J148" t="s">
        <v>32</v>
      </c>
      <c r="K148">
        <v>2024</v>
      </c>
      <c r="L148">
        <v>7323.6240000000007</v>
      </c>
      <c r="M148">
        <v>18</v>
      </c>
      <c r="N148" t="s">
        <v>41</v>
      </c>
      <c r="O148" t="s">
        <v>33</v>
      </c>
    </row>
    <row r="149" spans="1:15" x14ac:dyDescent="0.3">
      <c r="A149" t="s">
        <v>217</v>
      </c>
      <c r="B149" t="s">
        <v>35</v>
      </c>
      <c r="C149" t="s">
        <v>36</v>
      </c>
      <c r="D149">
        <v>33021.1</v>
      </c>
      <c r="E149">
        <v>4</v>
      </c>
      <c r="F149">
        <v>132084.4</v>
      </c>
      <c r="G149" s="1">
        <v>45525</v>
      </c>
      <c r="H149" t="s">
        <v>18</v>
      </c>
      <c r="I149">
        <v>4.4000000000000004</v>
      </c>
      <c r="J149" t="s">
        <v>88</v>
      </c>
      <c r="K149">
        <v>2024</v>
      </c>
      <c r="L149">
        <v>26416.880000000001</v>
      </c>
      <c r="M149">
        <v>7</v>
      </c>
      <c r="N149" t="s">
        <v>41</v>
      </c>
      <c r="O149" t="s">
        <v>68</v>
      </c>
    </row>
    <row r="150" spans="1:15" x14ac:dyDescent="0.3">
      <c r="A150" t="s">
        <v>218</v>
      </c>
      <c r="B150" t="s">
        <v>52</v>
      </c>
      <c r="C150" t="s">
        <v>24</v>
      </c>
      <c r="D150">
        <v>42814.17</v>
      </c>
      <c r="E150">
        <v>5</v>
      </c>
      <c r="F150">
        <v>214070.85</v>
      </c>
      <c r="G150" s="1">
        <v>45562</v>
      </c>
      <c r="H150" t="s">
        <v>18</v>
      </c>
      <c r="I150">
        <v>4.2</v>
      </c>
      <c r="J150" t="s">
        <v>19</v>
      </c>
      <c r="K150">
        <v>2024</v>
      </c>
      <c r="L150">
        <v>42814.170000000006</v>
      </c>
      <c r="M150">
        <v>5</v>
      </c>
      <c r="N150" t="s">
        <v>27</v>
      </c>
      <c r="O150" t="s">
        <v>33</v>
      </c>
    </row>
    <row r="151" spans="1:15" x14ac:dyDescent="0.3">
      <c r="A151" t="s">
        <v>219</v>
      </c>
      <c r="B151" t="s">
        <v>58</v>
      </c>
      <c r="C151" t="s">
        <v>31</v>
      </c>
      <c r="D151">
        <v>5293.87</v>
      </c>
      <c r="E151">
        <v>2</v>
      </c>
      <c r="F151">
        <v>10587.74</v>
      </c>
      <c r="G151" s="1">
        <v>45657</v>
      </c>
      <c r="H151" t="s">
        <v>18</v>
      </c>
      <c r="I151">
        <v>2.7</v>
      </c>
      <c r="J151" t="s">
        <v>26</v>
      </c>
      <c r="K151">
        <v>2024</v>
      </c>
      <c r="L151">
        <v>2117.5480000000002</v>
      </c>
      <c r="M151">
        <v>9</v>
      </c>
      <c r="N151" t="s">
        <v>27</v>
      </c>
      <c r="O151" t="s">
        <v>68</v>
      </c>
    </row>
    <row r="152" spans="1:15" x14ac:dyDescent="0.3">
      <c r="A152" t="s">
        <v>220</v>
      </c>
      <c r="B152" t="s">
        <v>118</v>
      </c>
      <c r="C152" t="s">
        <v>17</v>
      </c>
      <c r="D152">
        <v>16596.580000000002</v>
      </c>
      <c r="E152">
        <v>5</v>
      </c>
      <c r="F152">
        <v>82982.899999999994</v>
      </c>
      <c r="G152" s="1">
        <v>45690</v>
      </c>
      <c r="H152" t="s">
        <v>25</v>
      </c>
      <c r="I152">
        <v>2.1</v>
      </c>
      <c r="J152" t="s">
        <v>59</v>
      </c>
      <c r="K152">
        <v>2025</v>
      </c>
      <c r="L152">
        <v>16596.579999999998</v>
      </c>
      <c r="M152">
        <v>30</v>
      </c>
      <c r="N152" t="s">
        <v>20</v>
      </c>
      <c r="O152" t="s">
        <v>68</v>
      </c>
    </row>
    <row r="153" spans="1:15" x14ac:dyDescent="0.3">
      <c r="A153" t="s">
        <v>221</v>
      </c>
      <c r="B153" t="s">
        <v>47</v>
      </c>
      <c r="C153" t="s">
        <v>24</v>
      </c>
      <c r="D153">
        <v>48940.95</v>
      </c>
      <c r="E153">
        <v>1</v>
      </c>
      <c r="F153">
        <v>48940.95</v>
      </c>
      <c r="G153" s="1">
        <v>45342</v>
      </c>
      <c r="H153" t="s">
        <v>80</v>
      </c>
      <c r="I153">
        <v>1</v>
      </c>
      <c r="J153" t="s">
        <v>59</v>
      </c>
      <c r="K153">
        <v>2024</v>
      </c>
      <c r="L153">
        <v>9788.19</v>
      </c>
      <c r="M153">
        <v>27</v>
      </c>
      <c r="N153" t="s">
        <v>41</v>
      </c>
      <c r="O153" t="s">
        <v>33</v>
      </c>
    </row>
    <row r="154" spans="1:15" x14ac:dyDescent="0.3">
      <c r="A154" t="s">
        <v>222</v>
      </c>
      <c r="B154" t="s">
        <v>23</v>
      </c>
      <c r="C154" t="s">
        <v>24</v>
      </c>
      <c r="D154">
        <v>10059.450000000001</v>
      </c>
      <c r="E154">
        <v>5</v>
      </c>
      <c r="F154">
        <v>50297.25</v>
      </c>
      <c r="G154" s="1">
        <v>45374</v>
      </c>
      <c r="H154" t="s">
        <v>64</v>
      </c>
      <c r="I154">
        <v>4.3</v>
      </c>
      <c r="J154" t="s">
        <v>56</v>
      </c>
      <c r="K154">
        <v>2024</v>
      </c>
      <c r="L154">
        <v>10059.450000000001</v>
      </c>
      <c r="M154">
        <v>18</v>
      </c>
      <c r="N154" t="s">
        <v>41</v>
      </c>
      <c r="O154" t="s">
        <v>33</v>
      </c>
    </row>
    <row r="155" spans="1:15" x14ac:dyDescent="0.3">
      <c r="A155" t="s">
        <v>223</v>
      </c>
      <c r="B155" t="s">
        <v>58</v>
      </c>
      <c r="C155" t="s">
        <v>31</v>
      </c>
      <c r="D155">
        <v>4820.8</v>
      </c>
      <c r="E155">
        <v>1</v>
      </c>
      <c r="F155">
        <v>4820.8</v>
      </c>
      <c r="G155" s="1">
        <v>45636</v>
      </c>
      <c r="H155" t="s">
        <v>44</v>
      </c>
      <c r="I155">
        <v>4.3</v>
      </c>
      <c r="J155" t="s">
        <v>26</v>
      </c>
      <c r="K155">
        <v>2024</v>
      </c>
      <c r="L155">
        <v>964.16000000000008</v>
      </c>
      <c r="M155">
        <v>11</v>
      </c>
      <c r="N155" t="s">
        <v>41</v>
      </c>
      <c r="O155" t="s">
        <v>28</v>
      </c>
    </row>
    <row r="156" spans="1:15" x14ac:dyDescent="0.3">
      <c r="A156" t="s">
        <v>224</v>
      </c>
      <c r="B156" t="s">
        <v>74</v>
      </c>
      <c r="C156" t="s">
        <v>17</v>
      </c>
      <c r="D156">
        <v>12087.35</v>
      </c>
      <c r="E156">
        <v>4</v>
      </c>
      <c r="F156">
        <v>48349.4</v>
      </c>
      <c r="G156" s="1">
        <v>45617</v>
      </c>
      <c r="H156" t="s">
        <v>25</v>
      </c>
      <c r="I156">
        <v>2.6</v>
      </c>
      <c r="J156" t="s">
        <v>37</v>
      </c>
      <c r="K156">
        <v>2024</v>
      </c>
      <c r="L156">
        <v>9669.880000000001</v>
      </c>
      <c r="M156">
        <v>13</v>
      </c>
      <c r="N156" t="s">
        <v>20</v>
      </c>
      <c r="O156" t="s">
        <v>21</v>
      </c>
    </row>
    <row r="157" spans="1:15" x14ac:dyDescent="0.3">
      <c r="A157" t="s">
        <v>225</v>
      </c>
      <c r="B157" t="s">
        <v>30</v>
      </c>
      <c r="C157" t="s">
        <v>31</v>
      </c>
      <c r="D157">
        <v>43522.080000000002</v>
      </c>
      <c r="E157">
        <v>5</v>
      </c>
      <c r="F157">
        <v>217610.4</v>
      </c>
      <c r="G157" s="1">
        <v>45546</v>
      </c>
      <c r="H157" t="s">
        <v>64</v>
      </c>
      <c r="I157">
        <v>4.8</v>
      </c>
      <c r="J157" t="s">
        <v>19</v>
      </c>
      <c r="K157">
        <v>2024</v>
      </c>
      <c r="L157">
        <v>43522.080000000002</v>
      </c>
      <c r="M157">
        <v>19</v>
      </c>
      <c r="N157" t="s">
        <v>20</v>
      </c>
      <c r="O157" t="s">
        <v>68</v>
      </c>
    </row>
    <row r="158" spans="1:15" x14ac:dyDescent="0.3">
      <c r="A158" t="s">
        <v>226</v>
      </c>
      <c r="B158" t="s">
        <v>35</v>
      </c>
      <c r="C158" t="s">
        <v>36</v>
      </c>
      <c r="D158">
        <v>42409.26</v>
      </c>
      <c r="E158">
        <v>1</v>
      </c>
      <c r="F158">
        <v>42409.26</v>
      </c>
      <c r="G158" s="1">
        <v>45529</v>
      </c>
      <c r="H158" t="s">
        <v>18</v>
      </c>
      <c r="I158">
        <v>2</v>
      </c>
      <c r="J158" t="s">
        <v>88</v>
      </c>
      <c r="K158">
        <v>2024</v>
      </c>
      <c r="L158">
        <v>8481.8520000000008</v>
      </c>
      <c r="M158">
        <v>19</v>
      </c>
      <c r="N158" t="s">
        <v>27</v>
      </c>
      <c r="O158" t="s">
        <v>28</v>
      </c>
    </row>
    <row r="159" spans="1:15" x14ac:dyDescent="0.3">
      <c r="A159" t="s">
        <v>227</v>
      </c>
      <c r="B159" t="s">
        <v>118</v>
      </c>
      <c r="C159" t="s">
        <v>17</v>
      </c>
      <c r="D159">
        <v>29882.47</v>
      </c>
      <c r="E159">
        <v>5</v>
      </c>
      <c r="F159">
        <v>149412.35</v>
      </c>
      <c r="G159" s="1">
        <v>45465</v>
      </c>
      <c r="H159" t="s">
        <v>44</v>
      </c>
      <c r="I159">
        <v>4.7</v>
      </c>
      <c r="J159" t="s">
        <v>67</v>
      </c>
      <c r="K159">
        <v>2024</v>
      </c>
      <c r="L159">
        <v>29882.47</v>
      </c>
      <c r="M159">
        <v>30</v>
      </c>
      <c r="N159" t="s">
        <v>27</v>
      </c>
      <c r="O159" t="s">
        <v>33</v>
      </c>
    </row>
    <row r="160" spans="1:15" x14ac:dyDescent="0.3">
      <c r="A160" t="s">
        <v>228</v>
      </c>
      <c r="B160" t="s">
        <v>35</v>
      </c>
      <c r="C160" t="s">
        <v>36</v>
      </c>
      <c r="D160">
        <v>40233.279999999999</v>
      </c>
      <c r="E160">
        <v>5</v>
      </c>
      <c r="F160">
        <v>201166.4</v>
      </c>
      <c r="G160" s="1">
        <v>45662</v>
      </c>
      <c r="H160" t="s">
        <v>44</v>
      </c>
      <c r="I160">
        <v>1.9</v>
      </c>
      <c r="J160" t="s">
        <v>53</v>
      </c>
      <c r="K160">
        <v>2025</v>
      </c>
      <c r="L160">
        <v>40233.279999999999</v>
      </c>
      <c r="M160">
        <v>14</v>
      </c>
      <c r="N160" t="s">
        <v>27</v>
      </c>
      <c r="O160" t="s">
        <v>21</v>
      </c>
    </row>
    <row r="161" spans="1:15" x14ac:dyDescent="0.3">
      <c r="A161" t="s">
        <v>229</v>
      </c>
      <c r="B161" t="s">
        <v>145</v>
      </c>
      <c r="C161" t="s">
        <v>40</v>
      </c>
      <c r="D161">
        <v>15357.36</v>
      </c>
      <c r="E161">
        <v>4</v>
      </c>
      <c r="F161">
        <v>61429.440000000002</v>
      </c>
      <c r="G161" s="1">
        <v>45510</v>
      </c>
      <c r="H161" t="s">
        <v>18</v>
      </c>
      <c r="I161">
        <v>1.6</v>
      </c>
      <c r="J161" t="s">
        <v>88</v>
      </c>
      <c r="K161">
        <v>2024</v>
      </c>
      <c r="L161">
        <v>12285.888000000001</v>
      </c>
      <c r="M161">
        <v>17</v>
      </c>
      <c r="N161" t="s">
        <v>41</v>
      </c>
      <c r="O161" t="s">
        <v>28</v>
      </c>
    </row>
    <row r="162" spans="1:15" x14ac:dyDescent="0.3">
      <c r="A162" t="s">
        <v>230</v>
      </c>
      <c r="B162" t="s">
        <v>125</v>
      </c>
      <c r="C162" t="s">
        <v>17</v>
      </c>
      <c r="D162">
        <v>10565.57</v>
      </c>
      <c r="E162">
        <v>4</v>
      </c>
      <c r="F162">
        <v>42262.28</v>
      </c>
      <c r="G162" s="1">
        <v>45477</v>
      </c>
      <c r="H162" t="s">
        <v>80</v>
      </c>
      <c r="I162">
        <v>1.5</v>
      </c>
      <c r="J162" t="s">
        <v>48</v>
      </c>
      <c r="K162">
        <v>2024</v>
      </c>
      <c r="L162">
        <v>8452.4560000000001</v>
      </c>
      <c r="M162">
        <v>23</v>
      </c>
      <c r="N162" t="s">
        <v>41</v>
      </c>
      <c r="O162" t="s">
        <v>68</v>
      </c>
    </row>
    <row r="163" spans="1:15" x14ac:dyDescent="0.3">
      <c r="A163" t="s">
        <v>231</v>
      </c>
      <c r="B163" t="s">
        <v>118</v>
      </c>
      <c r="C163" t="s">
        <v>17</v>
      </c>
      <c r="D163">
        <v>42533.26</v>
      </c>
      <c r="E163">
        <v>4</v>
      </c>
      <c r="F163">
        <v>170133.04</v>
      </c>
      <c r="G163" s="1">
        <v>45624</v>
      </c>
      <c r="H163" t="s">
        <v>18</v>
      </c>
      <c r="I163">
        <v>4.5999999999999996</v>
      </c>
      <c r="J163" t="s">
        <v>37</v>
      </c>
      <c r="K163">
        <v>2024</v>
      </c>
      <c r="L163">
        <v>34026.608</v>
      </c>
      <c r="M163">
        <v>11</v>
      </c>
      <c r="N163" t="s">
        <v>27</v>
      </c>
      <c r="O163" t="s">
        <v>28</v>
      </c>
    </row>
    <row r="164" spans="1:15" x14ac:dyDescent="0.3">
      <c r="A164" t="s">
        <v>232</v>
      </c>
      <c r="B164" t="s">
        <v>43</v>
      </c>
      <c r="C164" t="s">
        <v>40</v>
      </c>
      <c r="D164">
        <v>18426.900000000001</v>
      </c>
      <c r="E164">
        <v>4</v>
      </c>
      <c r="F164">
        <v>73707.600000000006</v>
      </c>
      <c r="G164" s="1">
        <v>45583</v>
      </c>
      <c r="H164" t="s">
        <v>18</v>
      </c>
      <c r="I164">
        <v>4.7</v>
      </c>
      <c r="J164" t="s">
        <v>45</v>
      </c>
      <c r="K164">
        <v>2024</v>
      </c>
      <c r="L164">
        <v>14741.520000000002</v>
      </c>
      <c r="M164">
        <v>21</v>
      </c>
      <c r="N164" t="s">
        <v>41</v>
      </c>
      <c r="O164" t="s">
        <v>68</v>
      </c>
    </row>
    <row r="165" spans="1:15" x14ac:dyDescent="0.3">
      <c r="A165" t="s">
        <v>233</v>
      </c>
      <c r="B165" t="s">
        <v>58</v>
      </c>
      <c r="C165" t="s">
        <v>31</v>
      </c>
      <c r="D165">
        <v>23369.23</v>
      </c>
      <c r="E165">
        <v>1</v>
      </c>
      <c r="F165">
        <v>23369.23</v>
      </c>
      <c r="G165" s="1">
        <v>45619</v>
      </c>
      <c r="H165" t="s">
        <v>71</v>
      </c>
      <c r="I165">
        <v>1.5</v>
      </c>
      <c r="J165" t="s">
        <v>37</v>
      </c>
      <c r="K165">
        <v>2024</v>
      </c>
      <c r="L165">
        <v>4673.8460000000005</v>
      </c>
      <c r="M165">
        <v>24</v>
      </c>
      <c r="N165" t="s">
        <v>27</v>
      </c>
      <c r="O165" t="s">
        <v>33</v>
      </c>
    </row>
    <row r="166" spans="1:15" x14ac:dyDescent="0.3">
      <c r="A166" t="s">
        <v>234</v>
      </c>
      <c r="B166" t="s">
        <v>58</v>
      </c>
      <c r="C166" t="s">
        <v>31</v>
      </c>
      <c r="D166">
        <v>2735.32</v>
      </c>
      <c r="E166">
        <v>5</v>
      </c>
      <c r="F166">
        <v>13676.6</v>
      </c>
      <c r="G166" s="1">
        <v>45646</v>
      </c>
      <c r="H166" t="s">
        <v>44</v>
      </c>
      <c r="I166">
        <v>2.6</v>
      </c>
      <c r="J166" t="s">
        <v>26</v>
      </c>
      <c r="K166">
        <v>2024</v>
      </c>
      <c r="L166">
        <v>2735.32</v>
      </c>
      <c r="M166">
        <v>8</v>
      </c>
      <c r="N166" t="s">
        <v>20</v>
      </c>
      <c r="O166" t="s">
        <v>21</v>
      </c>
    </row>
    <row r="167" spans="1:15" x14ac:dyDescent="0.3">
      <c r="A167" t="s">
        <v>235</v>
      </c>
      <c r="B167" t="s">
        <v>96</v>
      </c>
      <c r="C167" t="s">
        <v>36</v>
      </c>
      <c r="D167">
        <v>48944.01</v>
      </c>
      <c r="E167">
        <v>3</v>
      </c>
      <c r="F167">
        <v>146832.03</v>
      </c>
      <c r="G167" s="1">
        <v>45477</v>
      </c>
      <c r="H167" t="s">
        <v>64</v>
      </c>
      <c r="I167">
        <v>4.2</v>
      </c>
      <c r="J167" t="s">
        <v>48</v>
      </c>
      <c r="K167">
        <v>2024</v>
      </c>
      <c r="L167">
        <v>29366.406000000003</v>
      </c>
      <c r="M167">
        <v>9</v>
      </c>
      <c r="N167" t="s">
        <v>27</v>
      </c>
      <c r="O167" t="s">
        <v>21</v>
      </c>
    </row>
    <row r="168" spans="1:15" x14ac:dyDescent="0.3">
      <c r="A168" t="s">
        <v>236</v>
      </c>
      <c r="B168" t="s">
        <v>94</v>
      </c>
      <c r="C168" t="s">
        <v>31</v>
      </c>
      <c r="D168">
        <v>32590.46</v>
      </c>
      <c r="E168">
        <v>2</v>
      </c>
      <c r="F168">
        <v>65180.92</v>
      </c>
      <c r="G168" s="1">
        <v>45393</v>
      </c>
      <c r="H168" t="s">
        <v>80</v>
      </c>
      <c r="I168">
        <v>2.4</v>
      </c>
      <c r="J168" t="s">
        <v>62</v>
      </c>
      <c r="K168">
        <v>2024</v>
      </c>
      <c r="L168">
        <v>13036.184000000001</v>
      </c>
      <c r="M168">
        <v>27</v>
      </c>
      <c r="N168" t="s">
        <v>20</v>
      </c>
      <c r="O168" t="s">
        <v>21</v>
      </c>
    </row>
    <row r="169" spans="1:15" x14ac:dyDescent="0.3">
      <c r="A169" t="s">
        <v>237</v>
      </c>
      <c r="B169" t="s">
        <v>94</v>
      </c>
      <c r="C169" t="s">
        <v>31</v>
      </c>
      <c r="D169">
        <v>35286.97</v>
      </c>
      <c r="E169">
        <v>2</v>
      </c>
      <c r="F169">
        <v>70573.94</v>
      </c>
      <c r="G169" s="1">
        <v>45574</v>
      </c>
      <c r="H169" t="s">
        <v>80</v>
      </c>
      <c r="I169">
        <v>3.3</v>
      </c>
      <c r="J169" t="s">
        <v>45</v>
      </c>
      <c r="K169">
        <v>2024</v>
      </c>
      <c r="L169">
        <v>14114.788</v>
      </c>
      <c r="M169">
        <v>11</v>
      </c>
      <c r="N169" t="s">
        <v>41</v>
      </c>
      <c r="O169" t="s">
        <v>33</v>
      </c>
    </row>
    <row r="170" spans="1:15" x14ac:dyDescent="0.3">
      <c r="A170" t="s">
        <v>238</v>
      </c>
      <c r="B170" t="s">
        <v>118</v>
      </c>
      <c r="C170" t="s">
        <v>17</v>
      </c>
      <c r="D170">
        <v>42881.03</v>
      </c>
      <c r="E170">
        <v>3</v>
      </c>
      <c r="F170">
        <v>128643.09</v>
      </c>
      <c r="G170" s="1">
        <v>45625</v>
      </c>
      <c r="H170" t="s">
        <v>80</v>
      </c>
      <c r="I170">
        <v>4.4000000000000004</v>
      </c>
      <c r="J170" t="s">
        <v>37</v>
      </c>
      <c r="K170">
        <v>2024</v>
      </c>
      <c r="L170">
        <v>25728.618000000002</v>
      </c>
      <c r="M170">
        <v>17</v>
      </c>
      <c r="N170" t="s">
        <v>27</v>
      </c>
      <c r="O170" t="s">
        <v>68</v>
      </c>
    </row>
    <row r="171" spans="1:15" x14ac:dyDescent="0.3">
      <c r="A171" t="s">
        <v>239</v>
      </c>
      <c r="B171" t="s">
        <v>100</v>
      </c>
      <c r="C171" t="s">
        <v>31</v>
      </c>
      <c r="D171">
        <v>28246.25</v>
      </c>
      <c r="E171">
        <v>2</v>
      </c>
      <c r="F171">
        <v>56492.5</v>
      </c>
      <c r="G171" s="1">
        <v>45446</v>
      </c>
      <c r="H171" t="s">
        <v>80</v>
      </c>
      <c r="I171">
        <v>2.2999999999999998</v>
      </c>
      <c r="J171" t="s">
        <v>67</v>
      </c>
      <c r="K171">
        <v>2024</v>
      </c>
      <c r="L171">
        <v>11298.5</v>
      </c>
      <c r="M171">
        <v>19</v>
      </c>
      <c r="N171" t="s">
        <v>41</v>
      </c>
      <c r="O171" t="s">
        <v>33</v>
      </c>
    </row>
    <row r="172" spans="1:15" x14ac:dyDescent="0.3">
      <c r="A172" t="s">
        <v>240</v>
      </c>
      <c r="B172" t="s">
        <v>100</v>
      </c>
      <c r="C172" t="s">
        <v>31</v>
      </c>
      <c r="D172">
        <v>24619.84</v>
      </c>
      <c r="E172">
        <v>2</v>
      </c>
      <c r="F172">
        <v>49239.68</v>
      </c>
      <c r="G172" s="1">
        <v>45632</v>
      </c>
      <c r="H172" t="s">
        <v>18</v>
      </c>
      <c r="I172">
        <v>4.0999999999999996</v>
      </c>
      <c r="J172" t="s">
        <v>26</v>
      </c>
      <c r="K172">
        <v>2024</v>
      </c>
      <c r="L172">
        <v>9847.9360000000015</v>
      </c>
      <c r="M172">
        <v>15</v>
      </c>
      <c r="N172" t="s">
        <v>20</v>
      </c>
      <c r="O172" t="s">
        <v>21</v>
      </c>
    </row>
    <row r="173" spans="1:15" x14ac:dyDescent="0.3">
      <c r="A173" t="s">
        <v>241</v>
      </c>
      <c r="B173" t="s">
        <v>176</v>
      </c>
      <c r="C173" t="s">
        <v>24</v>
      </c>
      <c r="D173">
        <v>12083.96</v>
      </c>
      <c r="E173">
        <v>3</v>
      </c>
      <c r="F173">
        <v>36251.879999999997</v>
      </c>
      <c r="G173" s="1">
        <v>45619</v>
      </c>
      <c r="H173" t="s">
        <v>44</v>
      </c>
      <c r="I173">
        <v>3</v>
      </c>
      <c r="J173" t="s">
        <v>37</v>
      </c>
      <c r="K173">
        <v>2024</v>
      </c>
      <c r="L173">
        <v>7250.3760000000002</v>
      </c>
      <c r="M173">
        <v>8</v>
      </c>
      <c r="N173" t="s">
        <v>20</v>
      </c>
      <c r="O173" t="s">
        <v>33</v>
      </c>
    </row>
    <row r="174" spans="1:15" x14ac:dyDescent="0.3">
      <c r="A174" t="s">
        <v>242</v>
      </c>
      <c r="B174" t="s">
        <v>125</v>
      </c>
      <c r="C174" t="s">
        <v>17</v>
      </c>
      <c r="D174">
        <v>12214.72</v>
      </c>
      <c r="E174">
        <v>5</v>
      </c>
      <c r="F174">
        <v>61073.599999999999</v>
      </c>
      <c r="G174" s="1">
        <v>45671</v>
      </c>
      <c r="H174" t="s">
        <v>25</v>
      </c>
      <c r="I174">
        <v>2.1</v>
      </c>
      <c r="J174" t="s">
        <v>53</v>
      </c>
      <c r="K174">
        <v>2025</v>
      </c>
      <c r="L174">
        <v>12214.720000000001</v>
      </c>
      <c r="M174">
        <v>17</v>
      </c>
      <c r="N174" t="s">
        <v>20</v>
      </c>
      <c r="O174" t="s">
        <v>33</v>
      </c>
    </row>
    <row r="175" spans="1:15" x14ac:dyDescent="0.3">
      <c r="A175" t="s">
        <v>243</v>
      </c>
      <c r="B175" t="s">
        <v>118</v>
      </c>
      <c r="C175" t="s">
        <v>17</v>
      </c>
      <c r="D175">
        <v>19386.27</v>
      </c>
      <c r="E175">
        <v>1</v>
      </c>
      <c r="F175">
        <v>19386.27</v>
      </c>
      <c r="G175" s="1">
        <v>45489</v>
      </c>
      <c r="H175" t="s">
        <v>64</v>
      </c>
      <c r="I175">
        <v>4.0999999999999996</v>
      </c>
      <c r="J175" t="s">
        <v>48</v>
      </c>
      <c r="K175">
        <v>2024</v>
      </c>
      <c r="L175">
        <v>3877.2540000000004</v>
      </c>
      <c r="M175">
        <v>11</v>
      </c>
      <c r="N175" t="s">
        <v>41</v>
      </c>
      <c r="O175" t="s">
        <v>33</v>
      </c>
    </row>
    <row r="176" spans="1:15" x14ac:dyDescent="0.3">
      <c r="A176" t="s">
        <v>244</v>
      </c>
      <c r="B176" t="s">
        <v>16</v>
      </c>
      <c r="C176" t="s">
        <v>17</v>
      </c>
      <c r="D176">
        <v>34879.4</v>
      </c>
      <c r="E176">
        <v>3</v>
      </c>
      <c r="F176">
        <v>104638.2</v>
      </c>
      <c r="G176" s="1">
        <v>45394</v>
      </c>
      <c r="H176" t="s">
        <v>25</v>
      </c>
      <c r="I176">
        <v>2.5</v>
      </c>
      <c r="J176" t="s">
        <v>62</v>
      </c>
      <c r="K176">
        <v>2024</v>
      </c>
      <c r="L176">
        <v>20927.64</v>
      </c>
      <c r="M176">
        <v>23</v>
      </c>
      <c r="N176" t="s">
        <v>41</v>
      </c>
      <c r="O176" t="s">
        <v>68</v>
      </c>
    </row>
    <row r="177" spans="1:15" x14ac:dyDescent="0.3">
      <c r="A177" t="s">
        <v>245</v>
      </c>
      <c r="B177" t="s">
        <v>96</v>
      </c>
      <c r="C177" t="s">
        <v>36</v>
      </c>
      <c r="D177">
        <v>32016.11</v>
      </c>
      <c r="E177">
        <v>5</v>
      </c>
      <c r="F177">
        <v>160080.54999999999</v>
      </c>
      <c r="G177" s="1">
        <v>45562</v>
      </c>
      <c r="H177" t="s">
        <v>18</v>
      </c>
      <c r="I177">
        <v>4.3</v>
      </c>
      <c r="J177" t="s">
        <v>19</v>
      </c>
      <c r="K177">
        <v>2024</v>
      </c>
      <c r="L177">
        <v>32016.11</v>
      </c>
      <c r="M177">
        <v>26</v>
      </c>
      <c r="N177" t="s">
        <v>41</v>
      </c>
      <c r="O177" t="s">
        <v>28</v>
      </c>
    </row>
    <row r="178" spans="1:15" x14ac:dyDescent="0.3">
      <c r="A178" t="s">
        <v>246</v>
      </c>
      <c r="B178" t="s">
        <v>78</v>
      </c>
      <c r="C178" t="s">
        <v>24</v>
      </c>
      <c r="D178">
        <v>32264.17</v>
      </c>
      <c r="E178">
        <v>1</v>
      </c>
      <c r="F178">
        <v>32264.17</v>
      </c>
      <c r="G178" s="1">
        <v>45495</v>
      </c>
      <c r="H178" t="s">
        <v>80</v>
      </c>
      <c r="I178">
        <v>4.0999999999999996</v>
      </c>
      <c r="J178" t="s">
        <v>48</v>
      </c>
      <c r="K178">
        <v>2024</v>
      </c>
      <c r="L178">
        <v>6452.8339999999998</v>
      </c>
      <c r="M178">
        <v>6</v>
      </c>
      <c r="N178" t="s">
        <v>41</v>
      </c>
      <c r="O178" t="s">
        <v>28</v>
      </c>
    </row>
    <row r="179" spans="1:15" x14ac:dyDescent="0.3">
      <c r="A179" t="s">
        <v>247</v>
      </c>
      <c r="B179" t="s">
        <v>100</v>
      </c>
      <c r="C179" t="s">
        <v>31</v>
      </c>
      <c r="D179">
        <v>30171.74</v>
      </c>
      <c r="E179">
        <v>4</v>
      </c>
      <c r="F179">
        <v>120686.96</v>
      </c>
      <c r="G179" s="1">
        <v>45502</v>
      </c>
      <c r="H179" t="s">
        <v>80</v>
      </c>
      <c r="I179">
        <v>3.8</v>
      </c>
      <c r="J179" t="s">
        <v>48</v>
      </c>
      <c r="K179">
        <v>2024</v>
      </c>
      <c r="L179">
        <v>24137.392000000003</v>
      </c>
      <c r="M179">
        <v>14</v>
      </c>
      <c r="N179" t="s">
        <v>20</v>
      </c>
      <c r="O179" t="s">
        <v>33</v>
      </c>
    </row>
    <row r="180" spans="1:15" x14ac:dyDescent="0.3">
      <c r="A180" t="s">
        <v>248</v>
      </c>
      <c r="B180" t="s">
        <v>176</v>
      </c>
      <c r="C180" t="s">
        <v>24</v>
      </c>
      <c r="D180">
        <v>22712.18</v>
      </c>
      <c r="E180">
        <v>5</v>
      </c>
      <c r="F180">
        <v>113560.9</v>
      </c>
      <c r="G180" s="1">
        <v>45681</v>
      </c>
      <c r="H180" t="s">
        <v>64</v>
      </c>
      <c r="I180">
        <v>3.9</v>
      </c>
      <c r="J180" t="s">
        <v>53</v>
      </c>
      <c r="K180">
        <v>2025</v>
      </c>
      <c r="L180">
        <v>22712.18</v>
      </c>
      <c r="M180">
        <v>17</v>
      </c>
      <c r="N180" t="s">
        <v>20</v>
      </c>
      <c r="O180" t="s">
        <v>28</v>
      </c>
    </row>
    <row r="181" spans="1:15" x14ac:dyDescent="0.3">
      <c r="A181" t="s">
        <v>249</v>
      </c>
      <c r="B181" t="s">
        <v>70</v>
      </c>
      <c r="C181" t="s">
        <v>17</v>
      </c>
      <c r="D181">
        <v>27204.69</v>
      </c>
      <c r="E181">
        <v>1</v>
      </c>
      <c r="F181">
        <v>27204.69</v>
      </c>
      <c r="G181" s="1">
        <v>45697</v>
      </c>
      <c r="H181" t="s">
        <v>18</v>
      </c>
      <c r="I181">
        <v>2.8</v>
      </c>
      <c r="J181" t="s">
        <v>59</v>
      </c>
      <c r="K181">
        <v>2025</v>
      </c>
      <c r="L181">
        <v>5440.9380000000001</v>
      </c>
      <c r="M181">
        <v>29</v>
      </c>
      <c r="N181" t="s">
        <v>27</v>
      </c>
      <c r="O181" t="s">
        <v>28</v>
      </c>
    </row>
    <row r="182" spans="1:15" x14ac:dyDescent="0.3">
      <c r="A182" t="s">
        <v>250</v>
      </c>
      <c r="B182" t="s">
        <v>16</v>
      </c>
      <c r="C182" t="s">
        <v>17</v>
      </c>
      <c r="D182">
        <v>17353.47</v>
      </c>
      <c r="E182">
        <v>1</v>
      </c>
      <c r="F182">
        <v>17353.47</v>
      </c>
      <c r="G182" s="1">
        <v>45630</v>
      </c>
      <c r="H182" t="s">
        <v>71</v>
      </c>
      <c r="I182">
        <v>2.6</v>
      </c>
      <c r="J182" t="s">
        <v>26</v>
      </c>
      <c r="K182">
        <v>2024</v>
      </c>
      <c r="L182">
        <v>3470.6940000000004</v>
      </c>
      <c r="M182">
        <v>25</v>
      </c>
      <c r="N182" t="s">
        <v>27</v>
      </c>
      <c r="O182" t="s">
        <v>33</v>
      </c>
    </row>
    <row r="183" spans="1:15" x14ac:dyDescent="0.3">
      <c r="A183" t="s">
        <v>251</v>
      </c>
      <c r="B183" t="s">
        <v>145</v>
      </c>
      <c r="C183" t="s">
        <v>40</v>
      </c>
      <c r="D183">
        <v>44882.2</v>
      </c>
      <c r="E183">
        <v>1</v>
      </c>
      <c r="F183">
        <v>44882.2</v>
      </c>
      <c r="G183" s="1">
        <v>45423</v>
      </c>
      <c r="H183" t="s">
        <v>64</v>
      </c>
      <c r="I183">
        <v>1.3</v>
      </c>
      <c r="J183" t="s">
        <v>32</v>
      </c>
      <c r="K183">
        <v>2024</v>
      </c>
      <c r="L183">
        <v>8976.44</v>
      </c>
      <c r="M183">
        <v>10</v>
      </c>
      <c r="N183" t="s">
        <v>41</v>
      </c>
      <c r="O183" t="s">
        <v>33</v>
      </c>
    </row>
    <row r="184" spans="1:15" x14ac:dyDescent="0.3">
      <c r="A184" t="s">
        <v>252</v>
      </c>
      <c r="B184" t="s">
        <v>145</v>
      </c>
      <c r="C184" t="s">
        <v>40</v>
      </c>
      <c r="D184">
        <v>47002.720000000001</v>
      </c>
      <c r="E184">
        <v>3</v>
      </c>
      <c r="F184">
        <v>141008.16</v>
      </c>
      <c r="G184" s="1">
        <v>45356</v>
      </c>
      <c r="H184" t="s">
        <v>18</v>
      </c>
      <c r="I184">
        <v>4.0999999999999996</v>
      </c>
      <c r="J184" t="s">
        <v>56</v>
      </c>
      <c r="K184">
        <v>2024</v>
      </c>
      <c r="L184">
        <v>28201.632000000001</v>
      </c>
      <c r="M184">
        <v>16</v>
      </c>
      <c r="N184" t="s">
        <v>20</v>
      </c>
      <c r="O184" t="s">
        <v>21</v>
      </c>
    </row>
    <row r="185" spans="1:15" x14ac:dyDescent="0.3">
      <c r="A185" t="s">
        <v>253</v>
      </c>
      <c r="B185" t="s">
        <v>61</v>
      </c>
      <c r="C185" t="s">
        <v>31</v>
      </c>
      <c r="D185">
        <v>33659.67</v>
      </c>
      <c r="E185">
        <v>4</v>
      </c>
      <c r="F185">
        <v>134638.68</v>
      </c>
      <c r="G185" s="1">
        <v>45478</v>
      </c>
      <c r="H185" t="s">
        <v>44</v>
      </c>
      <c r="I185">
        <v>3.3</v>
      </c>
      <c r="J185" t="s">
        <v>48</v>
      </c>
      <c r="K185">
        <v>2024</v>
      </c>
      <c r="L185">
        <v>26927.736000000001</v>
      </c>
      <c r="M185">
        <v>16</v>
      </c>
      <c r="N185" t="s">
        <v>20</v>
      </c>
      <c r="O185" t="s">
        <v>28</v>
      </c>
    </row>
    <row r="186" spans="1:15" x14ac:dyDescent="0.3">
      <c r="A186" t="s">
        <v>254</v>
      </c>
      <c r="B186" t="s">
        <v>145</v>
      </c>
      <c r="C186" t="s">
        <v>40</v>
      </c>
      <c r="D186">
        <v>13011.44</v>
      </c>
      <c r="E186">
        <v>2</v>
      </c>
      <c r="F186">
        <v>26022.880000000001</v>
      </c>
      <c r="G186" s="1">
        <v>45468</v>
      </c>
      <c r="H186" t="s">
        <v>44</v>
      </c>
      <c r="I186">
        <v>4.9000000000000004</v>
      </c>
      <c r="J186" t="s">
        <v>67</v>
      </c>
      <c r="K186">
        <v>2024</v>
      </c>
      <c r="L186">
        <v>5204.5760000000009</v>
      </c>
      <c r="M186">
        <v>24</v>
      </c>
      <c r="N186" t="s">
        <v>20</v>
      </c>
      <c r="O186" t="s">
        <v>68</v>
      </c>
    </row>
    <row r="187" spans="1:15" x14ac:dyDescent="0.3">
      <c r="A187" t="s">
        <v>255</v>
      </c>
      <c r="B187" t="s">
        <v>66</v>
      </c>
      <c r="C187" t="s">
        <v>36</v>
      </c>
      <c r="D187">
        <v>21990.25</v>
      </c>
      <c r="E187">
        <v>3</v>
      </c>
      <c r="F187">
        <v>65970.75</v>
      </c>
      <c r="G187" s="1">
        <v>45669</v>
      </c>
      <c r="H187" t="s">
        <v>44</v>
      </c>
      <c r="I187">
        <v>4.2</v>
      </c>
      <c r="J187" t="s">
        <v>53</v>
      </c>
      <c r="K187">
        <v>2025</v>
      </c>
      <c r="L187">
        <v>13194.150000000001</v>
      </c>
      <c r="M187">
        <v>15</v>
      </c>
      <c r="N187" t="s">
        <v>27</v>
      </c>
      <c r="O187" t="s">
        <v>33</v>
      </c>
    </row>
    <row r="188" spans="1:15" x14ac:dyDescent="0.3">
      <c r="A188" t="s">
        <v>256</v>
      </c>
      <c r="B188" t="s">
        <v>58</v>
      </c>
      <c r="C188" t="s">
        <v>31</v>
      </c>
      <c r="D188">
        <v>1927.38</v>
      </c>
      <c r="E188">
        <v>3</v>
      </c>
      <c r="F188">
        <v>5782.14</v>
      </c>
      <c r="G188" s="1">
        <v>45535</v>
      </c>
      <c r="H188" t="s">
        <v>18</v>
      </c>
      <c r="I188">
        <v>2.9</v>
      </c>
      <c r="J188" t="s">
        <v>88</v>
      </c>
      <c r="K188">
        <v>2024</v>
      </c>
      <c r="L188">
        <v>1156.4280000000001</v>
      </c>
      <c r="M188">
        <v>30</v>
      </c>
      <c r="N188" t="s">
        <v>27</v>
      </c>
      <c r="O188" t="s">
        <v>21</v>
      </c>
    </row>
    <row r="189" spans="1:15" x14ac:dyDescent="0.3">
      <c r="A189" t="s">
        <v>257</v>
      </c>
      <c r="B189" t="s">
        <v>96</v>
      </c>
      <c r="C189" t="s">
        <v>36</v>
      </c>
      <c r="D189">
        <v>21741.53</v>
      </c>
      <c r="E189">
        <v>3</v>
      </c>
      <c r="F189">
        <v>65224.59</v>
      </c>
      <c r="G189" s="1">
        <v>45628</v>
      </c>
      <c r="H189" t="s">
        <v>64</v>
      </c>
      <c r="I189">
        <v>3.5</v>
      </c>
      <c r="J189" t="s">
        <v>26</v>
      </c>
      <c r="K189">
        <v>2024</v>
      </c>
      <c r="L189">
        <v>13044.918</v>
      </c>
      <c r="M189">
        <v>27</v>
      </c>
      <c r="N189" t="s">
        <v>20</v>
      </c>
      <c r="O189" t="s">
        <v>68</v>
      </c>
    </row>
    <row r="190" spans="1:15" x14ac:dyDescent="0.3">
      <c r="A190" t="s">
        <v>258</v>
      </c>
      <c r="B190" t="s">
        <v>47</v>
      </c>
      <c r="C190" t="s">
        <v>24</v>
      </c>
      <c r="D190">
        <v>23638.720000000001</v>
      </c>
      <c r="E190">
        <v>1</v>
      </c>
      <c r="F190">
        <v>23638.720000000001</v>
      </c>
      <c r="G190" s="1">
        <v>45559</v>
      </c>
      <c r="H190" t="s">
        <v>71</v>
      </c>
      <c r="I190">
        <v>1.5</v>
      </c>
      <c r="J190" t="s">
        <v>19</v>
      </c>
      <c r="K190">
        <v>2024</v>
      </c>
      <c r="L190">
        <v>4727.7440000000006</v>
      </c>
      <c r="M190">
        <v>29</v>
      </c>
      <c r="N190" t="s">
        <v>20</v>
      </c>
      <c r="O190" t="s">
        <v>28</v>
      </c>
    </row>
    <row r="191" spans="1:15" x14ac:dyDescent="0.3">
      <c r="A191" t="s">
        <v>259</v>
      </c>
      <c r="B191" t="s">
        <v>94</v>
      </c>
      <c r="C191" t="s">
        <v>31</v>
      </c>
      <c r="D191">
        <v>39372.11</v>
      </c>
      <c r="E191">
        <v>1</v>
      </c>
      <c r="F191">
        <v>39372.11</v>
      </c>
      <c r="G191" s="1">
        <v>45395</v>
      </c>
      <c r="H191" t="s">
        <v>44</v>
      </c>
      <c r="I191">
        <v>4.0999999999999996</v>
      </c>
      <c r="J191" t="s">
        <v>62</v>
      </c>
      <c r="K191">
        <v>2024</v>
      </c>
      <c r="L191">
        <v>7874.4220000000005</v>
      </c>
      <c r="M191">
        <v>11</v>
      </c>
      <c r="N191" t="s">
        <v>20</v>
      </c>
      <c r="O191" t="s">
        <v>21</v>
      </c>
    </row>
    <row r="192" spans="1:15" x14ac:dyDescent="0.3">
      <c r="A192" t="s">
        <v>260</v>
      </c>
      <c r="B192" t="s">
        <v>118</v>
      </c>
      <c r="C192" t="s">
        <v>17</v>
      </c>
      <c r="D192">
        <v>49088.13</v>
      </c>
      <c r="E192">
        <v>4</v>
      </c>
      <c r="F192">
        <v>196352.52</v>
      </c>
      <c r="G192" s="1">
        <v>45357</v>
      </c>
      <c r="H192" t="s">
        <v>44</v>
      </c>
      <c r="I192">
        <v>2.2999999999999998</v>
      </c>
      <c r="J192" t="s">
        <v>56</v>
      </c>
      <c r="K192">
        <v>2024</v>
      </c>
      <c r="L192">
        <v>39270.504000000001</v>
      </c>
      <c r="M192">
        <v>5</v>
      </c>
      <c r="N192" t="s">
        <v>27</v>
      </c>
      <c r="O192" t="s">
        <v>33</v>
      </c>
    </row>
    <row r="193" spans="1:15" x14ac:dyDescent="0.3">
      <c r="A193" t="s">
        <v>261</v>
      </c>
      <c r="B193" t="s">
        <v>39</v>
      </c>
      <c r="C193" t="s">
        <v>40</v>
      </c>
      <c r="D193">
        <v>4524.63</v>
      </c>
      <c r="E193">
        <v>3</v>
      </c>
      <c r="F193">
        <v>13573.89</v>
      </c>
      <c r="G193" s="1">
        <v>45645</v>
      </c>
      <c r="H193" t="s">
        <v>25</v>
      </c>
      <c r="I193">
        <v>2.4</v>
      </c>
      <c r="J193" t="s">
        <v>26</v>
      </c>
      <c r="K193">
        <v>2024</v>
      </c>
      <c r="L193">
        <v>2714.7780000000002</v>
      </c>
      <c r="M193">
        <v>5</v>
      </c>
      <c r="N193" t="s">
        <v>20</v>
      </c>
      <c r="O193" t="s">
        <v>68</v>
      </c>
    </row>
    <row r="194" spans="1:15" x14ac:dyDescent="0.3">
      <c r="A194" t="s">
        <v>262</v>
      </c>
      <c r="B194" t="s">
        <v>47</v>
      </c>
      <c r="C194" t="s">
        <v>24</v>
      </c>
      <c r="D194">
        <v>1507.01</v>
      </c>
      <c r="E194">
        <v>3</v>
      </c>
      <c r="F194">
        <v>4521.03</v>
      </c>
      <c r="G194" s="1">
        <v>45506</v>
      </c>
      <c r="H194" t="s">
        <v>80</v>
      </c>
      <c r="I194">
        <v>2.5</v>
      </c>
      <c r="J194" t="s">
        <v>88</v>
      </c>
      <c r="K194">
        <v>2024</v>
      </c>
      <c r="L194">
        <v>904.20600000000002</v>
      </c>
      <c r="M194">
        <v>29</v>
      </c>
      <c r="N194" t="s">
        <v>20</v>
      </c>
      <c r="O194" t="s">
        <v>33</v>
      </c>
    </row>
    <row r="195" spans="1:15" x14ac:dyDescent="0.3">
      <c r="A195" t="s">
        <v>263</v>
      </c>
      <c r="B195" t="s">
        <v>55</v>
      </c>
      <c r="C195" t="s">
        <v>36</v>
      </c>
      <c r="D195">
        <v>39699.85</v>
      </c>
      <c r="E195">
        <v>3</v>
      </c>
      <c r="F195">
        <v>119099.55</v>
      </c>
      <c r="G195" s="1">
        <v>45426</v>
      </c>
      <c r="H195" t="s">
        <v>44</v>
      </c>
      <c r="I195">
        <v>3.9</v>
      </c>
      <c r="J195" t="s">
        <v>32</v>
      </c>
      <c r="K195">
        <v>2024</v>
      </c>
      <c r="L195">
        <v>23819.910000000003</v>
      </c>
      <c r="M195">
        <v>29</v>
      </c>
      <c r="N195" t="s">
        <v>41</v>
      </c>
      <c r="O195" t="s">
        <v>28</v>
      </c>
    </row>
    <row r="196" spans="1:15" x14ac:dyDescent="0.3">
      <c r="A196" t="s">
        <v>264</v>
      </c>
      <c r="B196" t="s">
        <v>30</v>
      </c>
      <c r="C196" t="s">
        <v>31</v>
      </c>
      <c r="D196">
        <v>37494.129999999997</v>
      </c>
      <c r="E196">
        <v>5</v>
      </c>
      <c r="F196">
        <v>187470.65</v>
      </c>
      <c r="G196" s="1">
        <v>45566</v>
      </c>
      <c r="H196" t="s">
        <v>64</v>
      </c>
      <c r="I196">
        <v>1.8</v>
      </c>
      <c r="J196" t="s">
        <v>45</v>
      </c>
      <c r="K196">
        <v>2024</v>
      </c>
      <c r="L196">
        <v>37494.129999999997</v>
      </c>
      <c r="M196">
        <v>24</v>
      </c>
      <c r="N196" t="s">
        <v>41</v>
      </c>
      <c r="O196" t="s">
        <v>68</v>
      </c>
    </row>
    <row r="197" spans="1:15" x14ac:dyDescent="0.3">
      <c r="A197" t="s">
        <v>265</v>
      </c>
      <c r="B197" t="s">
        <v>66</v>
      </c>
      <c r="C197" t="s">
        <v>36</v>
      </c>
      <c r="D197">
        <v>5850.81</v>
      </c>
      <c r="E197">
        <v>5</v>
      </c>
      <c r="F197">
        <v>29254.05</v>
      </c>
      <c r="G197" s="1">
        <v>45624</v>
      </c>
      <c r="H197" t="s">
        <v>64</v>
      </c>
      <c r="I197">
        <v>1.3</v>
      </c>
      <c r="J197" t="s">
        <v>37</v>
      </c>
      <c r="K197">
        <v>2024</v>
      </c>
      <c r="L197">
        <v>5850.81</v>
      </c>
      <c r="M197">
        <v>17</v>
      </c>
      <c r="N197" t="s">
        <v>27</v>
      </c>
      <c r="O197" t="s">
        <v>28</v>
      </c>
    </row>
    <row r="198" spans="1:15" x14ac:dyDescent="0.3">
      <c r="A198" t="s">
        <v>266</v>
      </c>
      <c r="B198" t="s">
        <v>125</v>
      </c>
      <c r="C198" t="s">
        <v>17</v>
      </c>
      <c r="D198">
        <v>16448.740000000002</v>
      </c>
      <c r="E198">
        <v>4</v>
      </c>
      <c r="F198">
        <v>65794.960000000006</v>
      </c>
      <c r="G198" s="1">
        <v>45539</v>
      </c>
      <c r="H198" t="s">
        <v>80</v>
      </c>
      <c r="I198">
        <v>4.5999999999999996</v>
      </c>
      <c r="J198" t="s">
        <v>19</v>
      </c>
      <c r="K198">
        <v>2024</v>
      </c>
      <c r="L198">
        <v>13158.992000000002</v>
      </c>
      <c r="M198">
        <v>13</v>
      </c>
      <c r="N198" t="s">
        <v>20</v>
      </c>
      <c r="O198" t="s">
        <v>28</v>
      </c>
    </row>
    <row r="199" spans="1:15" x14ac:dyDescent="0.3">
      <c r="A199" t="s">
        <v>267</v>
      </c>
      <c r="B199" t="s">
        <v>35</v>
      </c>
      <c r="C199" t="s">
        <v>36</v>
      </c>
      <c r="D199">
        <v>11103.44</v>
      </c>
      <c r="E199">
        <v>1</v>
      </c>
      <c r="F199">
        <v>11103.44</v>
      </c>
      <c r="G199" s="1">
        <v>45421</v>
      </c>
      <c r="H199" t="s">
        <v>44</v>
      </c>
      <c r="I199">
        <v>1.1000000000000001</v>
      </c>
      <c r="J199" t="s">
        <v>32</v>
      </c>
      <c r="K199">
        <v>2024</v>
      </c>
      <c r="L199">
        <v>2220.6880000000001</v>
      </c>
      <c r="M199">
        <v>7</v>
      </c>
      <c r="N199" t="s">
        <v>20</v>
      </c>
      <c r="O199" t="s">
        <v>21</v>
      </c>
    </row>
    <row r="200" spans="1:15" x14ac:dyDescent="0.3">
      <c r="A200" t="s">
        <v>268</v>
      </c>
      <c r="B200" t="s">
        <v>125</v>
      </c>
      <c r="C200" t="s">
        <v>17</v>
      </c>
      <c r="D200">
        <v>34255.39</v>
      </c>
      <c r="E200">
        <v>2</v>
      </c>
      <c r="F200">
        <v>68510.78</v>
      </c>
      <c r="G200" s="1">
        <v>45340</v>
      </c>
      <c r="H200" t="s">
        <v>25</v>
      </c>
      <c r="I200">
        <v>2.9</v>
      </c>
      <c r="J200" t="s">
        <v>59</v>
      </c>
      <c r="K200">
        <v>2024</v>
      </c>
      <c r="L200">
        <v>13702.156000000001</v>
      </c>
      <c r="M200">
        <v>11</v>
      </c>
      <c r="N200" t="s">
        <v>41</v>
      </c>
      <c r="O200" t="s">
        <v>33</v>
      </c>
    </row>
    <row r="201" spans="1:15" x14ac:dyDescent="0.3">
      <c r="A201" t="s">
        <v>269</v>
      </c>
      <c r="B201" t="s">
        <v>35</v>
      </c>
      <c r="C201" t="s">
        <v>36</v>
      </c>
      <c r="D201">
        <v>18304.18</v>
      </c>
      <c r="E201">
        <v>2</v>
      </c>
      <c r="F201">
        <v>36608.36</v>
      </c>
      <c r="G201" s="1">
        <v>45565</v>
      </c>
      <c r="H201" t="s">
        <v>18</v>
      </c>
      <c r="I201">
        <v>1.6</v>
      </c>
      <c r="J201" t="s">
        <v>19</v>
      </c>
      <c r="K201">
        <v>2024</v>
      </c>
      <c r="L201">
        <v>7321.6720000000005</v>
      </c>
      <c r="M201">
        <v>10</v>
      </c>
      <c r="N201" t="s">
        <v>27</v>
      </c>
      <c r="O201" t="s">
        <v>68</v>
      </c>
    </row>
    <row r="202" spans="1:15" x14ac:dyDescent="0.3">
      <c r="A202" t="s">
        <v>270</v>
      </c>
      <c r="B202" t="s">
        <v>50</v>
      </c>
      <c r="C202" t="s">
        <v>40</v>
      </c>
      <c r="D202">
        <v>12771.91</v>
      </c>
      <c r="E202">
        <v>2</v>
      </c>
      <c r="F202">
        <v>25543.82</v>
      </c>
      <c r="G202" s="1">
        <v>45484</v>
      </c>
      <c r="H202" t="s">
        <v>44</v>
      </c>
      <c r="I202">
        <v>3.2</v>
      </c>
      <c r="J202" t="s">
        <v>48</v>
      </c>
      <c r="K202">
        <v>2024</v>
      </c>
      <c r="L202">
        <v>5108.7640000000001</v>
      </c>
      <c r="M202">
        <v>12</v>
      </c>
      <c r="N202" t="s">
        <v>41</v>
      </c>
      <c r="O202" t="s">
        <v>28</v>
      </c>
    </row>
    <row r="203" spans="1:15" x14ac:dyDescent="0.3">
      <c r="A203" t="s">
        <v>271</v>
      </c>
      <c r="B203" t="s">
        <v>70</v>
      </c>
      <c r="C203" t="s">
        <v>17</v>
      </c>
      <c r="D203">
        <v>2275.09</v>
      </c>
      <c r="E203">
        <v>2</v>
      </c>
      <c r="F203">
        <v>4550.18</v>
      </c>
      <c r="G203" s="1">
        <v>45470</v>
      </c>
      <c r="H203" t="s">
        <v>18</v>
      </c>
      <c r="I203">
        <v>1.5</v>
      </c>
      <c r="J203" t="s">
        <v>67</v>
      </c>
      <c r="K203">
        <v>2024</v>
      </c>
      <c r="L203">
        <v>910.03600000000006</v>
      </c>
      <c r="M203">
        <v>13</v>
      </c>
      <c r="N203" t="s">
        <v>41</v>
      </c>
      <c r="O203" t="s">
        <v>28</v>
      </c>
    </row>
    <row r="204" spans="1:15" x14ac:dyDescent="0.3">
      <c r="A204" t="s">
        <v>272</v>
      </c>
      <c r="B204" t="s">
        <v>47</v>
      </c>
      <c r="C204" t="s">
        <v>24</v>
      </c>
      <c r="D204">
        <v>16468.59</v>
      </c>
      <c r="E204">
        <v>4</v>
      </c>
      <c r="F204">
        <v>65874.36</v>
      </c>
      <c r="G204" s="1">
        <v>45589</v>
      </c>
      <c r="H204" t="s">
        <v>80</v>
      </c>
      <c r="I204">
        <v>4.5</v>
      </c>
      <c r="J204" t="s">
        <v>45</v>
      </c>
      <c r="K204">
        <v>2024</v>
      </c>
      <c r="L204">
        <v>13174.872000000001</v>
      </c>
      <c r="M204">
        <v>9</v>
      </c>
      <c r="N204" t="s">
        <v>41</v>
      </c>
      <c r="O204" t="s">
        <v>68</v>
      </c>
    </row>
    <row r="205" spans="1:15" x14ac:dyDescent="0.3">
      <c r="A205" t="s">
        <v>273</v>
      </c>
      <c r="B205" t="s">
        <v>39</v>
      </c>
      <c r="C205" t="s">
        <v>40</v>
      </c>
      <c r="D205">
        <v>4934.99</v>
      </c>
      <c r="E205">
        <v>3</v>
      </c>
      <c r="F205">
        <v>14804.97</v>
      </c>
      <c r="G205" s="1">
        <v>45581</v>
      </c>
      <c r="H205" t="s">
        <v>71</v>
      </c>
      <c r="I205">
        <v>4.5999999999999996</v>
      </c>
      <c r="J205" t="s">
        <v>45</v>
      </c>
      <c r="K205">
        <v>2024</v>
      </c>
      <c r="L205">
        <v>2960.9940000000001</v>
      </c>
      <c r="M205">
        <v>5</v>
      </c>
      <c r="N205" t="s">
        <v>41</v>
      </c>
      <c r="O205" t="s">
        <v>28</v>
      </c>
    </row>
    <row r="206" spans="1:15" x14ac:dyDescent="0.3">
      <c r="A206" t="s">
        <v>274</v>
      </c>
      <c r="B206" t="s">
        <v>50</v>
      </c>
      <c r="C206" t="s">
        <v>40</v>
      </c>
      <c r="D206">
        <v>5258.29</v>
      </c>
      <c r="E206">
        <v>5</v>
      </c>
      <c r="F206">
        <v>26291.45</v>
      </c>
      <c r="G206" s="1">
        <v>45527</v>
      </c>
      <c r="H206" t="s">
        <v>44</v>
      </c>
      <c r="I206">
        <v>2.5</v>
      </c>
      <c r="J206" t="s">
        <v>88</v>
      </c>
      <c r="K206">
        <v>2024</v>
      </c>
      <c r="L206">
        <v>5258.2900000000009</v>
      </c>
      <c r="M206">
        <v>23</v>
      </c>
      <c r="N206" t="s">
        <v>20</v>
      </c>
      <c r="O206" t="s">
        <v>21</v>
      </c>
    </row>
    <row r="207" spans="1:15" x14ac:dyDescent="0.3">
      <c r="A207" t="s">
        <v>275</v>
      </c>
      <c r="B207" t="s">
        <v>94</v>
      </c>
      <c r="C207" t="s">
        <v>31</v>
      </c>
      <c r="D207">
        <v>32580</v>
      </c>
      <c r="E207">
        <v>5</v>
      </c>
      <c r="F207">
        <v>162900</v>
      </c>
      <c r="G207" s="1">
        <v>45378</v>
      </c>
      <c r="H207" t="s">
        <v>64</v>
      </c>
      <c r="I207">
        <v>2.7</v>
      </c>
      <c r="J207" t="s">
        <v>56</v>
      </c>
      <c r="K207">
        <v>2024</v>
      </c>
      <c r="L207">
        <v>32580</v>
      </c>
      <c r="M207">
        <v>14</v>
      </c>
      <c r="N207" t="s">
        <v>20</v>
      </c>
      <c r="O207" t="s">
        <v>21</v>
      </c>
    </row>
    <row r="208" spans="1:15" x14ac:dyDescent="0.3">
      <c r="A208" t="s">
        <v>276</v>
      </c>
      <c r="B208" t="s">
        <v>145</v>
      </c>
      <c r="C208" t="s">
        <v>40</v>
      </c>
      <c r="D208">
        <v>40298.9</v>
      </c>
      <c r="E208">
        <v>1</v>
      </c>
      <c r="F208">
        <v>40298.9</v>
      </c>
      <c r="G208" s="1">
        <v>45460</v>
      </c>
      <c r="H208" t="s">
        <v>18</v>
      </c>
      <c r="I208">
        <v>1.2</v>
      </c>
      <c r="J208" t="s">
        <v>67</v>
      </c>
      <c r="K208">
        <v>2024</v>
      </c>
      <c r="L208">
        <v>8059.7800000000007</v>
      </c>
      <c r="M208">
        <v>16</v>
      </c>
      <c r="N208" t="s">
        <v>41</v>
      </c>
      <c r="O208" t="s">
        <v>21</v>
      </c>
    </row>
    <row r="209" spans="1:15" x14ac:dyDescent="0.3">
      <c r="A209" t="s">
        <v>277</v>
      </c>
      <c r="B209" t="s">
        <v>55</v>
      </c>
      <c r="C209" t="s">
        <v>36</v>
      </c>
      <c r="D209">
        <v>11236.19</v>
      </c>
      <c r="E209">
        <v>3</v>
      </c>
      <c r="F209">
        <v>33708.57</v>
      </c>
      <c r="G209" s="1">
        <v>45598</v>
      </c>
      <c r="H209" t="s">
        <v>64</v>
      </c>
      <c r="I209">
        <v>2.6</v>
      </c>
      <c r="J209" t="s">
        <v>37</v>
      </c>
      <c r="K209">
        <v>2024</v>
      </c>
      <c r="L209">
        <v>6741.7139999999999</v>
      </c>
      <c r="M209">
        <v>28</v>
      </c>
      <c r="N209" t="s">
        <v>27</v>
      </c>
      <c r="O209" t="s">
        <v>21</v>
      </c>
    </row>
    <row r="210" spans="1:15" x14ac:dyDescent="0.3">
      <c r="A210" t="s">
        <v>278</v>
      </c>
      <c r="B210" t="s">
        <v>125</v>
      </c>
      <c r="C210" t="s">
        <v>17</v>
      </c>
      <c r="D210">
        <v>32537.46</v>
      </c>
      <c r="E210">
        <v>5</v>
      </c>
      <c r="F210">
        <v>162687.29999999999</v>
      </c>
      <c r="G210" s="1">
        <v>45593</v>
      </c>
      <c r="H210" t="s">
        <v>25</v>
      </c>
      <c r="I210">
        <v>3.4</v>
      </c>
      <c r="J210" t="s">
        <v>45</v>
      </c>
      <c r="K210">
        <v>2024</v>
      </c>
      <c r="L210">
        <v>32537.46</v>
      </c>
      <c r="M210">
        <v>19</v>
      </c>
      <c r="N210" t="s">
        <v>27</v>
      </c>
      <c r="O210" t="s">
        <v>28</v>
      </c>
    </row>
    <row r="211" spans="1:15" x14ac:dyDescent="0.3">
      <c r="A211" t="s">
        <v>279</v>
      </c>
      <c r="B211" t="s">
        <v>23</v>
      </c>
      <c r="C211" t="s">
        <v>24</v>
      </c>
      <c r="D211">
        <v>6953.88</v>
      </c>
      <c r="E211">
        <v>1</v>
      </c>
      <c r="F211">
        <v>6953.88</v>
      </c>
      <c r="G211" s="1">
        <v>45426</v>
      </c>
      <c r="H211" t="s">
        <v>25</v>
      </c>
      <c r="I211">
        <v>2.9</v>
      </c>
      <c r="J211" t="s">
        <v>32</v>
      </c>
      <c r="K211">
        <v>2024</v>
      </c>
      <c r="L211">
        <v>1390.7760000000001</v>
      </c>
      <c r="M211">
        <v>26</v>
      </c>
      <c r="N211" t="s">
        <v>27</v>
      </c>
      <c r="O211" t="s">
        <v>68</v>
      </c>
    </row>
    <row r="212" spans="1:15" x14ac:dyDescent="0.3">
      <c r="A212" t="s">
        <v>280</v>
      </c>
      <c r="B212" t="s">
        <v>84</v>
      </c>
      <c r="C212" t="s">
        <v>40</v>
      </c>
      <c r="D212">
        <v>32824.050000000003</v>
      </c>
      <c r="E212">
        <v>3</v>
      </c>
      <c r="F212">
        <v>98472.15</v>
      </c>
      <c r="G212" s="1">
        <v>45537</v>
      </c>
      <c r="H212" t="s">
        <v>71</v>
      </c>
      <c r="I212">
        <v>3.6</v>
      </c>
      <c r="J212" t="s">
        <v>19</v>
      </c>
      <c r="K212">
        <v>2024</v>
      </c>
      <c r="L212">
        <v>19694.43</v>
      </c>
      <c r="M212">
        <v>28</v>
      </c>
      <c r="N212" t="s">
        <v>27</v>
      </c>
      <c r="O212" t="s">
        <v>68</v>
      </c>
    </row>
    <row r="213" spans="1:15" x14ac:dyDescent="0.3">
      <c r="A213" t="s">
        <v>281</v>
      </c>
      <c r="B213" t="s">
        <v>47</v>
      </c>
      <c r="C213" t="s">
        <v>24</v>
      </c>
      <c r="D213">
        <v>34459.99</v>
      </c>
      <c r="E213">
        <v>3</v>
      </c>
      <c r="F213">
        <v>103379.97</v>
      </c>
      <c r="G213" s="1">
        <v>45570</v>
      </c>
      <c r="H213" t="s">
        <v>18</v>
      </c>
      <c r="I213">
        <v>1.4</v>
      </c>
      <c r="J213" t="s">
        <v>45</v>
      </c>
      <c r="K213">
        <v>2024</v>
      </c>
      <c r="L213">
        <v>20675.994000000002</v>
      </c>
      <c r="M213">
        <v>13</v>
      </c>
      <c r="N213" t="s">
        <v>41</v>
      </c>
      <c r="O213" t="s">
        <v>68</v>
      </c>
    </row>
    <row r="214" spans="1:15" x14ac:dyDescent="0.3">
      <c r="A214" t="s">
        <v>282</v>
      </c>
      <c r="B214" t="s">
        <v>16</v>
      </c>
      <c r="C214" t="s">
        <v>17</v>
      </c>
      <c r="D214">
        <v>13608.58</v>
      </c>
      <c r="E214">
        <v>3</v>
      </c>
      <c r="F214">
        <v>40825.74</v>
      </c>
      <c r="G214" s="1">
        <v>45387</v>
      </c>
      <c r="H214" t="s">
        <v>25</v>
      </c>
      <c r="I214">
        <v>4.5999999999999996</v>
      </c>
      <c r="J214" t="s">
        <v>62</v>
      </c>
      <c r="K214">
        <v>2024</v>
      </c>
      <c r="L214">
        <v>8165.1480000000001</v>
      </c>
      <c r="M214">
        <v>24</v>
      </c>
      <c r="N214" t="s">
        <v>20</v>
      </c>
      <c r="O214" t="s">
        <v>68</v>
      </c>
    </row>
    <row r="215" spans="1:15" x14ac:dyDescent="0.3">
      <c r="A215" t="s">
        <v>283</v>
      </c>
      <c r="B215" t="s">
        <v>43</v>
      </c>
      <c r="C215" t="s">
        <v>40</v>
      </c>
      <c r="D215">
        <v>32630.83</v>
      </c>
      <c r="E215">
        <v>2</v>
      </c>
      <c r="F215">
        <v>65261.66</v>
      </c>
      <c r="G215" s="1">
        <v>45648</v>
      </c>
      <c r="H215" t="s">
        <v>25</v>
      </c>
      <c r="I215">
        <v>4.7</v>
      </c>
      <c r="J215" t="s">
        <v>26</v>
      </c>
      <c r="K215">
        <v>2024</v>
      </c>
      <c r="L215">
        <v>13052.332000000002</v>
      </c>
      <c r="M215">
        <v>21</v>
      </c>
      <c r="N215" t="s">
        <v>27</v>
      </c>
      <c r="O215" t="s">
        <v>33</v>
      </c>
    </row>
    <row r="216" spans="1:15" x14ac:dyDescent="0.3">
      <c r="A216" t="s">
        <v>284</v>
      </c>
      <c r="B216" t="s">
        <v>96</v>
      </c>
      <c r="C216" t="s">
        <v>36</v>
      </c>
      <c r="D216">
        <v>24818.77</v>
      </c>
      <c r="E216">
        <v>4</v>
      </c>
      <c r="F216">
        <v>99275.08</v>
      </c>
      <c r="G216" s="1">
        <v>45610</v>
      </c>
      <c r="H216" t="s">
        <v>18</v>
      </c>
      <c r="I216">
        <v>2.2999999999999998</v>
      </c>
      <c r="J216" t="s">
        <v>37</v>
      </c>
      <c r="K216">
        <v>2024</v>
      </c>
      <c r="L216">
        <v>19855.016000000003</v>
      </c>
      <c r="M216">
        <v>21</v>
      </c>
      <c r="N216" t="s">
        <v>41</v>
      </c>
      <c r="O216" t="s">
        <v>68</v>
      </c>
    </row>
    <row r="217" spans="1:15" x14ac:dyDescent="0.3">
      <c r="A217" t="s">
        <v>285</v>
      </c>
      <c r="B217" t="s">
        <v>74</v>
      </c>
      <c r="C217" t="s">
        <v>17</v>
      </c>
      <c r="D217">
        <v>36645.35</v>
      </c>
      <c r="E217">
        <v>3</v>
      </c>
      <c r="F217">
        <v>109936.05</v>
      </c>
      <c r="G217" s="1">
        <v>45652</v>
      </c>
      <c r="H217" t="s">
        <v>18</v>
      </c>
      <c r="I217">
        <v>2.5</v>
      </c>
      <c r="J217" t="s">
        <v>26</v>
      </c>
      <c r="K217">
        <v>2024</v>
      </c>
      <c r="L217">
        <v>21987.210000000003</v>
      </c>
      <c r="M217">
        <v>30</v>
      </c>
      <c r="N217" t="s">
        <v>27</v>
      </c>
      <c r="O217" t="s">
        <v>33</v>
      </c>
    </row>
    <row r="218" spans="1:15" x14ac:dyDescent="0.3">
      <c r="A218" t="s">
        <v>286</v>
      </c>
      <c r="B218" t="s">
        <v>23</v>
      </c>
      <c r="C218" t="s">
        <v>24</v>
      </c>
      <c r="D218">
        <v>25668.959999999999</v>
      </c>
      <c r="E218">
        <v>3</v>
      </c>
      <c r="F218">
        <v>77006.880000000005</v>
      </c>
      <c r="G218" s="1">
        <v>45451</v>
      </c>
      <c r="H218" t="s">
        <v>18</v>
      </c>
      <c r="I218">
        <v>4.8</v>
      </c>
      <c r="J218" t="s">
        <v>67</v>
      </c>
      <c r="K218">
        <v>2024</v>
      </c>
      <c r="L218">
        <v>15401.376000000002</v>
      </c>
      <c r="M218">
        <v>24</v>
      </c>
      <c r="N218" t="s">
        <v>27</v>
      </c>
      <c r="O218" t="s">
        <v>33</v>
      </c>
    </row>
    <row r="219" spans="1:15" x14ac:dyDescent="0.3">
      <c r="A219" t="s">
        <v>287</v>
      </c>
      <c r="B219" t="s">
        <v>176</v>
      </c>
      <c r="C219" t="s">
        <v>24</v>
      </c>
      <c r="D219">
        <v>44241.68</v>
      </c>
      <c r="E219">
        <v>4</v>
      </c>
      <c r="F219">
        <v>176966.72</v>
      </c>
      <c r="G219" s="1">
        <v>45553</v>
      </c>
      <c r="H219" t="s">
        <v>64</v>
      </c>
      <c r="I219">
        <v>1.4</v>
      </c>
      <c r="J219" t="s">
        <v>19</v>
      </c>
      <c r="K219">
        <v>2024</v>
      </c>
      <c r="L219">
        <v>35393.344000000005</v>
      </c>
      <c r="M219">
        <v>16</v>
      </c>
      <c r="N219" t="s">
        <v>41</v>
      </c>
      <c r="O219" t="s">
        <v>21</v>
      </c>
    </row>
    <row r="220" spans="1:15" x14ac:dyDescent="0.3">
      <c r="A220" t="s">
        <v>288</v>
      </c>
      <c r="B220" t="s">
        <v>107</v>
      </c>
      <c r="C220" t="s">
        <v>36</v>
      </c>
      <c r="D220">
        <v>39749.19</v>
      </c>
      <c r="E220">
        <v>1</v>
      </c>
      <c r="F220">
        <v>39749.19</v>
      </c>
      <c r="G220" s="1">
        <v>45492</v>
      </c>
      <c r="H220" t="s">
        <v>64</v>
      </c>
      <c r="I220">
        <v>3.5</v>
      </c>
      <c r="J220" t="s">
        <v>48</v>
      </c>
      <c r="K220">
        <v>2024</v>
      </c>
      <c r="L220">
        <v>7949.8380000000006</v>
      </c>
      <c r="M220">
        <v>11</v>
      </c>
      <c r="N220" t="s">
        <v>20</v>
      </c>
      <c r="O220" t="s">
        <v>33</v>
      </c>
    </row>
    <row r="221" spans="1:15" x14ac:dyDescent="0.3">
      <c r="A221" t="s">
        <v>289</v>
      </c>
      <c r="B221" t="s">
        <v>55</v>
      </c>
      <c r="C221" t="s">
        <v>36</v>
      </c>
      <c r="D221">
        <v>37578.46</v>
      </c>
      <c r="E221">
        <v>2</v>
      </c>
      <c r="F221">
        <v>75156.92</v>
      </c>
      <c r="G221" s="1">
        <v>45451</v>
      </c>
      <c r="H221" t="s">
        <v>80</v>
      </c>
      <c r="I221">
        <v>4.4000000000000004</v>
      </c>
      <c r="J221" t="s">
        <v>67</v>
      </c>
      <c r="K221">
        <v>2024</v>
      </c>
      <c r="L221">
        <v>15031.384</v>
      </c>
      <c r="M221">
        <v>6</v>
      </c>
      <c r="N221" t="s">
        <v>20</v>
      </c>
      <c r="O221" t="s">
        <v>28</v>
      </c>
    </row>
    <row r="222" spans="1:15" x14ac:dyDescent="0.3">
      <c r="A222" t="s">
        <v>290</v>
      </c>
      <c r="B222" t="s">
        <v>66</v>
      </c>
      <c r="C222" t="s">
        <v>36</v>
      </c>
      <c r="D222">
        <v>37203.65</v>
      </c>
      <c r="E222">
        <v>4</v>
      </c>
      <c r="F222">
        <v>148814.6</v>
      </c>
      <c r="G222" s="1">
        <v>45426</v>
      </c>
      <c r="H222" t="s">
        <v>44</v>
      </c>
      <c r="I222">
        <v>3.5</v>
      </c>
      <c r="J222" t="s">
        <v>32</v>
      </c>
      <c r="K222">
        <v>2024</v>
      </c>
      <c r="L222">
        <v>29762.920000000002</v>
      </c>
      <c r="M222">
        <v>7</v>
      </c>
      <c r="N222" t="s">
        <v>41</v>
      </c>
      <c r="O222" t="s">
        <v>33</v>
      </c>
    </row>
    <row r="223" spans="1:15" x14ac:dyDescent="0.3">
      <c r="A223" t="s">
        <v>291</v>
      </c>
      <c r="B223" t="s">
        <v>125</v>
      </c>
      <c r="C223" t="s">
        <v>17</v>
      </c>
      <c r="D223">
        <v>22851.63</v>
      </c>
      <c r="E223">
        <v>1</v>
      </c>
      <c r="F223">
        <v>22851.63</v>
      </c>
      <c r="G223" s="1">
        <v>45426</v>
      </c>
      <c r="H223" t="s">
        <v>44</v>
      </c>
      <c r="I223">
        <v>1</v>
      </c>
      <c r="J223" t="s">
        <v>32</v>
      </c>
      <c r="K223">
        <v>2024</v>
      </c>
      <c r="L223">
        <v>4570.326</v>
      </c>
      <c r="M223">
        <v>21</v>
      </c>
      <c r="N223" t="s">
        <v>20</v>
      </c>
      <c r="O223" t="s">
        <v>21</v>
      </c>
    </row>
    <row r="224" spans="1:15" x14ac:dyDescent="0.3">
      <c r="A224" t="s">
        <v>292</v>
      </c>
      <c r="B224" t="s">
        <v>94</v>
      </c>
      <c r="C224" t="s">
        <v>31</v>
      </c>
      <c r="D224">
        <v>27627.84</v>
      </c>
      <c r="E224">
        <v>4</v>
      </c>
      <c r="F224">
        <v>110511.36</v>
      </c>
      <c r="G224" s="1">
        <v>45381</v>
      </c>
      <c r="H224" t="s">
        <v>25</v>
      </c>
      <c r="I224">
        <v>1.8</v>
      </c>
      <c r="J224" t="s">
        <v>56</v>
      </c>
      <c r="K224">
        <v>2024</v>
      </c>
      <c r="L224">
        <v>22102.272000000001</v>
      </c>
      <c r="M224">
        <v>9</v>
      </c>
      <c r="N224" t="s">
        <v>41</v>
      </c>
      <c r="O224" t="s">
        <v>33</v>
      </c>
    </row>
    <row r="225" spans="1:15" x14ac:dyDescent="0.3">
      <c r="A225" t="s">
        <v>293</v>
      </c>
      <c r="B225" t="s">
        <v>125</v>
      </c>
      <c r="C225" t="s">
        <v>17</v>
      </c>
      <c r="D225">
        <v>31333.95</v>
      </c>
      <c r="E225">
        <v>3</v>
      </c>
      <c r="F225">
        <v>94001.85</v>
      </c>
      <c r="G225" s="1">
        <v>45525</v>
      </c>
      <c r="H225" t="s">
        <v>18</v>
      </c>
      <c r="I225">
        <v>1.7</v>
      </c>
      <c r="J225" t="s">
        <v>88</v>
      </c>
      <c r="K225">
        <v>2024</v>
      </c>
      <c r="L225">
        <v>18800.370000000003</v>
      </c>
      <c r="M225">
        <v>21</v>
      </c>
      <c r="N225" t="s">
        <v>41</v>
      </c>
      <c r="O225" t="s">
        <v>28</v>
      </c>
    </row>
    <row r="226" spans="1:15" x14ac:dyDescent="0.3">
      <c r="A226" t="s">
        <v>294</v>
      </c>
      <c r="B226" t="s">
        <v>84</v>
      </c>
      <c r="C226" t="s">
        <v>40</v>
      </c>
      <c r="D226">
        <v>30911.439999999999</v>
      </c>
      <c r="E226">
        <v>5</v>
      </c>
      <c r="F226">
        <v>154557.20000000001</v>
      </c>
      <c r="G226" s="1">
        <v>45388</v>
      </c>
      <c r="H226" t="s">
        <v>18</v>
      </c>
      <c r="I226">
        <v>3</v>
      </c>
      <c r="J226" t="s">
        <v>62</v>
      </c>
      <c r="K226">
        <v>2024</v>
      </c>
      <c r="L226">
        <v>30911.440000000002</v>
      </c>
      <c r="M226">
        <v>28</v>
      </c>
      <c r="N226" t="s">
        <v>41</v>
      </c>
      <c r="O226" t="s">
        <v>28</v>
      </c>
    </row>
    <row r="227" spans="1:15" x14ac:dyDescent="0.3">
      <c r="A227" t="s">
        <v>295</v>
      </c>
      <c r="B227" t="s">
        <v>96</v>
      </c>
      <c r="C227" t="s">
        <v>36</v>
      </c>
      <c r="D227">
        <v>11518.23</v>
      </c>
      <c r="E227">
        <v>1</v>
      </c>
      <c r="F227">
        <v>11518.23</v>
      </c>
      <c r="G227" s="1">
        <v>45687</v>
      </c>
      <c r="H227" t="s">
        <v>18</v>
      </c>
      <c r="I227">
        <v>4.4000000000000004</v>
      </c>
      <c r="J227" t="s">
        <v>53</v>
      </c>
      <c r="K227">
        <v>2025</v>
      </c>
      <c r="L227">
        <v>2303.6460000000002</v>
      </c>
      <c r="M227">
        <v>21</v>
      </c>
      <c r="N227" t="s">
        <v>20</v>
      </c>
      <c r="O227" t="s">
        <v>28</v>
      </c>
    </row>
    <row r="228" spans="1:15" x14ac:dyDescent="0.3">
      <c r="A228" t="s">
        <v>296</v>
      </c>
      <c r="B228" t="s">
        <v>23</v>
      </c>
      <c r="C228" t="s">
        <v>24</v>
      </c>
      <c r="D228">
        <v>43304.55</v>
      </c>
      <c r="E228">
        <v>5</v>
      </c>
      <c r="F228">
        <v>216522.75</v>
      </c>
      <c r="G228" s="1">
        <v>45654</v>
      </c>
      <c r="H228" t="s">
        <v>25</v>
      </c>
      <c r="I228">
        <v>2.6</v>
      </c>
      <c r="J228" t="s">
        <v>26</v>
      </c>
      <c r="K228">
        <v>2024</v>
      </c>
      <c r="L228">
        <v>43304.55</v>
      </c>
      <c r="M228">
        <v>21</v>
      </c>
      <c r="N228" t="s">
        <v>41</v>
      </c>
      <c r="O228" t="s">
        <v>21</v>
      </c>
    </row>
    <row r="229" spans="1:15" x14ac:dyDescent="0.3">
      <c r="A229" t="s">
        <v>297</v>
      </c>
      <c r="B229" t="s">
        <v>125</v>
      </c>
      <c r="C229" t="s">
        <v>17</v>
      </c>
      <c r="D229">
        <v>3710.07</v>
      </c>
      <c r="E229">
        <v>3</v>
      </c>
      <c r="F229">
        <v>11130.21</v>
      </c>
      <c r="G229" s="1">
        <v>45342</v>
      </c>
      <c r="H229" t="s">
        <v>71</v>
      </c>
      <c r="I229">
        <v>4.2</v>
      </c>
      <c r="J229" t="s">
        <v>59</v>
      </c>
      <c r="K229">
        <v>2024</v>
      </c>
      <c r="L229">
        <v>2226.0419999999999</v>
      </c>
      <c r="M229">
        <v>6</v>
      </c>
      <c r="N229" t="s">
        <v>27</v>
      </c>
      <c r="O229" t="s">
        <v>21</v>
      </c>
    </row>
    <row r="230" spans="1:15" x14ac:dyDescent="0.3">
      <c r="A230" t="s">
        <v>298</v>
      </c>
      <c r="B230" t="s">
        <v>58</v>
      </c>
      <c r="C230" t="s">
        <v>31</v>
      </c>
      <c r="D230">
        <v>34621.21</v>
      </c>
      <c r="E230">
        <v>2</v>
      </c>
      <c r="F230">
        <v>69242.42</v>
      </c>
      <c r="G230" s="1">
        <v>45663</v>
      </c>
      <c r="H230" t="s">
        <v>44</v>
      </c>
      <c r="I230">
        <v>1.8</v>
      </c>
      <c r="J230" t="s">
        <v>53</v>
      </c>
      <c r="K230">
        <v>2025</v>
      </c>
      <c r="L230">
        <v>13848.484</v>
      </c>
      <c r="M230">
        <v>6</v>
      </c>
      <c r="N230" t="s">
        <v>20</v>
      </c>
      <c r="O230" t="s">
        <v>68</v>
      </c>
    </row>
    <row r="231" spans="1:15" x14ac:dyDescent="0.3">
      <c r="A231" t="s">
        <v>299</v>
      </c>
      <c r="B231" t="s">
        <v>107</v>
      </c>
      <c r="C231" t="s">
        <v>36</v>
      </c>
      <c r="D231">
        <v>41742.29</v>
      </c>
      <c r="E231">
        <v>5</v>
      </c>
      <c r="F231">
        <v>208711.45</v>
      </c>
      <c r="G231" s="1">
        <v>45488</v>
      </c>
      <c r="H231" t="s">
        <v>64</v>
      </c>
      <c r="I231">
        <v>2.6</v>
      </c>
      <c r="J231" t="s">
        <v>48</v>
      </c>
      <c r="K231">
        <v>2024</v>
      </c>
      <c r="L231">
        <v>41742.290000000008</v>
      </c>
      <c r="M231">
        <v>26</v>
      </c>
      <c r="N231" t="s">
        <v>20</v>
      </c>
      <c r="O231" t="s">
        <v>21</v>
      </c>
    </row>
    <row r="232" spans="1:15" x14ac:dyDescent="0.3">
      <c r="A232" t="s">
        <v>300</v>
      </c>
      <c r="B232" t="s">
        <v>84</v>
      </c>
      <c r="C232" t="s">
        <v>40</v>
      </c>
      <c r="D232">
        <v>46858.63</v>
      </c>
      <c r="E232">
        <v>1</v>
      </c>
      <c r="F232">
        <v>46858.63</v>
      </c>
      <c r="G232" s="1">
        <v>45598</v>
      </c>
      <c r="H232" t="s">
        <v>18</v>
      </c>
      <c r="I232">
        <v>3.5</v>
      </c>
      <c r="J232" t="s">
        <v>37</v>
      </c>
      <c r="K232">
        <v>2024</v>
      </c>
      <c r="L232">
        <v>9371.7260000000006</v>
      </c>
      <c r="M232">
        <v>27</v>
      </c>
      <c r="N232" t="s">
        <v>20</v>
      </c>
      <c r="O232" t="s">
        <v>28</v>
      </c>
    </row>
    <row r="233" spans="1:15" x14ac:dyDescent="0.3">
      <c r="A233" t="s">
        <v>301</v>
      </c>
      <c r="B233" t="s">
        <v>35</v>
      </c>
      <c r="C233" t="s">
        <v>36</v>
      </c>
      <c r="D233">
        <v>5413.09</v>
      </c>
      <c r="E233">
        <v>1</v>
      </c>
      <c r="F233">
        <v>5413.09</v>
      </c>
      <c r="G233" s="1">
        <v>45432</v>
      </c>
      <c r="H233" t="s">
        <v>25</v>
      </c>
      <c r="I233">
        <v>3.4</v>
      </c>
      <c r="J233" t="s">
        <v>32</v>
      </c>
      <c r="K233">
        <v>2024</v>
      </c>
      <c r="L233">
        <v>1082.6180000000002</v>
      </c>
      <c r="M233">
        <v>9</v>
      </c>
      <c r="N233" t="s">
        <v>20</v>
      </c>
      <c r="O233" t="s">
        <v>28</v>
      </c>
    </row>
    <row r="234" spans="1:15" x14ac:dyDescent="0.3">
      <c r="A234" t="s">
        <v>302</v>
      </c>
      <c r="B234" t="s">
        <v>96</v>
      </c>
      <c r="C234" t="s">
        <v>36</v>
      </c>
      <c r="D234">
        <v>5880.45</v>
      </c>
      <c r="E234">
        <v>1</v>
      </c>
      <c r="F234">
        <v>5880.45</v>
      </c>
      <c r="G234" s="1">
        <v>45544</v>
      </c>
      <c r="H234" t="s">
        <v>80</v>
      </c>
      <c r="I234">
        <v>2</v>
      </c>
      <c r="J234" t="s">
        <v>19</v>
      </c>
      <c r="K234">
        <v>2024</v>
      </c>
      <c r="L234">
        <v>1176.0899999999999</v>
      </c>
      <c r="M234">
        <v>5</v>
      </c>
      <c r="N234" t="s">
        <v>27</v>
      </c>
      <c r="O234" t="s">
        <v>21</v>
      </c>
    </row>
    <row r="235" spans="1:15" x14ac:dyDescent="0.3">
      <c r="A235" t="s">
        <v>303</v>
      </c>
      <c r="B235" t="s">
        <v>70</v>
      </c>
      <c r="C235" t="s">
        <v>17</v>
      </c>
      <c r="D235">
        <v>35665.26</v>
      </c>
      <c r="E235">
        <v>3</v>
      </c>
      <c r="F235">
        <v>106995.78</v>
      </c>
      <c r="G235" s="1">
        <v>45381</v>
      </c>
      <c r="H235" t="s">
        <v>44</v>
      </c>
      <c r="I235">
        <v>1.2</v>
      </c>
      <c r="J235" t="s">
        <v>56</v>
      </c>
      <c r="K235">
        <v>2024</v>
      </c>
      <c r="L235">
        <v>21399.156000000003</v>
      </c>
      <c r="M235">
        <v>5</v>
      </c>
      <c r="N235" t="s">
        <v>20</v>
      </c>
      <c r="O235" t="s">
        <v>33</v>
      </c>
    </row>
    <row r="236" spans="1:15" x14ac:dyDescent="0.3">
      <c r="A236" t="s">
        <v>304</v>
      </c>
      <c r="B236" t="s">
        <v>107</v>
      </c>
      <c r="C236" t="s">
        <v>36</v>
      </c>
      <c r="D236">
        <v>42981.89</v>
      </c>
      <c r="E236">
        <v>5</v>
      </c>
      <c r="F236">
        <v>214909.45</v>
      </c>
      <c r="G236" s="1">
        <v>45659</v>
      </c>
      <c r="H236" t="s">
        <v>71</v>
      </c>
      <c r="I236">
        <v>1.8</v>
      </c>
      <c r="J236" t="s">
        <v>53</v>
      </c>
      <c r="K236">
        <v>2025</v>
      </c>
      <c r="L236">
        <v>42981.890000000007</v>
      </c>
      <c r="M236">
        <v>23</v>
      </c>
      <c r="N236" t="s">
        <v>20</v>
      </c>
      <c r="O236" t="s">
        <v>21</v>
      </c>
    </row>
    <row r="237" spans="1:15" x14ac:dyDescent="0.3">
      <c r="A237" t="s">
        <v>305</v>
      </c>
      <c r="B237" t="s">
        <v>70</v>
      </c>
      <c r="C237" t="s">
        <v>17</v>
      </c>
      <c r="D237">
        <v>25629.88</v>
      </c>
      <c r="E237">
        <v>3</v>
      </c>
      <c r="F237">
        <v>76889.64</v>
      </c>
      <c r="G237" s="1">
        <v>45538</v>
      </c>
      <c r="H237" t="s">
        <v>18</v>
      </c>
      <c r="I237">
        <v>2.9</v>
      </c>
      <c r="J237" t="s">
        <v>19</v>
      </c>
      <c r="K237">
        <v>2024</v>
      </c>
      <c r="L237">
        <v>15377.928</v>
      </c>
      <c r="M237">
        <v>6</v>
      </c>
      <c r="N237" t="s">
        <v>41</v>
      </c>
      <c r="O237" t="s">
        <v>21</v>
      </c>
    </row>
    <row r="238" spans="1:15" x14ac:dyDescent="0.3">
      <c r="A238" t="s">
        <v>306</v>
      </c>
      <c r="B238" t="s">
        <v>58</v>
      </c>
      <c r="C238" t="s">
        <v>31</v>
      </c>
      <c r="D238">
        <v>22475.94</v>
      </c>
      <c r="E238">
        <v>4</v>
      </c>
      <c r="F238">
        <v>89903.76</v>
      </c>
      <c r="G238" s="1">
        <v>45335</v>
      </c>
      <c r="H238" t="s">
        <v>18</v>
      </c>
      <c r="I238">
        <v>3.5</v>
      </c>
      <c r="J238" t="s">
        <v>59</v>
      </c>
      <c r="K238">
        <v>2024</v>
      </c>
      <c r="L238">
        <v>17980.752</v>
      </c>
      <c r="M238">
        <v>25</v>
      </c>
      <c r="N238" t="s">
        <v>20</v>
      </c>
      <c r="O238" t="s">
        <v>28</v>
      </c>
    </row>
    <row r="239" spans="1:15" x14ac:dyDescent="0.3">
      <c r="A239" t="s">
        <v>307</v>
      </c>
      <c r="B239" t="s">
        <v>145</v>
      </c>
      <c r="C239" t="s">
        <v>40</v>
      </c>
      <c r="D239">
        <v>33250.699999999997</v>
      </c>
      <c r="E239">
        <v>5</v>
      </c>
      <c r="F239">
        <v>166253.5</v>
      </c>
      <c r="G239" s="1">
        <v>45584</v>
      </c>
      <c r="H239" t="s">
        <v>44</v>
      </c>
      <c r="I239">
        <v>4.3</v>
      </c>
      <c r="J239" t="s">
        <v>45</v>
      </c>
      <c r="K239">
        <v>2024</v>
      </c>
      <c r="L239">
        <v>33250.700000000004</v>
      </c>
      <c r="M239">
        <v>16</v>
      </c>
      <c r="N239" t="s">
        <v>27</v>
      </c>
      <c r="O239" t="s">
        <v>68</v>
      </c>
    </row>
    <row r="240" spans="1:15" x14ac:dyDescent="0.3">
      <c r="A240" t="s">
        <v>308</v>
      </c>
      <c r="B240" t="s">
        <v>74</v>
      </c>
      <c r="C240" t="s">
        <v>17</v>
      </c>
      <c r="D240">
        <v>45045.03</v>
      </c>
      <c r="E240">
        <v>5</v>
      </c>
      <c r="F240">
        <v>225225.15</v>
      </c>
      <c r="G240" s="1">
        <v>45659</v>
      </c>
      <c r="H240" t="s">
        <v>80</v>
      </c>
      <c r="I240">
        <v>3.8</v>
      </c>
      <c r="J240" t="s">
        <v>53</v>
      </c>
      <c r="K240">
        <v>2025</v>
      </c>
      <c r="L240">
        <v>45045.03</v>
      </c>
      <c r="M240">
        <v>30</v>
      </c>
      <c r="N240" t="s">
        <v>27</v>
      </c>
      <c r="O240" t="s">
        <v>28</v>
      </c>
    </row>
    <row r="241" spans="1:15" x14ac:dyDescent="0.3">
      <c r="A241" t="s">
        <v>309</v>
      </c>
      <c r="B241" t="s">
        <v>84</v>
      </c>
      <c r="C241" t="s">
        <v>40</v>
      </c>
      <c r="D241">
        <v>3955.86</v>
      </c>
      <c r="E241">
        <v>5</v>
      </c>
      <c r="F241">
        <v>19779.3</v>
      </c>
      <c r="G241" s="1">
        <v>45461</v>
      </c>
      <c r="H241" t="s">
        <v>80</v>
      </c>
      <c r="I241">
        <v>4.7</v>
      </c>
      <c r="J241" t="s">
        <v>67</v>
      </c>
      <c r="K241">
        <v>2024</v>
      </c>
      <c r="L241">
        <v>3955.86</v>
      </c>
      <c r="M241">
        <v>10</v>
      </c>
      <c r="N241" t="s">
        <v>27</v>
      </c>
      <c r="O241" t="s">
        <v>68</v>
      </c>
    </row>
    <row r="242" spans="1:15" x14ac:dyDescent="0.3">
      <c r="A242" t="s">
        <v>310</v>
      </c>
      <c r="B242" t="s">
        <v>58</v>
      </c>
      <c r="C242" t="s">
        <v>31</v>
      </c>
      <c r="D242">
        <v>28169.11</v>
      </c>
      <c r="E242">
        <v>5</v>
      </c>
      <c r="F242">
        <v>140845.54999999999</v>
      </c>
      <c r="G242" s="1">
        <v>45416</v>
      </c>
      <c r="H242" t="s">
        <v>25</v>
      </c>
      <c r="I242">
        <v>2.7</v>
      </c>
      <c r="J242" t="s">
        <v>32</v>
      </c>
      <c r="K242">
        <v>2024</v>
      </c>
      <c r="L242">
        <v>28169.11</v>
      </c>
      <c r="M242">
        <v>27</v>
      </c>
      <c r="N242" t="s">
        <v>27</v>
      </c>
      <c r="O242" t="s">
        <v>28</v>
      </c>
    </row>
    <row r="243" spans="1:15" x14ac:dyDescent="0.3">
      <c r="A243" t="s">
        <v>311</v>
      </c>
      <c r="B243" t="s">
        <v>30</v>
      </c>
      <c r="C243" t="s">
        <v>31</v>
      </c>
      <c r="D243">
        <v>42785.51</v>
      </c>
      <c r="E243">
        <v>4</v>
      </c>
      <c r="F243">
        <v>171142.04</v>
      </c>
      <c r="G243" s="1">
        <v>45609</v>
      </c>
      <c r="H243" t="s">
        <v>64</v>
      </c>
      <c r="I243">
        <v>1.7</v>
      </c>
      <c r="J243" t="s">
        <v>37</v>
      </c>
      <c r="K243">
        <v>2024</v>
      </c>
      <c r="L243">
        <v>34228.408000000003</v>
      </c>
      <c r="M243">
        <v>8</v>
      </c>
      <c r="N243" t="s">
        <v>20</v>
      </c>
      <c r="O243" t="s">
        <v>21</v>
      </c>
    </row>
    <row r="244" spans="1:15" x14ac:dyDescent="0.3">
      <c r="A244" t="s">
        <v>312</v>
      </c>
      <c r="B244" t="s">
        <v>66</v>
      </c>
      <c r="C244" t="s">
        <v>36</v>
      </c>
      <c r="D244">
        <v>25614.35</v>
      </c>
      <c r="E244">
        <v>2</v>
      </c>
      <c r="F244">
        <v>51228.7</v>
      </c>
      <c r="G244" s="1">
        <v>45516</v>
      </c>
      <c r="H244" t="s">
        <v>44</v>
      </c>
      <c r="I244">
        <v>3.5</v>
      </c>
      <c r="J244" t="s">
        <v>88</v>
      </c>
      <c r="K244">
        <v>2024</v>
      </c>
      <c r="L244">
        <v>10245.74</v>
      </c>
      <c r="M244">
        <v>27</v>
      </c>
      <c r="N244" t="s">
        <v>20</v>
      </c>
      <c r="O244" t="s">
        <v>28</v>
      </c>
    </row>
    <row r="245" spans="1:15" x14ac:dyDescent="0.3">
      <c r="A245" t="s">
        <v>313</v>
      </c>
      <c r="B245" t="s">
        <v>43</v>
      </c>
      <c r="C245" t="s">
        <v>40</v>
      </c>
      <c r="D245">
        <v>7771.58</v>
      </c>
      <c r="E245">
        <v>5</v>
      </c>
      <c r="F245">
        <v>38857.9</v>
      </c>
      <c r="G245" s="1">
        <v>45521</v>
      </c>
      <c r="H245" t="s">
        <v>18</v>
      </c>
      <c r="I245">
        <v>3.6</v>
      </c>
      <c r="J245" t="s">
        <v>88</v>
      </c>
      <c r="K245">
        <v>2024</v>
      </c>
      <c r="L245">
        <v>7771.5800000000008</v>
      </c>
      <c r="M245">
        <v>15</v>
      </c>
      <c r="N245" t="s">
        <v>27</v>
      </c>
      <c r="O245" t="s">
        <v>28</v>
      </c>
    </row>
    <row r="246" spans="1:15" x14ac:dyDescent="0.3">
      <c r="A246" t="s">
        <v>314</v>
      </c>
      <c r="B246" t="s">
        <v>74</v>
      </c>
      <c r="C246" t="s">
        <v>17</v>
      </c>
      <c r="D246">
        <v>31059.47</v>
      </c>
      <c r="E246">
        <v>3</v>
      </c>
      <c r="F246">
        <v>93178.41</v>
      </c>
      <c r="G246" s="1">
        <v>45427</v>
      </c>
      <c r="H246" t="s">
        <v>44</v>
      </c>
      <c r="I246">
        <v>4.8</v>
      </c>
      <c r="J246" t="s">
        <v>32</v>
      </c>
      <c r="K246">
        <v>2024</v>
      </c>
      <c r="L246">
        <v>18635.682000000001</v>
      </c>
      <c r="M246">
        <v>28</v>
      </c>
      <c r="N246" t="s">
        <v>27</v>
      </c>
      <c r="O246" t="s">
        <v>28</v>
      </c>
    </row>
    <row r="247" spans="1:15" x14ac:dyDescent="0.3">
      <c r="A247" t="s">
        <v>315</v>
      </c>
      <c r="B247" t="s">
        <v>16</v>
      </c>
      <c r="C247" t="s">
        <v>17</v>
      </c>
      <c r="D247">
        <v>14506.11</v>
      </c>
      <c r="E247">
        <v>5</v>
      </c>
      <c r="F247">
        <v>72530.55</v>
      </c>
      <c r="G247" s="1">
        <v>45459</v>
      </c>
      <c r="H247" t="s">
        <v>18</v>
      </c>
      <c r="I247">
        <v>3.5</v>
      </c>
      <c r="J247" t="s">
        <v>67</v>
      </c>
      <c r="K247">
        <v>2024</v>
      </c>
      <c r="L247">
        <v>14506.11</v>
      </c>
      <c r="M247">
        <v>21</v>
      </c>
      <c r="N247" t="s">
        <v>20</v>
      </c>
      <c r="O247" t="s">
        <v>21</v>
      </c>
    </row>
    <row r="248" spans="1:15" x14ac:dyDescent="0.3">
      <c r="A248" t="s">
        <v>316</v>
      </c>
      <c r="B248" t="s">
        <v>35</v>
      </c>
      <c r="C248" t="s">
        <v>36</v>
      </c>
      <c r="D248">
        <v>16272.38</v>
      </c>
      <c r="E248">
        <v>3</v>
      </c>
      <c r="F248">
        <v>48817.14</v>
      </c>
      <c r="G248" s="1">
        <v>45458</v>
      </c>
      <c r="H248" t="s">
        <v>18</v>
      </c>
      <c r="I248">
        <v>1.4</v>
      </c>
      <c r="J248" t="s">
        <v>67</v>
      </c>
      <c r="K248">
        <v>2024</v>
      </c>
      <c r="L248">
        <v>9763.4279999999999</v>
      </c>
      <c r="M248">
        <v>10</v>
      </c>
      <c r="N248" t="s">
        <v>27</v>
      </c>
      <c r="O248" t="s">
        <v>21</v>
      </c>
    </row>
    <row r="249" spans="1:15" x14ac:dyDescent="0.3">
      <c r="A249" t="s">
        <v>317</v>
      </c>
      <c r="B249" t="s">
        <v>78</v>
      </c>
      <c r="C249" t="s">
        <v>24</v>
      </c>
      <c r="D249">
        <v>29222.92</v>
      </c>
      <c r="E249">
        <v>3</v>
      </c>
      <c r="F249">
        <v>87668.76</v>
      </c>
      <c r="G249" s="1">
        <v>45581</v>
      </c>
      <c r="H249" t="s">
        <v>18</v>
      </c>
      <c r="I249">
        <v>2.7</v>
      </c>
      <c r="J249" t="s">
        <v>45</v>
      </c>
      <c r="K249">
        <v>2024</v>
      </c>
      <c r="L249">
        <v>17533.752</v>
      </c>
      <c r="M249">
        <v>28</v>
      </c>
      <c r="N249" t="s">
        <v>41</v>
      </c>
      <c r="O249" t="s">
        <v>21</v>
      </c>
    </row>
    <row r="250" spans="1:15" x14ac:dyDescent="0.3">
      <c r="A250" t="s">
        <v>318</v>
      </c>
      <c r="B250" t="s">
        <v>16</v>
      </c>
      <c r="C250" t="s">
        <v>17</v>
      </c>
      <c r="D250">
        <v>1483.5</v>
      </c>
      <c r="E250">
        <v>5</v>
      </c>
      <c r="F250">
        <v>7417.5</v>
      </c>
      <c r="G250" s="1">
        <v>45600</v>
      </c>
      <c r="H250" t="s">
        <v>18</v>
      </c>
      <c r="I250">
        <v>4.3</v>
      </c>
      <c r="J250" t="s">
        <v>37</v>
      </c>
      <c r="K250">
        <v>2024</v>
      </c>
      <c r="L250">
        <v>1483.5</v>
      </c>
      <c r="M250">
        <v>9</v>
      </c>
      <c r="N250" t="s">
        <v>27</v>
      </c>
      <c r="O250" t="s">
        <v>21</v>
      </c>
    </row>
    <row r="251" spans="1:15" x14ac:dyDescent="0.3">
      <c r="A251" t="s">
        <v>319</v>
      </c>
      <c r="B251" t="s">
        <v>125</v>
      </c>
      <c r="C251" t="s">
        <v>17</v>
      </c>
      <c r="D251">
        <v>35629.550000000003</v>
      </c>
      <c r="E251">
        <v>2</v>
      </c>
      <c r="F251">
        <v>71259.100000000006</v>
      </c>
      <c r="G251" s="1">
        <v>45689</v>
      </c>
      <c r="H251" t="s">
        <v>44</v>
      </c>
      <c r="I251">
        <v>2</v>
      </c>
      <c r="J251" t="s">
        <v>59</v>
      </c>
      <c r="K251">
        <v>2025</v>
      </c>
      <c r="L251">
        <v>14251.820000000002</v>
      </c>
      <c r="M251">
        <v>24</v>
      </c>
      <c r="N251" t="s">
        <v>27</v>
      </c>
      <c r="O251" t="s">
        <v>68</v>
      </c>
    </row>
    <row r="252" spans="1:15" x14ac:dyDescent="0.3">
      <c r="A252" t="s">
        <v>320</v>
      </c>
      <c r="B252" t="s">
        <v>52</v>
      </c>
      <c r="C252" t="s">
        <v>24</v>
      </c>
      <c r="D252">
        <v>1987.98</v>
      </c>
      <c r="E252">
        <v>4</v>
      </c>
      <c r="F252">
        <v>7951.92</v>
      </c>
      <c r="G252" s="1">
        <v>45345</v>
      </c>
      <c r="H252" t="s">
        <v>25</v>
      </c>
      <c r="I252">
        <v>3.3</v>
      </c>
      <c r="J252" t="s">
        <v>59</v>
      </c>
      <c r="K252">
        <v>2024</v>
      </c>
      <c r="L252">
        <v>1590.384</v>
      </c>
      <c r="M252">
        <v>6</v>
      </c>
      <c r="N252" t="s">
        <v>41</v>
      </c>
      <c r="O252" t="s">
        <v>68</v>
      </c>
    </row>
    <row r="253" spans="1:15" x14ac:dyDescent="0.3">
      <c r="A253" t="s">
        <v>321</v>
      </c>
      <c r="B253" t="s">
        <v>16</v>
      </c>
      <c r="C253" t="s">
        <v>17</v>
      </c>
      <c r="D253">
        <v>37590.44</v>
      </c>
      <c r="E253">
        <v>4</v>
      </c>
      <c r="F253">
        <v>150361.76</v>
      </c>
      <c r="G253" s="1">
        <v>45379</v>
      </c>
      <c r="H253" t="s">
        <v>44</v>
      </c>
      <c r="I253">
        <v>1.8</v>
      </c>
      <c r="J253" t="s">
        <v>56</v>
      </c>
      <c r="K253">
        <v>2024</v>
      </c>
      <c r="L253">
        <v>30072.352000000003</v>
      </c>
      <c r="M253">
        <v>10</v>
      </c>
      <c r="N253" t="s">
        <v>41</v>
      </c>
      <c r="O253" t="s">
        <v>33</v>
      </c>
    </row>
    <row r="254" spans="1:15" x14ac:dyDescent="0.3">
      <c r="A254" t="s">
        <v>322</v>
      </c>
      <c r="B254" t="s">
        <v>43</v>
      </c>
      <c r="C254" t="s">
        <v>40</v>
      </c>
      <c r="D254">
        <v>31759.49</v>
      </c>
      <c r="E254">
        <v>4</v>
      </c>
      <c r="F254">
        <v>127037.96</v>
      </c>
      <c r="G254" s="1">
        <v>45637</v>
      </c>
      <c r="H254" t="s">
        <v>25</v>
      </c>
      <c r="I254">
        <v>2</v>
      </c>
      <c r="J254" t="s">
        <v>26</v>
      </c>
      <c r="K254">
        <v>2024</v>
      </c>
      <c r="L254">
        <v>25407.592000000004</v>
      </c>
      <c r="M254">
        <v>26</v>
      </c>
      <c r="N254" t="s">
        <v>20</v>
      </c>
      <c r="O254" t="s">
        <v>21</v>
      </c>
    </row>
    <row r="255" spans="1:15" x14ac:dyDescent="0.3">
      <c r="A255" t="s">
        <v>323</v>
      </c>
      <c r="B255" t="s">
        <v>100</v>
      </c>
      <c r="C255" t="s">
        <v>31</v>
      </c>
      <c r="D255">
        <v>18787.05</v>
      </c>
      <c r="E255">
        <v>4</v>
      </c>
      <c r="F255">
        <v>75148.2</v>
      </c>
      <c r="G255" s="1">
        <v>45684</v>
      </c>
      <c r="H255" t="s">
        <v>71</v>
      </c>
      <c r="I255">
        <v>1.1000000000000001</v>
      </c>
      <c r="J255" t="s">
        <v>53</v>
      </c>
      <c r="K255">
        <v>2025</v>
      </c>
      <c r="L255">
        <v>15029.64</v>
      </c>
      <c r="M255">
        <v>15</v>
      </c>
      <c r="N255" t="s">
        <v>20</v>
      </c>
      <c r="O255" t="s">
        <v>68</v>
      </c>
    </row>
    <row r="256" spans="1:15" x14ac:dyDescent="0.3">
      <c r="A256" t="s">
        <v>324</v>
      </c>
      <c r="B256" t="s">
        <v>16</v>
      </c>
      <c r="C256" t="s">
        <v>17</v>
      </c>
      <c r="D256">
        <v>17066.16</v>
      </c>
      <c r="E256">
        <v>1</v>
      </c>
      <c r="F256">
        <v>17066.16</v>
      </c>
      <c r="G256" s="1">
        <v>45550</v>
      </c>
      <c r="H256" t="s">
        <v>44</v>
      </c>
      <c r="I256">
        <v>2.8</v>
      </c>
      <c r="J256" t="s">
        <v>19</v>
      </c>
      <c r="K256">
        <v>2024</v>
      </c>
      <c r="L256">
        <v>3413.232</v>
      </c>
      <c r="M256">
        <v>20</v>
      </c>
      <c r="N256" t="s">
        <v>41</v>
      </c>
      <c r="O256" t="s">
        <v>28</v>
      </c>
    </row>
    <row r="257" spans="1:15" x14ac:dyDescent="0.3">
      <c r="A257" t="s">
        <v>325</v>
      </c>
      <c r="B257" t="s">
        <v>52</v>
      </c>
      <c r="C257" t="s">
        <v>24</v>
      </c>
      <c r="D257">
        <v>15068.72</v>
      </c>
      <c r="E257">
        <v>4</v>
      </c>
      <c r="F257">
        <v>60274.879999999997</v>
      </c>
      <c r="G257" s="1">
        <v>45374</v>
      </c>
      <c r="H257" t="s">
        <v>18</v>
      </c>
      <c r="I257">
        <v>1.4</v>
      </c>
      <c r="J257" t="s">
        <v>56</v>
      </c>
      <c r="K257">
        <v>2024</v>
      </c>
      <c r="L257">
        <v>12054.976000000001</v>
      </c>
      <c r="M257">
        <v>20</v>
      </c>
      <c r="N257" t="s">
        <v>41</v>
      </c>
      <c r="O257" t="s">
        <v>21</v>
      </c>
    </row>
    <row r="258" spans="1:15" x14ac:dyDescent="0.3">
      <c r="A258" t="s">
        <v>326</v>
      </c>
      <c r="B258" t="s">
        <v>66</v>
      </c>
      <c r="C258" t="s">
        <v>36</v>
      </c>
      <c r="D258">
        <v>44334.11</v>
      </c>
      <c r="E258">
        <v>3</v>
      </c>
      <c r="F258">
        <v>133002.32999999999</v>
      </c>
      <c r="G258" s="1">
        <v>45346</v>
      </c>
      <c r="H258" t="s">
        <v>44</v>
      </c>
      <c r="I258">
        <v>2.6</v>
      </c>
      <c r="J258" t="s">
        <v>59</v>
      </c>
      <c r="K258">
        <v>2024</v>
      </c>
      <c r="L258">
        <v>26600.466</v>
      </c>
      <c r="M258">
        <v>5</v>
      </c>
      <c r="N258" t="s">
        <v>20</v>
      </c>
      <c r="O258" t="s">
        <v>33</v>
      </c>
    </row>
    <row r="259" spans="1:15" x14ac:dyDescent="0.3">
      <c r="A259" t="s">
        <v>327</v>
      </c>
      <c r="B259" t="s">
        <v>66</v>
      </c>
      <c r="C259" t="s">
        <v>36</v>
      </c>
      <c r="D259">
        <v>11183.75</v>
      </c>
      <c r="E259">
        <v>1</v>
      </c>
      <c r="F259">
        <v>11183.75</v>
      </c>
      <c r="G259" s="1">
        <v>45611</v>
      </c>
      <c r="H259" t="s">
        <v>71</v>
      </c>
      <c r="I259">
        <v>4.9000000000000004</v>
      </c>
      <c r="J259" t="s">
        <v>37</v>
      </c>
      <c r="K259">
        <v>2024</v>
      </c>
      <c r="L259">
        <v>2236.75</v>
      </c>
      <c r="M259">
        <v>13</v>
      </c>
      <c r="N259" t="s">
        <v>27</v>
      </c>
      <c r="O259" t="s">
        <v>33</v>
      </c>
    </row>
    <row r="260" spans="1:15" x14ac:dyDescent="0.3">
      <c r="A260" t="s">
        <v>328</v>
      </c>
      <c r="B260" t="s">
        <v>39</v>
      </c>
      <c r="C260" t="s">
        <v>40</v>
      </c>
      <c r="D260">
        <v>2923.95</v>
      </c>
      <c r="E260">
        <v>5</v>
      </c>
      <c r="F260">
        <v>14619.75</v>
      </c>
      <c r="G260" s="1">
        <v>45520</v>
      </c>
      <c r="H260" t="s">
        <v>80</v>
      </c>
      <c r="I260">
        <v>1.1000000000000001</v>
      </c>
      <c r="J260" t="s">
        <v>88</v>
      </c>
      <c r="K260">
        <v>2024</v>
      </c>
      <c r="L260">
        <v>2923.9500000000003</v>
      </c>
      <c r="M260">
        <v>10</v>
      </c>
      <c r="N260" t="s">
        <v>41</v>
      </c>
      <c r="O260" t="s">
        <v>33</v>
      </c>
    </row>
    <row r="261" spans="1:15" x14ac:dyDescent="0.3">
      <c r="A261" t="s">
        <v>329</v>
      </c>
      <c r="B261" t="s">
        <v>100</v>
      </c>
      <c r="C261" t="s">
        <v>31</v>
      </c>
      <c r="D261">
        <v>7339.66</v>
      </c>
      <c r="E261">
        <v>2</v>
      </c>
      <c r="F261">
        <v>14679.32</v>
      </c>
      <c r="G261" s="1">
        <v>45625</v>
      </c>
      <c r="H261" t="s">
        <v>80</v>
      </c>
      <c r="I261">
        <v>1.1000000000000001</v>
      </c>
      <c r="J261" t="s">
        <v>37</v>
      </c>
      <c r="K261">
        <v>2024</v>
      </c>
      <c r="L261">
        <v>2935.864</v>
      </c>
      <c r="M261">
        <v>20</v>
      </c>
      <c r="N261" t="s">
        <v>20</v>
      </c>
      <c r="O261" t="s">
        <v>28</v>
      </c>
    </row>
    <row r="262" spans="1:15" x14ac:dyDescent="0.3">
      <c r="A262" t="s">
        <v>330</v>
      </c>
      <c r="B262" t="s">
        <v>50</v>
      </c>
      <c r="C262" t="s">
        <v>40</v>
      </c>
      <c r="D262">
        <v>41405.370000000003</v>
      </c>
      <c r="E262">
        <v>2</v>
      </c>
      <c r="F262">
        <v>82810.740000000005</v>
      </c>
      <c r="G262" s="1">
        <v>45571</v>
      </c>
      <c r="H262" t="s">
        <v>44</v>
      </c>
      <c r="I262">
        <v>4.5999999999999996</v>
      </c>
      <c r="J262" t="s">
        <v>45</v>
      </c>
      <c r="K262">
        <v>2024</v>
      </c>
      <c r="L262">
        <v>16562.148000000001</v>
      </c>
      <c r="M262">
        <v>7</v>
      </c>
      <c r="N262" t="s">
        <v>27</v>
      </c>
      <c r="O262" t="s">
        <v>68</v>
      </c>
    </row>
    <row r="263" spans="1:15" x14ac:dyDescent="0.3">
      <c r="A263" t="s">
        <v>331</v>
      </c>
      <c r="B263" t="s">
        <v>43</v>
      </c>
      <c r="C263" t="s">
        <v>40</v>
      </c>
      <c r="D263">
        <v>36114.379999999997</v>
      </c>
      <c r="E263">
        <v>1</v>
      </c>
      <c r="F263">
        <v>36114.379999999997</v>
      </c>
      <c r="G263" s="1">
        <v>45536</v>
      </c>
      <c r="H263" t="s">
        <v>80</v>
      </c>
      <c r="I263">
        <v>4.5999999999999996</v>
      </c>
      <c r="J263" t="s">
        <v>19</v>
      </c>
      <c r="K263">
        <v>2024</v>
      </c>
      <c r="L263">
        <v>7222.8760000000002</v>
      </c>
      <c r="M263">
        <v>24</v>
      </c>
      <c r="N263" t="s">
        <v>41</v>
      </c>
      <c r="O263" t="s">
        <v>28</v>
      </c>
    </row>
    <row r="264" spans="1:15" x14ac:dyDescent="0.3">
      <c r="A264" t="s">
        <v>332</v>
      </c>
      <c r="B264" t="s">
        <v>66</v>
      </c>
      <c r="C264" t="s">
        <v>36</v>
      </c>
      <c r="D264">
        <v>19915.59</v>
      </c>
      <c r="E264">
        <v>5</v>
      </c>
      <c r="F264">
        <v>99577.95</v>
      </c>
      <c r="G264" s="1">
        <v>45541</v>
      </c>
      <c r="H264" t="s">
        <v>64</v>
      </c>
      <c r="I264">
        <v>1.2</v>
      </c>
      <c r="J264" t="s">
        <v>19</v>
      </c>
      <c r="K264">
        <v>2024</v>
      </c>
      <c r="L264">
        <v>19915.59</v>
      </c>
      <c r="M264">
        <v>8</v>
      </c>
      <c r="N264" t="s">
        <v>27</v>
      </c>
      <c r="O264" t="s">
        <v>21</v>
      </c>
    </row>
    <row r="265" spans="1:15" x14ac:dyDescent="0.3">
      <c r="A265" t="s">
        <v>333</v>
      </c>
      <c r="B265" t="s">
        <v>66</v>
      </c>
      <c r="C265" t="s">
        <v>36</v>
      </c>
      <c r="D265">
        <v>18366.97</v>
      </c>
      <c r="E265">
        <v>4</v>
      </c>
      <c r="F265">
        <v>73467.88</v>
      </c>
      <c r="G265" s="1">
        <v>45434</v>
      </c>
      <c r="H265" t="s">
        <v>64</v>
      </c>
      <c r="I265">
        <v>1.2</v>
      </c>
      <c r="J265" t="s">
        <v>32</v>
      </c>
      <c r="K265">
        <v>2024</v>
      </c>
      <c r="L265">
        <v>14693.576000000001</v>
      </c>
      <c r="M265">
        <v>23</v>
      </c>
      <c r="N265" t="s">
        <v>20</v>
      </c>
      <c r="O265" t="s">
        <v>33</v>
      </c>
    </row>
    <row r="266" spans="1:15" x14ac:dyDescent="0.3">
      <c r="A266" t="s">
        <v>334</v>
      </c>
      <c r="B266" t="s">
        <v>66</v>
      </c>
      <c r="C266" t="s">
        <v>36</v>
      </c>
      <c r="D266">
        <v>8563.14</v>
      </c>
      <c r="E266">
        <v>2</v>
      </c>
      <c r="F266">
        <v>17126.28</v>
      </c>
      <c r="G266" s="1">
        <v>45354</v>
      </c>
      <c r="H266" t="s">
        <v>64</v>
      </c>
      <c r="I266">
        <v>3.1</v>
      </c>
      <c r="J266" t="s">
        <v>56</v>
      </c>
      <c r="K266">
        <v>2024</v>
      </c>
      <c r="L266">
        <v>3425.2559999999999</v>
      </c>
      <c r="M266">
        <v>30</v>
      </c>
      <c r="N266" t="s">
        <v>41</v>
      </c>
      <c r="O266" t="s">
        <v>28</v>
      </c>
    </row>
    <row r="267" spans="1:15" x14ac:dyDescent="0.3">
      <c r="A267" t="s">
        <v>335</v>
      </c>
      <c r="B267" t="s">
        <v>94</v>
      </c>
      <c r="C267" t="s">
        <v>31</v>
      </c>
      <c r="D267">
        <v>40461.79</v>
      </c>
      <c r="E267">
        <v>1</v>
      </c>
      <c r="F267">
        <v>40461.79</v>
      </c>
      <c r="G267" s="1">
        <v>45431</v>
      </c>
      <c r="H267" t="s">
        <v>71</v>
      </c>
      <c r="I267">
        <v>4.9000000000000004</v>
      </c>
      <c r="J267" t="s">
        <v>32</v>
      </c>
      <c r="K267">
        <v>2024</v>
      </c>
      <c r="L267">
        <v>8092.3580000000002</v>
      </c>
      <c r="M267">
        <v>7</v>
      </c>
      <c r="N267" t="s">
        <v>27</v>
      </c>
      <c r="O267" t="s">
        <v>28</v>
      </c>
    </row>
    <row r="268" spans="1:15" x14ac:dyDescent="0.3">
      <c r="A268" t="s">
        <v>336</v>
      </c>
      <c r="B268" t="s">
        <v>52</v>
      </c>
      <c r="C268" t="s">
        <v>24</v>
      </c>
      <c r="D268">
        <v>6943.4</v>
      </c>
      <c r="E268">
        <v>5</v>
      </c>
      <c r="F268">
        <v>34717</v>
      </c>
      <c r="G268" s="1">
        <v>45489</v>
      </c>
      <c r="H268" t="s">
        <v>18</v>
      </c>
      <c r="I268">
        <v>1.5</v>
      </c>
      <c r="J268" t="s">
        <v>48</v>
      </c>
      <c r="K268">
        <v>2024</v>
      </c>
      <c r="L268">
        <v>6943.4000000000015</v>
      </c>
      <c r="M268">
        <v>23</v>
      </c>
      <c r="N268" t="s">
        <v>41</v>
      </c>
      <c r="O268" t="s">
        <v>68</v>
      </c>
    </row>
    <row r="269" spans="1:15" x14ac:dyDescent="0.3">
      <c r="A269" t="s">
        <v>337</v>
      </c>
      <c r="B269" t="s">
        <v>100</v>
      </c>
      <c r="C269" t="s">
        <v>31</v>
      </c>
      <c r="D269">
        <v>14517.08</v>
      </c>
      <c r="E269">
        <v>1</v>
      </c>
      <c r="F269">
        <v>14517.08</v>
      </c>
      <c r="G269" s="1">
        <v>45431</v>
      </c>
      <c r="H269" t="s">
        <v>25</v>
      </c>
      <c r="I269">
        <v>3</v>
      </c>
      <c r="J269" t="s">
        <v>32</v>
      </c>
      <c r="K269">
        <v>2024</v>
      </c>
      <c r="L269">
        <v>2903.4160000000002</v>
      </c>
      <c r="M269">
        <v>24</v>
      </c>
      <c r="N269" t="s">
        <v>27</v>
      </c>
      <c r="O269" t="s">
        <v>68</v>
      </c>
    </row>
    <row r="270" spans="1:15" x14ac:dyDescent="0.3">
      <c r="A270" t="s">
        <v>338</v>
      </c>
      <c r="B270" t="s">
        <v>55</v>
      </c>
      <c r="C270" t="s">
        <v>36</v>
      </c>
      <c r="D270">
        <v>4248.25</v>
      </c>
      <c r="E270">
        <v>5</v>
      </c>
      <c r="F270">
        <v>21241.25</v>
      </c>
      <c r="G270" s="1">
        <v>45492</v>
      </c>
      <c r="H270" t="s">
        <v>44</v>
      </c>
      <c r="I270">
        <v>4.0999999999999996</v>
      </c>
      <c r="J270" t="s">
        <v>48</v>
      </c>
      <c r="K270">
        <v>2024</v>
      </c>
      <c r="L270">
        <v>4248.25</v>
      </c>
      <c r="M270">
        <v>11</v>
      </c>
      <c r="N270" t="s">
        <v>20</v>
      </c>
      <c r="O270" t="s">
        <v>33</v>
      </c>
    </row>
    <row r="271" spans="1:15" x14ac:dyDescent="0.3">
      <c r="A271" t="s">
        <v>339</v>
      </c>
      <c r="B271" t="s">
        <v>43</v>
      </c>
      <c r="C271" t="s">
        <v>40</v>
      </c>
      <c r="D271">
        <v>43118.73</v>
      </c>
      <c r="E271">
        <v>5</v>
      </c>
      <c r="F271">
        <v>215593.65</v>
      </c>
      <c r="G271" s="1">
        <v>45638</v>
      </c>
      <c r="H271" t="s">
        <v>18</v>
      </c>
      <c r="I271">
        <v>3.1</v>
      </c>
      <c r="J271" t="s">
        <v>26</v>
      </c>
      <c r="K271">
        <v>2024</v>
      </c>
      <c r="L271">
        <v>43118.73</v>
      </c>
      <c r="M271">
        <v>24</v>
      </c>
      <c r="N271" t="s">
        <v>20</v>
      </c>
      <c r="O271" t="s">
        <v>28</v>
      </c>
    </row>
    <row r="272" spans="1:15" x14ac:dyDescent="0.3">
      <c r="A272" t="s">
        <v>340</v>
      </c>
      <c r="B272" t="s">
        <v>176</v>
      </c>
      <c r="C272" t="s">
        <v>24</v>
      </c>
      <c r="D272">
        <v>10086.76</v>
      </c>
      <c r="E272">
        <v>2</v>
      </c>
      <c r="F272">
        <v>20173.52</v>
      </c>
      <c r="G272" s="1">
        <v>45377</v>
      </c>
      <c r="H272" t="s">
        <v>44</v>
      </c>
      <c r="I272">
        <v>1.9</v>
      </c>
      <c r="J272" t="s">
        <v>56</v>
      </c>
      <c r="K272">
        <v>2024</v>
      </c>
      <c r="L272">
        <v>4034.7040000000002</v>
      </c>
      <c r="M272">
        <v>13</v>
      </c>
      <c r="N272" t="s">
        <v>41</v>
      </c>
      <c r="O272" t="s">
        <v>28</v>
      </c>
    </row>
    <row r="273" spans="1:15" x14ac:dyDescent="0.3">
      <c r="A273" t="s">
        <v>341</v>
      </c>
      <c r="B273" t="s">
        <v>30</v>
      </c>
      <c r="C273" t="s">
        <v>31</v>
      </c>
      <c r="D273">
        <v>35373.5</v>
      </c>
      <c r="E273">
        <v>4</v>
      </c>
      <c r="F273">
        <v>141494</v>
      </c>
      <c r="G273" s="1">
        <v>45513</v>
      </c>
      <c r="H273" t="s">
        <v>71</v>
      </c>
      <c r="I273">
        <v>2.9</v>
      </c>
      <c r="J273" t="s">
        <v>88</v>
      </c>
      <c r="K273">
        <v>2024</v>
      </c>
      <c r="L273">
        <v>28298.800000000003</v>
      </c>
      <c r="M273">
        <v>5</v>
      </c>
      <c r="N273" t="s">
        <v>27</v>
      </c>
      <c r="O273" t="s">
        <v>68</v>
      </c>
    </row>
    <row r="274" spans="1:15" x14ac:dyDescent="0.3">
      <c r="A274" t="s">
        <v>342</v>
      </c>
      <c r="B274" t="s">
        <v>50</v>
      </c>
      <c r="C274" t="s">
        <v>40</v>
      </c>
      <c r="D274">
        <v>43002.68</v>
      </c>
      <c r="E274">
        <v>3</v>
      </c>
      <c r="F274">
        <v>129008.04</v>
      </c>
      <c r="G274" s="1">
        <v>45387</v>
      </c>
      <c r="H274" t="s">
        <v>25</v>
      </c>
      <c r="I274">
        <v>4.2</v>
      </c>
      <c r="J274" t="s">
        <v>62</v>
      </c>
      <c r="K274">
        <v>2024</v>
      </c>
      <c r="L274">
        <v>25801.608</v>
      </c>
      <c r="M274">
        <v>12</v>
      </c>
      <c r="N274" t="s">
        <v>41</v>
      </c>
      <c r="O274" t="s">
        <v>28</v>
      </c>
    </row>
    <row r="275" spans="1:15" x14ac:dyDescent="0.3">
      <c r="A275" t="s">
        <v>343</v>
      </c>
      <c r="B275" t="s">
        <v>96</v>
      </c>
      <c r="C275" t="s">
        <v>36</v>
      </c>
      <c r="D275">
        <v>46388.81</v>
      </c>
      <c r="E275">
        <v>1</v>
      </c>
      <c r="F275">
        <v>46388.81</v>
      </c>
      <c r="G275" s="1">
        <v>45343</v>
      </c>
      <c r="H275" t="s">
        <v>64</v>
      </c>
      <c r="I275">
        <v>4.4000000000000004</v>
      </c>
      <c r="J275" t="s">
        <v>59</v>
      </c>
      <c r="K275">
        <v>2024</v>
      </c>
      <c r="L275">
        <v>9277.7620000000006</v>
      </c>
      <c r="M275">
        <v>11</v>
      </c>
      <c r="N275" t="s">
        <v>41</v>
      </c>
      <c r="O275" t="s">
        <v>28</v>
      </c>
    </row>
    <row r="276" spans="1:15" x14ac:dyDescent="0.3">
      <c r="A276" t="s">
        <v>344</v>
      </c>
      <c r="B276" t="s">
        <v>74</v>
      </c>
      <c r="C276" t="s">
        <v>17</v>
      </c>
      <c r="D276">
        <v>47384.51</v>
      </c>
      <c r="E276">
        <v>3</v>
      </c>
      <c r="F276">
        <v>142153.53</v>
      </c>
      <c r="G276" s="1">
        <v>45441</v>
      </c>
      <c r="H276" t="s">
        <v>80</v>
      </c>
      <c r="I276">
        <v>1.5</v>
      </c>
      <c r="J276" t="s">
        <v>32</v>
      </c>
      <c r="K276">
        <v>2024</v>
      </c>
      <c r="L276">
        <v>28430.706000000002</v>
      </c>
      <c r="M276">
        <v>22</v>
      </c>
      <c r="N276" t="s">
        <v>27</v>
      </c>
      <c r="O276" t="s">
        <v>28</v>
      </c>
    </row>
    <row r="277" spans="1:15" x14ac:dyDescent="0.3">
      <c r="A277" t="s">
        <v>345</v>
      </c>
      <c r="B277" t="s">
        <v>52</v>
      </c>
      <c r="C277" t="s">
        <v>24</v>
      </c>
      <c r="D277">
        <v>15826.47</v>
      </c>
      <c r="E277">
        <v>2</v>
      </c>
      <c r="F277">
        <v>31652.94</v>
      </c>
      <c r="G277" s="1">
        <v>45486</v>
      </c>
      <c r="H277" t="s">
        <v>80</v>
      </c>
      <c r="I277">
        <v>4.4000000000000004</v>
      </c>
      <c r="J277" t="s">
        <v>48</v>
      </c>
      <c r="K277">
        <v>2024</v>
      </c>
      <c r="L277">
        <v>6330.5879999999997</v>
      </c>
      <c r="M277">
        <v>12</v>
      </c>
      <c r="N277" t="s">
        <v>27</v>
      </c>
      <c r="O277" t="s">
        <v>68</v>
      </c>
    </row>
    <row r="278" spans="1:15" x14ac:dyDescent="0.3">
      <c r="A278" t="s">
        <v>346</v>
      </c>
      <c r="B278" t="s">
        <v>100</v>
      </c>
      <c r="C278" t="s">
        <v>31</v>
      </c>
      <c r="D278">
        <v>33927.57</v>
      </c>
      <c r="E278">
        <v>5</v>
      </c>
      <c r="F278">
        <v>169637.85</v>
      </c>
      <c r="G278" s="1">
        <v>45690</v>
      </c>
      <c r="H278" t="s">
        <v>44</v>
      </c>
      <c r="I278">
        <v>2.6</v>
      </c>
      <c r="J278" t="s">
        <v>59</v>
      </c>
      <c r="K278">
        <v>2025</v>
      </c>
      <c r="L278">
        <v>33927.57</v>
      </c>
      <c r="M278">
        <v>5</v>
      </c>
      <c r="N278" t="s">
        <v>27</v>
      </c>
      <c r="O278" t="s">
        <v>33</v>
      </c>
    </row>
    <row r="279" spans="1:15" x14ac:dyDescent="0.3">
      <c r="A279" t="s">
        <v>347</v>
      </c>
      <c r="B279" t="s">
        <v>55</v>
      </c>
      <c r="C279" t="s">
        <v>36</v>
      </c>
      <c r="D279">
        <v>27400.84</v>
      </c>
      <c r="E279">
        <v>1</v>
      </c>
      <c r="F279">
        <v>27400.84</v>
      </c>
      <c r="G279" s="1">
        <v>45695</v>
      </c>
      <c r="H279" t="s">
        <v>80</v>
      </c>
      <c r="I279">
        <v>3.6</v>
      </c>
      <c r="J279" t="s">
        <v>59</v>
      </c>
      <c r="K279">
        <v>2025</v>
      </c>
      <c r="L279">
        <v>5480.1680000000006</v>
      </c>
      <c r="M279">
        <v>15</v>
      </c>
      <c r="N279" t="s">
        <v>20</v>
      </c>
      <c r="O279" t="s">
        <v>21</v>
      </c>
    </row>
    <row r="280" spans="1:15" x14ac:dyDescent="0.3">
      <c r="A280" t="s">
        <v>348</v>
      </c>
      <c r="B280" t="s">
        <v>55</v>
      </c>
      <c r="C280" t="s">
        <v>36</v>
      </c>
      <c r="D280">
        <v>37684.28</v>
      </c>
      <c r="E280">
        <v>4</v>
      </c>
      <c r="F280">
        <v>150737.12</v>
      </c>
      <c r="G280" s="1">
        <v>45384</v>
      </c>
      <c r="H280" t="s">
        <v>64</v>
      </c>
      <c r="I280">
        <v>3.2</v>
      </c>
      <c r="J280" t="s">
        <v>62</v>
      </c>
      <c r="K280">
        <v>2024</v>
      </c>
      <c r="L280">
        <v>30147.423999999999</v>
      </c>
      <c r="M280">
        <v>29</v>
      </c>
      <c r="N280" t="s">
        <v>41</v>
      </c>
      <c r="O280" t="s">
        <v>33</v>
      </c>
    </row>
    <row r="281" spans="1:15" x14ac:dyDescent="0.3">
      <c r="A281" t="s">
        <v>349</v>
      </c>
      <c r="B281" t="s">
        <v>47</v>
      </c>
      <c r="C281" t="s">
        <v>24</v>
      </c>
      <c r="D281">
        <v>22968.18</v>
      </c>
      <c r="E281">
        <v>4</v>
      </c>
      <c r="F281">
        <v>91872.72</v>
      </c>
      <c r="G281" s="1">
        <v>45680</v>
      </c>
      <c r="H281" t="s">
        <v>80</v>
      </c>
      <c r="I281">
        <v>4.0999999999999996</v>
      </c>
      <c r="J281" t="s">
        <v>53</v>
      </c>
      <c r="K281">
        <v>2025</v>
      </c>
      <c r="L281">
        <v>18374.544000000002</v>
      </c>
      <c r="M281">
        <v>29</v>
      </c>
      <c r="N281" t="s">
        <v>41</v>
      </c>
      <c r="O281" t="s">
        <v>21</v>
      </c>
    </row>
    <row r="282" spans="1:15" x14ac:dyDescent="0.3">
      <c r="A282" t="s">
        <v>350</v>
      </c>
      <c r="B282" t="s">
        <v>145</v>
      </c>
      <c r="C282" t="s">
        <v>40</v>
      </c>
      <c r="D282">
        <v>43444.93</v>
      </c>
      <c r="E282">
        <v>1</v>
      </c>
      <c r="F282">
        <v>43444.93</v>
      </c>
      <c r="G282" s="1">
        <v>45667</v>
      </c>
      <c r="H282" t="s">
        <v>44</v>
      </c>
      <c r="I282">
        <v>4</v>
      </c>
      <c r="J282" t="s">
        <v>53</v>
      </c>
      <c r="K282">
        <v>2025</v>
      </c>
      <c r="L282">
        <v>8688.9860000000008</v>
      </c>
      <c r="M282">
        <v>22</v>
      </c>
      <c r="N282" t="s">
        <v>20</v>
      </c>
      <c r="O282" t="s">
        <v>28</v>
      </c>
    </row>
    <row r="283" spans="1:15" x14ac:dyDescent="0.3">
      <c r="A283" t="s">
        <v>351</v>
      </c>
      <c r="B283" t="s">
        <v>107</v>
      </c>
      <c r="C283" t="s">
        <v>36</v>
      </c>
      <c r="D283">
        <v>36083.22</v>
      </c>
      <c r="E283">
        <v>3</v>
      </c>
      <c r="F283">
        <v>108249.66</v>
      </c>
      <c r="G283" s="1">
        <v>45498</v>
      </c>
      <c r="H283" t="s">
        <v>71</v>
      </c>
      <c r="I283">
        <v>2.9</v>
      </c>
      <c r="J283" t="s">
        <v>48</v>
      </c>
      <c r="K283">
        <v>2024</v>
      </c>
      <c r="L283">
        <v>21649.932000000001</v>
      </c>
      <c r="M283">
        <v>27</v>
      </c>
      <c r="N283" t="s">
        <v>27</v>
      </c>
      <c r="O283" t="s">
        <v>33</v>
      </c>
    </row>
    <row r="284" spans="1:15" x14ac:dyDescent="0.3">
      <c r="A284" t="s">
        <v>352</v>
      </c>
      <c r="B284" t="s">
        <v>39</v>
      </c>
      <c r="C284" t="s">
        <v>40</v>
      </c>
      <c r="D284">
        <v>43043.82</v>
      </c>
      <c r="E284">
        <v>5</v>
      </c>
      <c r="F284">
        <v>215219.1</v>
      </c>
      <c r="G284" s="1">
        <v>45605</v>
      </c>
      <c r="H284" t="s">
        <v>44</v>
      </c>
      <c r="I284">
        <v>4.0999999999999996</v>
      </c>
      <c r="J284" t="s">
        <v>37</v>
      </c>
      <c r="K284">
        <v>2024</v>
      </c>
      <c r="L284">
        <v>43043.820000000007</v>
      </c>
      <c r="M284">
        <v>14</v>
      </c>
      <c r="N284" t="s">
        <v>20</v>
      </c>
      <c r="O284" t="s">
        <v>21</v>
      </c>
    </row>
    <row r="285" spans="1:15" x14ac:dyDescent="0.3">
      <c r="A285" t="s">
        <v>353</v>
      </c>
      <c r="B285" t="s">
        <v>35</v>
      </c>
      <c r="C285" t="s">
        <v>36</v>
      </c>
      <c r="D285">
        <v>1517.63</v>
      </c>
      <c r="E285">
        <v>4</v>
      </c>
      <c r="F285">
        <v>6070.52</v>
      </c>
      <c r="G285" s="1">
        <v>45606</v>
      </c>
      <c r="H285" t="s">
        <v>64</v>
      </c>
      <c r="I285">
        <v>2</v>
      </c>
      <c r="J285" t="s">
        <v>37</v>
      </c>
      <c r="K285">
        <v>2024</v>
      </c>
      <c r="L285">
        <v>1214.104</v>
      </c>
      <c r="M285">
        <v>7</v>
      </c>
      <c r="N285" t="s">
        <v>20</v>
      </c>
      <c r="O285" t="s">
        <v>68</v>
      </c>
    </row>
    <row r="286" spans="1:15" x14ac:dyDescent="0.3">
      <c r="A286" t="s">
        <v>354</v>
      </c>
      <c r="B286" t="s">
        <v>118</v>
      </c>
      <c r="C286" t="s">
        <v>17</v>
      </c>
      <c r="D286">
        <v>1626.1</v>
      </c>
      <c r="E286">
        <v>5</v>
      </c>
      <c r="F286">
        <v>8130.5</v>
      </c>
      <c r="G286" s="1">
        <v>45611</v>
      </c>
      <c r="H286" t="s">
        <v>71</v>
      </c>
      <c r="I286">
        <v>2.8</v>
      </c>
      <c r="J286" t="s">
        <v>37</v>
      </c>
      <c r="K286">
        <v>2024</v>
      </c>
      <c r="L286">
        <v>1626.1000000000001</v>
      </c>
      <c r="M286">
        <v>11</v>
      </c>
      <c r="N286" t="s">
        <v>20</v>
      </c>
      <c r="O286" t="s">
        <v>68</v>
      </c>
    </row>
    <row r="287" spans="1:15" x14ac:dyDescent="0.3">
      <c r="A287" t="s">
        <v>355</v>
      </c>
      <c r="B287" t="s">
        <v>78</v>
      </c>
      <c r="C287" t="s">
        <v>24</v>
      </c>
      <c r="D287">
        <v>40384.620000000003</v>
      </c>
      <c r="E287">
        <v>1</v>
      </c>
      <c r="F287">
        <v>40384.620000000003</v>
      </c>
      <c r="G287" s="1">
        <v>45409</v>
      </c>
      <c r="H287" t="s">
        <v>25</v>
      </c>
      <c r="I287">
        <v>4.2</v>
      </c>
      <c r="J287" t="s">
        <v>62</v>
      </c>
      <c r="K287">
        <v>2024</v>
      </c>
      <c r="L287">
        <v>8076.9240000000009</v>
      </c>
      <c r="M287">
        <v>20</v>
      </c>
      <c r="N287" t="s">
        <v>41</v>
      </c>
      <c r="O287" t="s">
        <v>33</v>
      </c>
    </row>
    <row r="288" spans="1:15" x14ac:dyDescent="0.3">
      <c r="A288" t="s">
        <v>356</v>
      </c>
      <c r="B288" t="s">
        <v>78</v>
      </c>
      <c r="C288" t="s">
        <v>24</v>
      </c>
      <c r="D288">
        <v>37295.08</v>
      </c>
      <c r="E288">
        <v>1</v>
      </c>
      <c r="F288">
        <v>37295.08</v>
      </c>
      <c r="G288" s="1">
        <v>45694</v>
      </c>
      <c r="H288" t="s">
        <v>25</v>
      </c>
      <c r="I288">
        <v>4</v>
      </c>
      <c r="J288" t="s">
        <v>59</v>
      </c>
      <c r="K288">
        <v>2025</v>
      </c>
      <c r="L288">
        <v>7459.0160000000005</v>
      </c>
      <c r="M288">
        <v>30</v>
      </c>
      <c r="N288" t="s">
        <v>20</v>
      </c>
      <c r="O288" t="s">
        <v>33</v>
      </c>
    </row>
    <row r="289" spans="1:15" x14ac:dyDescent="0.3">
      <c r="A289" t="s">
        <v>357</v>
      </c>
      <c r="B289" t="s">
        <v>47</v>
      </c>
      <c r="C289" t="s">
        <v>24</v>
      </c>
      <c r="D289">
        <v>13915.5</v>
      </c>
      <c r="E289">
        <v>3</v>
      </c>
      <c r="F289">
        <v>41746.5</v>
      </c>
      <c r="G289" s="1">
        <v>45475</v>
      </c>
      <c r="H289" t="s">
        <v>80</v>
      </c>
      <c r="I289">
        <v>3.9</v>
      </c>
      <c r="J289" t="s">
        <v>48</v>
      </c>
      <c r="K289">
        <v>2024</v>
      </c>
      <c r="L289">
        <v>8349.3000000000011</v>
      </c>
      <c r="M289">
        <v>20</v>
      </c>
      <c r="N289" t="s">
        <v>41</v>
      </c>
      <c r="O289" t="s">
        <v>28</v>
      </c>
    </row>
    <row r="290" spans="1:15" x14ac:dyDescent="0.3">
      <c r="A290" t="s">
        <v>358</v>
      </c>
      <c r="B290" t="s">
        <v>66</v>
      </c>
      <c r="C290" t="s">
        <v>36</v>
      </c>
      <c r="D290">
        <v>23625.05</v>
      </c>
      <c r="E290">
        <v>2</v>
      </c>
      <c r="F290">
        <v>47250.1</v>
      </c>
      <c r="G290" s="1">
        <v>45480</v>
      </c>
      <c r="H290" t="s">
        <v>18</v>
      </c>
      <c r="I290">
        <v>2</v>
      </c>
      <c r="J290" t="s">
        <v>48</v>
      </c>
      <c r="K290">
        <v>2024</v>
      </c>
      <c r="L290">
        <v>9450.02</v>
      </c>
      <c r="M290">
        <v>29</v>
      </c>
      <c r="N290" t="s">
        <v>41</v>
      </c>
      <c r="O290" t="s">
        <v>33</v>
      </c>
    </row>
    <row r="291" spans="1:15" x14ac:dyDescent="0.3">
      <c r="A291" t="s">
        <v>359</v>
      </c>
      <c r="B291" t="s">
        <v>43</v>
      </c>
      <c r="C291" t="s">
        <v>40</v>
      </c>
      <c r="D291">
        <v>464.18</v>
      </c>
      <c r="E291">
        <v>3</v>
      </c>
      <c r="F291">
        <v>1392.54</v>
      </c>
      <c r="G291" s="1">
        <v>45506</v>
      </c>
      <c r="H291" t="s">
        <v>18</v>
      </c>
      <c r="I291">
        <v>4.0999999999999996</v>
      </c>
      <c r="J291" t="s">
        <v>88</v>
      </c>
      <c r="K291">
        <v>2024</v>
      </c>
      <c r="L291">
        <v>278.50799999999998</v>
      </c>
      <c r="M291">
        <v>24</v>
      </c>
      <c r="N291" t="s">
        <v>41</v>
      </c>
      <c r="O291" t="s">
        <v>28</v>
      </c>
    </row>
    <row r="292" spans="1:15" x14ac:dyDescent="0.3">
      <c r="A292" t="s">
        <v>360</v>
      </c>
      <c r="B292" t="s">
        <v>78</v>
      </c>
      <c r="C292" t="s">
        <v>24</v>
      </c>
      <c r="D292">
        <v>26667.15</v>
      </c>
      <c r="E292">
        <v>2</v>
      </c>
      <c r="F292">
        <v>53334.3</v>
      </c>
      <c r="G292" s="1">
        <v>45601</v>
      </c>
      <c r="H292" t="s">
        <v>71</v>
      </c>
      <c r="I292">
        <v>1.9</v>
      </c>
      <c r="J292" t="s">
        <v>37</v>
      </c>
      <c r="K292">
        <v>2024</v>
      </c>
      <c r="L292">
        <v>10666.86</v>
      </c>
      <c r="M292">
        <v>21</v>
      </c>
      <c r="N292" t="s">
        <v>27</v>
      </c>
      <c r="O292" t="s">
        <v>28</v>
      </c>
    </row>
    <row r="293" spans="1:15" x14ac:dyDescent="0.3">
      <c r="A293" t="s">
        <v>361</v>
      </c>
      <c r="B293" t="s">
        <v>118</v>
      </c>
      <c r="C293" t="s">
        <v>17</v>
      </c>
      <c r="D293">
        <v>29093.02</v>
      </c>
      <c r="E293">
        <v>2</v>
      </c>
      <c r="F293">
        <v>58186.04</v>
      </c>
      <c r="G293" s="1">
        <v>45597</v>
      </c>
      <c r="H293" t="s">
        <v>18</v>
      </c>
      <c r="I293">
        <v>3.7</v>
      </c>
      <c r="J293" t="s">
        <v>37</v>
      </c>
      <c r="K293">
        <v>2024</v>
      </c>
      <c r="L293">
        <v>11637.208000000001</v>
      </c>
      <c r="M293">
        <v>6</v>
      </c>
      <c r="N293" t="s">
        <v>41</v>
      </c>
      <c r="O293" t="s">
        <v>68</v>
      </c>
    </row>
    <row r="294" spans="1:15" x14ac:dyDescent="0.3">
      <c r="A294" t="s">
        <v>362</v>
      </c>
      <c r="B294" t="s">
        <v>52</v>
      </c>
      <c r="C294" t="s">
        <v>24</v>
      </c>
      <c r="D294">
        <v>44770.65</v>
      </c>
      <c r="E294">
        <v>3</v>
      </c>
      <c r="F294">
        <v>134311.95000000001</v>
      </c>
      <c r="G294" s="1">
        <v>45638</v>
      </c>
      <c r="H294" t="s">
        <v>44</v>
      </c>
      <c r="I294">
        <v>3.5</v>
      </c>
      <c r="J294" t="s">
        <v>26</v>
      </c>
      <c r="K294">
        <v>2024</v>
      </c>
      <c r="L294">
        <v>26862.390000000003</v>
      </c>
      <c r="M294">
        <v>5</v>
      </c>
      <c r="N294" t="s">
        <v>41</v>
      </c>
      <c r="O294" t="s">
        <v>68</v>
      </c>
    </row>
    <row r="295" spans="1:15" x14ac:dyDescent="0.3">
      <c r="A295" t="s">
        <v>363</v>
      </c>
      <c r="B295" t="s">
        <v>84</v>
      </c>
      <c r="C295" t="s">
        <v>40</v>
      </c>
      <c r="D295">
        <v>32749.9</v>
      </c>
      <c r="E295">
        <v>1</v>
      </c>
      <c r="F295">
        <v>32749.9</v>
      </c>
      <c r="G295" s="1">
        <v>45506</v>
      </c>
      <c r="H295" t="s">
        <v>80</v>
      </c>
      <c r="I295">
        <v>3.8</v>
      </c>
      <c r="J295" t="s">
        <v>88</v>
      </c>
      <c r="K295">
        <v>2024</v>
      </c>
      <c r="L295">
        <v>6549.9800000000005</v>
      </c>
      <c r="M295">
        <v>20</v>
      </c>
      <c r="N295" t="s">
        <v>27</v>
      </c>
      <c r="O295" t="s">
        <v>21</v>
      </c>
    </row>
    <row r="296" spans="1:15" x14ac:dyDescent="0.3">
      <c r="A296" t="s">
        <v>364</v>
      </c>
      <c r="B296" t="s">
        <v>16</v>
      </c>
      <c r="C296" t="s">
        <v>17</v>
      </c>
      <c r="D296">
        <v>4990.66</v>
      </c>
      <c r="E296">
        <v>3</v>
      </c>
      <c r="F296">
        <v>14971.98</v>
      </c>
      <c r="G296" s="1">
        <v>45442</v>
      </c>
      <c r="H296" t="s">
        <v>44</v>
      </c>
      <c r="I296">
        <v>4.5999999999999996</v>
      </c>
      <c r="J296" t="s">
        <v>32</v>
      </c>
      <c r="K296">
        <v>2024</v>
      </c>
      <c r="L296">
        <v>2994.3960000000002</v>
      </c>
      <c r="M296">
        <v>16</v>
      </c>
      <c r="N296" t="s">
        <v>41</v>
      </c>
      <c r="O296" t="s">
        <v>68</v>
      </c>
    </row>
    <row r="297" spans="1:15" x14ac:dyDescent="0.3">
      <c r="A297" t="s">
        <v>365</v>
      </c>
      <c r="B297" t="s">
        <v>78</v>
      </c>
      <c r="C297" t="s">
        <v>24</v>
      </c>
      <c r="D297">
        <v>11044.89</v>
      </c>
      <c r="E297">
        <v>3</v>
      </c>
      <c r="F297">
        <v>33134.67</v>
      </c>
      <c r="G297" s="1">
        <v>45621</v>
      </c>
      <c r="H297" t="s">
        <v>44</v>
      </c>
      <c r="I297">
        <v>1.5</v>
      </c>
      <c r="J297" t="s">
        <v>37</v>
      </c>
      <c r="K297">
        <v>2024</v>
      </c>
      <c r="L297">
        <v>6626.9340000000002</v>
      </c>
      <c r="M297">
        <v>9</v>
      </c>
      <c r="N297" t="s">
        <v>20</v>
      </c>
      <c r="O297" t="s">
        <v>68</v>
      </c>
    </row>
    <row r="298" spans="1:15" x14ac:dyDescent="0.3">
      <c r="A298" t="s">
        <v>366</v>
      </c>
      <c r="B298" t="s">
        <v>118</v>
      </c>
      <c r="C298" t="s">
        <v>17</v>
      </c>
      <c r="D298">
        <v>46032.160000000003</v>
      </c>
      <c r="E298">
        <v>5</v>
      </c>
      <c r="F298">
        <v>230160.8</v>
      </c>
      <c r="G298" s="1">
        <v>45634</v>
      </c>
      <c r="H298" t="s">
        <v>18</v>
      </c>
      <c r="I298">
        <v>4.4000000000000004</v>
      </c>
      <c r="J298" t="s">
        <v>26</v>
      </c>
      <c r="K298">
        <v>2024</v>
      </c>
      <c r="L298">
        <v>46032.160000000003</v>
      </c>
      <c r="M298">
        <v>9</v>
      </c>
      <c r="N298" t="s">
        <v>20</v>
      </c>
      <c r="O298" t="s">
        <v>33</v>
      </c>
    </row>
    <row r="299" spans="1:15" x14ac:dyDescent="0.3">
      <c r="A299" t="s">
        <v>367</v>
      </c>
      <c r="B299" t="s">
        <v>16</v>
      </c>
      <c r="C299" t="s">
        <v>17</v>
      </c>
      <c r="D299">
        <v>43965.67</v>
      </c>
      <c r="E299">
        <v>3</v>
      </c>
      <c r="F299">
        <v>131897.01</v>
      </c>
      <c r="G299" s="1">
        <v>45529</v>
      </c>
      <c r="H299" t="s">
        <v>18</v>
      </c>
      <c r="I299">
        <v>1.1000000000000001</v>
      </c>
      <c r="J299" t="s">
        <v>88</v>
      </c>
      <c r="K299">
        <v>2024</v>
      </c>
      <c r="L299">
        <v>26379.402000000002</v>
      </c>
      <c r="M299">
        <v>27</v>
      </c>
      <c r="N299" t="s">
        <v>41</v>
      </c>
      <c r="O299" t="s">
        <v>68</v>
      </c>
    </row>
    <row r="300" spans="1:15" x14ac:dyDescent="0.3">
      <c r="A300" t="s">
        <v>368</v>
      </c>
      <c r="B300" t="s">
        <v>78</v>
      </c>
      <c r="C300" t="s">
        <v>24</v>
      </c>
      <c r="D300">
        <v>6037.98</v>
      </c>
      <c r="E300">
        <v>2</v>
      </c>
      <c r="F300">
        <v>12075.96</v>
      </c>
      <c r="G300" s="1">
        <v>45437</v>
      </c>
      <c r="H300" t="s">
        <v>64</v>
      </c>
      <c r="I300">
        <v>3.6</v>
      </c>
      <c r="J300" t="s">
        <v>32</v>
      </c>
      <c r="K300">
        <v>2024</v>
      </c>
      <c r="L300">
        <v>2415.192</v>
      </c>
      <c r="M300">
        <v>13</v>
      </c>
      <c r="N300" t="s">
        <v>27</v>
      </c>
      <c r="O300" t="s">
        <v>21</v>
      </c>
    </row>
    <row r="301" spans="1:15" x14ac:dyDescent="0.3">
      <c r="A301" t="s">
        <v>369</v>
      </c>
      <c r="B301" t="s">
        <v>70</v>
      </c>
      <c r="C301" t="s">
        <v>17</v>
      </c>
      <c r="D301">
        <v>22747.82</v>
      </c>
      <c r="E301">
        <v>3</v>
      </c>
      <c r="F301">
        <v>68243.460000000006</v>
      </c>
      <c r="G301" s="1">
        <v>45555</v>
      </c>
      <c r="H301" t="s">
        <v>18</v>
      </c>
      <c r="I301">
        <v>4.5</v>
      </c>
      <c r="J301" t="s">
        <v>19</v>
      </c>
      <c r="K301">
        <v>2024</v>
      </c>
      <c r="L301">
        <v>13648.692000000003</v>
      </c>
      <c r="M301">
        <v>13</v>
      </c>
      <c r="N301" t="s">
        <v>20</v>
      </c>
      <c r="O301" t="s">
        <v>33</v>
      </c>
    </row>
    <row r="302" spans="1:15" x14ac:dyDescent="0.3">
      <c r="A302" t="s">
        <v>370</v>
      </c>
      <c r="B302" t="s">
        <v>107</v>
      </c>
      <c r="C302" t="s">
        <v>36</v>
      </c>
      <c r="D302">
        <v>26615.919999999998</v>
      </c>
      <c r="E302">
        <v>2</v>
      </c>
      <c r="F302">
        <v>53231.839999999997</v>
      </c>
      <c r="G302" s="1">
        <v>45464</v>
      </c>
      <c r="H302" t="s">
        <v>64</v>
      </c>
      <c r="I302">
        <v>2.2999999999999998</v>
      </c>
      <c r="J302" t="s">
        <v>67</v>
      </c>
      <c r="K302">
        <v>2024</v>
      </c>
      <c r="L302">
        <v>10646.368</v>
      </c>
      <c r="M302">
        <v>7</v>
      </c>
      <c r="N302" t="s">
        <v>27</v>
      </c>
      <c r="O302" t="s">
        <v>21</v>
      </c>
    </row>
    <row r="303" spans="1:15" x14ac:dyDescent="0.3">
      <c r="A303" t="s">
        <v>371</v>
      </c>
      <c r="B303" t="s">
        <v>30</v>
      </c>
      <c r="C303" t="s">
        <v>31</v>
      </c>
      <c r="D303">
        <v>48234.31</v>
      </c>
      <c r="E303">
        <v>2</v>
      </c>
      <c r="F303">
        <v>96468.62</v>
      </c>
      <c r="G303" s="1">
        <v>45481</v>
      </c>
      <c r="H303" t="s">
        <v>18</v>
      </c>
      <c r="I303">
        <v>1.8</v>
      </c>
      <c r="J303" t="s">
        <v>48</v>
      </c>
      <c r="K303">
        <v>2024</v>
      </c>
      <c r="L303">
        <v>19293.723999999998</v>
      </c>
      <c r="M303">
        <v>23</v>
      </c>
      <c r="N303" t="s">
        <v>27</v>
      </c>
      <c r="O303" t="s">
        <v>68</v>
      </c>
    </row>
    <row r="304" spans="1:15" x14ac:dyDescent="0.3">
      <c r="A304" t="s">
        <v>372</v>
      </c>
      <c r="B304" t="s">
        <v>50</v>
      </c>
      <c r="C304" t="s">
        <v>40</v>
      </c>
      <c r="D304">
        <v>24172.560000000001</v>
      </c>
      <c r="E304">
        <v>1</v>
      </c>
      <c r="F304">
        <v>24172.560000000001</v>
      </c>
      <c r="G304" s="1">
        <v>45646</v>
      </c>
      <c r="H304" t="s">
        <v>25</v>
      </c>
      <c r="I304">
        <v>3.1</v>
      </c>
      <c r="J304" t="s">
        <v>26</v>
      </c>
      <c r="K304">
        <v>2024</v>
      </c>
      <c r="L304">
        <v>4834.5120000000006</v>
      </c>
      <c r="M304">
        <v>20</v>
      </c>
      <c r="N304" t="s">
        <v>20</v>
      </c>
      <c r="O304" t="s">
        <v>21</v>
      </c>
    </row>
    <row r="305" spans="1:15" x14ac:dyDescent="0.3">
      <c r="A305" t="s">
        <v>373</v>
      </c>
      <c r="B305" t="s">
        <v>118</v>
      </c>
      <c r="C305" t="s">
        <v>17</v>
      </c>
      <c r="D305">
        <v>16385.37</v>
      </c>
      <c r="E305">
        <v>3</v>
      </c>
      <c r="F305">
        <v>49156.11</v>
      </c>
      <c r="G305" s="1">
        <v>45346</v>
      </c>
      <c r="H305" t="s">
        <v>44</v>
      </c>
      <c r="I305">
        <v>1.6</v>
      </c>
      <c r="J305" t="s">
        <v>59</v>
      </c>
      <c r="K305">
        <v>2024</v>
      </c>
      <c r="L305">
        <v>9831.2220000000016</v>
      </c>
      <c r="M305">
        <v>20</v>
      </c>
      <c r="N305" t="s">
        <v>27</v>
      </c>
      <c r="O305" t="s">
        <v>33</v>
      </c>
    </row>
    <row r="306" spans="1:15" x14ac:dyDescent="0.3">
      <c r="A306" t="s">
        <v>374</v>
      </c>
      <c r="B306" t="s">
        <v>78</v>
      </c>
      <c r="C306" t="s">
        <v>24</v>
      </c>
      <c r="D306">
        <v>29527.22</v>
      </c>
      <c r="E306">
        <v>3</v>
      </c>
      <c r="F306">
        <v>88581.66</v>
      </c>
      <c r="G306" s="1">
        <v>45381</v>
      </c>
      <c r="H306" t="s">
        <v>64</v>
      </c>
      <c r="I306">
        <v>1.2</v>
      </c>
      <c r="J306" t="s">
        <v>56</v>
      </c>
      <c r="K306">
        <v>2024</v>
      </c>
      <c r="L306">
        <v>17716.332000000002</v>
      </c>
      <c r="M306">
        <v>7</v>
      </c>
      <c r="N306" t="s">
        <v>20</v>
      </c>
      <c r="O306" t="s">
        <v>28</v>
      </c>
    </row>
    <row r="307" spans="1:15" x14ac:dyDescent="0.3">
      <c r="A307" t="s">
        <v>375</v>
      </c>
      <c r="B307" t="s">
        <v>50</v>
      </c>
      <c r="C307" t="s">
        <v>40</v>
      </c>
      <c r="D307">
        <v>42516.65</v>
      </c>
      <c r="E307">
        <v>3</v>
      </c>
      <c r="F307">
        <v>127549.95</v>
      </c>
      <c r="G307" s="1">
        <v>45410</v>
      </c>
      <c r="H307" t="s">
        <v>80</v>
      </c>
      <c r="I307">
        <v>1.8</v>
      </c>
      <c r="J307" t="s">
        <v>62</v>
      </c>
      <c r="K307">
        <v>2024</v>
      </c>
      <c r="L307">
        <v>25509.99</v>
      </c>
      <c r="M307">
        <v>24</v>
      </c>
      <c r="N307" t="s">
        <v>27</v>
      </c>
      <c r="O307" t="s">
        <v>21</v>
      </c>
    </row>
    <row r="308" spans="1:15" x14ac:dyDescent="0.3">
      <c r="A308" t="s">
        <v>376</v>
      </c>
      <c r="B308" t="s">
        <v>70</v>
      </c>
      <c r="C308" t="s">
        <v>17</v>
      </c>
      <c r="D308">
        <v>27175.37</v>
      </c>
      <c r="E308">
        <v>5</v>
      </c>
      <c r="F308">
        <v>135876.85</v>
      </c>
      <c r="G308" s="1">
        <v>45506</v>
      </c>
      <c r="H308" t="s">
        <v>64</v>
      </c>
      <c r="I308">
        <v>3.9</v>
      </c>
      <c r="J308" t="s">
        <v>88</v>
      </c>
      <c r="K308">
        <v>2024</v>
      </c>
      <c r="L308">
        <v>27175.370000000003</v>
      </c>
      <c r="M308">
        <v>28</v>
      </c>
      <c r="N308" t="s">
        <v>20</v>
      </c>
      <c r="O308" t="s">
        <v>21</v>
      </c>
    </row>
    <row r="309" spans="1:15" x14ac:dyDescent="0.3">
      <c r="A309" t="s">
        <v>377</v>
      </c>
      <c r="B309" t="s">
        <v>176</v>
      </c>
      <c r="C309" t="s">
        <v>24</v>
      </c>
      <c r="D309">
        <v>25379.68</v>
      </c>
      <c r="E309">
        <v>4</v>
      </c>
      <c r="F309">
        <v>101518.72</v>
      </c>
      <c r="G309" s="1">
        <v>45571</v>
      </c>
      <c r="H309" t="s">
        <v>44</v>
      </c>
      <c r="I309">
        <v>3.5</v>
      </c>
      <c r="J309" t="s">
        <v>45</v>
      </c>
      <c r="K309">
        <v>2024</v>
      </c>
      <c r="L309">
        <v>20303.744000000002</v>
      </c>
      <c r="M309">
        <v>26</v>
      </c>
      <c r="N309" t="s">
        <v>41</v>
      </c>
      <c r="O309" t="s">
        <v>33</v>
      </c>
    </row>
    <row r="310" spans="1:15" x14ac:dyDescent="0.3">
      <c r="A310" t="s">
        <v>378</v>
      </c>
      <c r="B310" t="s">
        <v>16</v>
      </c>
      <c r="C310" t="s">
        <v>17</v>
      </c>
      <c r="D310">
        <v>29568.18</v>
      </c>
      <c r="E310">
        <v>3</v>
      </c>
      <c r="F310">
        <v>88704.54</v>
      </c>
      <c r="G310" s="1">
        <v>45669</v>
      </c>
      <c r="H310" t="s">
        <v>71</v>
      </c>
      <c r="I310">
        <v>1.3</v>
      </c>
      <c r="J310" t="s">
        <v>53</v>
      </c>
      <c r="K310">
        <v>2025</v>
      </c>
      <c r="L310">
        <v>17740.907999999999</v>
      </c>
      <c r="M310">
        <v>28</v>
      </c>
      <c r="N310" t="s">
        <v>20</v>
      </c>
      <c r="O310" t="s">
        <v>33</v>
      </c>
    </row>
    <row r="311" spans="1:15" x14ac:dyDescent="0.3">
      <c r="A311" t="s">
        <v>379</v>
      </c>
      <c r="B311" t="s">
        <v>118</v>
      </c>
      <c r="C311" t="s">
        <v>17</v>
      </c>
      <c r="D311">
        <v>23562.27</v>
      </c>
      <c r="E311">
        <v>2</v>
      </c>
      <c r="F311">
        <v>47124.54</v>
      </c>
      <c r="G311" s="1">
        <v>45649</v>
      </c>
      <c r="H311" t="s">
        <v>71</v>
      </c>
      <c r="I311">
        <v>4.9000000000000004</v>
      </c>
      <c r="J311" t="s">
        <v>26</v>
      </c>
      <c r="K311">
        <v>2024</v>
      </c>
      <c r="L311">
        <v>9424.9080000000013</v>
      </c>
      <c r="M311">
        <v>5</v>
      </c>
      <c r="N311" t="s">
        <v>20</v>
      </c>
      <c r="O311" t="s">
        <v>21</v>
      </c>
    </row>
    <row r="312" spans="1:15" x14ac:dyDescent="0.3">
      <c r="A312" t="s">
        <v>380</v>
      </c>
      <c r="B312" t="s">
        <v>176</v>
      </c>
      <c r="C312" t="s">
        <v>24</v>
      </c>
      <c r="D312">
        <v>19134.259999999998</v>
      </c>
      <c r="E312">
        <v>2</v>
      </c>
      <c r="F312">
        <v>38268.519999999997</v>
      </c>
      <c r="G312" s="1">
        <v>45334</v>
      </c>
      <c r="H312" t="s">
        <v>64</v>
      </c>
      <c r="I312">
        <v>4.5999999999999996</v>
      </c>
      <c r="J312" t="s">
        <v>59</v>
      </c>
      <c r="K312">
        <v>2024</v>
      </c>
      <c r="L312">
        <v>7653.7039999999997</v>
      </c>
      <c r="M312">
        <v>28</v>
      </c>
      <c r="N312" t="s">
        <v>20</v>
      </c>
      <c r="O312" t="s">
        <v>68</v>
      </c>
    </row>
    <row r="313" spans="1:15" x14ac:dyDescent="0.3">
      <c r="A313" t="s">
        <v>381</v>
      </c>
      <c r="B313" t="s">
        <v>118</v>
      </c>
      <c r="C313" t="s">
        <v>17</v>
      </c>
      <c r="D313">
        <v>10176.11</v>
      </c>
      <c r="E313">
        <v>5</v>
      </c>
      <c r="F313">
        <v>50880.55</v>
      </c>
      <c r="G313" s="1">
        <v>45521</v>
      </c>
      <c r="H313" t="s">
        <v>80</v>
      </c>
      <c r="I313">
        <v>2.1</v>
      </c>
      <c r="J313" t="s">
        <v>88</v>
      </c>
      <c r="K313">
        <v>2024</v>
      </c>
      <c r="L313">
        <v>10176.11</v>
      </c>
      <c r="M313">
        <v>24</v>
      </c>
      <c r="N313" t="s">
        <v>20</v>
      </c>
      <c r="O313" t="s">
        <v>21</v>
      </c>
    </row>
    <row r="314" spans="1:15" x14ac:dyDescent="0.3">
      <c r="A314" t="s">
        <v>382</v>
      </c>
      <c r="B314" t="s">
        <v>96</v>
      </c>
      <c r="C314" t="s">
        <v>36</v>
      </c>
      <c r="D314">
        <v>48177.16</v>
      </c>
      <c r="E314">
        <v>3</v>
      </c>
      <c r="F314">
        <v>144531.48000000001</v>
      </c>
      <c r="G314" s="1">
        <v>45356</v>
      </c>
      <c r="H314" t="s">
        <v>80</v>
      </c>
      <c r="I314">
        <v>1.7</v>
      </c>
      <c r="J314" t="s">
        <v>56</v>
      </c>
      <c r="K314">
        <v>2024</v>
      </c>
      <c r="L314">
        <v>28906.296000000002</v>
      </c>
      <c r="M314">
        <v>15</v>
      </c>
      <c r="N314" t="s">
        <v>27</v>
      </c>
      <c r="O314" t="s">
        <v>33</v>
      </c>
    </row>
    <row r="315" spans="1:15" x14ac:dyDescent="0.3">
      <c r="A315" t="s">
        <v>383</v>
      </c>
      <c r="B315" t="s">
        <v>43</v>
      </c>
      <c r="C315" t="s">
        <v>40</v>
      </c>
      <c r="D315">
        <v>6119.31</v>
      </c>
      <c r="E315">
        <v>5</v>
      </c>
      <c r="F315">
        <v>30596.55</v>
      </c>
      <c r="G315" s="1">
        <v>45358</v>
      </c>
      <c r="H315" t="s">
        <v>80</v>
      </c>
      <c r="I315">
        <v>1.5</v>
      </c>
      <c r="J315" t="s">
        <v>56</v>
      </c>
      <c r="K315">
        <v>2024</v>
      </c>
      <c r="L315">
        <v>6119.31</v>
      </c>
      <c r="M315">
        <v>21</v>
      </c>
      <c r="N315" t="s">
        <v>41</v>
      </c>
      <c r="O315" t="s">
        <v>28</v>
      </c>
    </row>
    <row r="316" spans="1:15" x14ac:dyDescent="0.3">
      <c r="A316" t="s">
        <v>384</v>
      </c>
      <c r="B316" t="s">
        <v>100</v>
      </c>
      <c r="C316" t="s">
        <v>31</v>
      </c>
      <c r="D316">
        <v>6015.13</v>
      </c>
      <c r="E316">
        <v>1</v>
      </c>
      <c r="F316">
        <v>6015.13</v>
      </c>
      <c r="G316" s="1">
        <v>45530</v>
      </c>
      <c r="H316" t="s">
        <v>71</v>
      </c>
      <c r="I316">
        <v>1.9</v>
      </c>
      <c r="J316" t="s">
        <v>88</v>
      </c>
      <c r="K316">
        <v>2024</v>
      </c>
      <c r="L316">
        <v>1203.0260000000001</v>
      </c>
      <c r="M316">
        <v>12</v>
      </c>
      <c r="N316" t="s">
        <v>20</v>
      </c>
      <c r="O316" t="s">
        <v>28</v>
      </c>
    </row>
    <row r="317" spans="1:15" x14ac:dyDescent="0.3">
      <c r="A317" t="s">
        <v>385</v>
      </c>
      <c r="B317" t="s">
        <v>78</v>
      </c>
      <c r="C317" t="s">
        <v>24</v>
      </c>
      <c r="D317">
        <v>41198.839999999997</v>
      </c>
      <c r="E317">
        <v>4</v>
      </c>
      <c r="F317">
        <v>164795.35999999999</v>
      </c>
      <c r="G317" s="1">
        <v>45390</v>
      </c>
      <c r="H317" t="s">
        <v>71</v>
      </c>
      <c r="I317">
        <v>3</v>
      </c>
      <c r="J317" t="s">
        <v>62</v>
      </c>
      <c r="K317">
        <v>2024</v>
      </c>
      <c r="L317">
        <v>32959.072</v>
      </c>
      <c r="M317">
        <v>8</v>
      </c>
      <c r="N317" t="s">
        <v>27</v>
      </c>
      <c r="O317" t="s">
        <v>68</v>
      </c>
    </row>
    <row r="318" spans="1:15" x14ac:dyDescent="0.3">
      <c r="A318" t="s">
        <v>386</v>
      </c>
      <c r="B318" t="s">
        <v>74</v>
      </c>
      <c r="C318" t="s">
        <v>17</v>
      </c>
      <c r="D318">
        <v>11527.7</v>
      </c>
      <c r="E318">
        <v>3</v>
      </c>
      <c r="F318">
        <v>34583.1</v>
      </c>
      <c r="G318" s="1">
        <v>45626</v>
      </c>
      <c r="H318" t="s">
        <v>80</v>
      </c>
      <c r="I318">
        <v>1.8</v>
      </c>
      <c r="J318" t="s">
        <v>37</v>
      </c>
      <c r="K318">
        <v>2024</v>
      </c>
      <c r="L318">
        <v>6916.62</v>
      </c>
      <c r="M318">
        <v>10</v>
      </c>
      <c r="N318" t="s">
        <v>41</v>
      </c>
      <c r="O318" t="s">
        <v>21</v>
      </c>
    </row>
    <row r="319" spans="1:15" x14ac:dyDescent="0.3">
      <c r="A319" t="s">
        <v>387</v>
      </c>
      <c r="B319" t="s">
        <v>35</v>
      </c>
      <c r="C319" t="s">
        <v>36</v>
      </c>
      <c r="D319">
        <v>27749.19</v>
      </c>
      <c r="E319">
        <v>4</v>
      </c>
      <c r="F319">
        <v>110996.76</v>
      </c>
      <c r="G319" s="1">
        <v>45679</v>
      </c>
      <c r="H319" t="s">
        <v>44</v>
      </c>
      <c r="I319">
        <v>2.5</v>
      </c>
      <c r="J319" t="s">
        <v>53</v>
      </c>
      <c r="K319">
        <v>2025</v>
      </c>
      <c r="L319">
        <v>22199.351999999999</v>
      </c>
      <c r="M319">
        <v>12</v>
      </c>
      <c r="N319" t="s">
        <v>41</v>
      </c>
      <c r="O319" t="s">
        <v>28</v>
      </c>
    </row>
    <row r="320" spans="1:15" x14ac:dyDescent="0.3">
      <c r="A320" t="s">
        <v>388</v>
      </c>
      <c r="B320" t="s">
        <v>66</v>
      </c>
      <c r="C320" t="s">
        <v>36</v>
      </c>
      <c r="D320">
        <v>14014.82</v>
      </c>
      <c r="E320">
        <v>1</v>
      </c>
      <c r="F320">
        <v>14014.82</v>
      </c>
      <c r="G320" s="1">
        <v>45619</v>
      </c>
      <c r="H320" t="s">
        <v>71</v>
      </c>
      <c r="I320">
        <v>4.5999999999999996</v>
      </c>
      <c r="J320" t="s">
        <v>37</v>
      </c>
      <c r="K320">
        <v>2024</v>
      </c>
      <c r="L320">
        <v>2802.9639999999999</v>
      </c>
      <c r="M320">
        <v>24</v>
      </c>
      <c r="N320" t="s">
        <v>41</v>
      </c>
      <c r="O320" t="s">
        <v>21</v>
      </c>
    </row>
    <row r="321" spans="1:15" x14ac:dyDescent="0.3">
      <c r="A321" t="s">
        <v>389</v>
      </c>
      <c r="B321" t="s">
        <v>66</v>
      </c>
      <c r="C321" t="s">
        <v>36</v>
      </c>
      <c r="D321">
        <v>23293.14</v>
      </c>
      <c r="E321">
        <v>2</v>
      </c>
      <c r="F321">
        <v>46586.28</v>
      </c>
      <c r="G321" s="1">
        <v>45451</v>
      </c>
      <c r="H321" t="s">
        <v>25</v>
      </c>
      <c r="I321">
        <v>4.0999999999999996</v>
      </c>
      <c r="J321" t="s">
        <v>67</v>
      </c>
      <c r="K321">
        <v>2024</v>
      </c>
      <c r="L321">
        <v>9317.2559999999994</v>
      </c>
      <c r="M321">
        <v>7</v>
      </c>
      <c r="N321" t="s">
        <v>41</v>
      </c>
      <c r="O321" t="s">
        <v>33</v>
      </c>
    </row>
    <row r="322" spans="1:15" x14ac:dyDescent="0.3">
      <c r="A322" t="s">
        <v>390</v>
      </c>
      <c r="B322" t="s">
        <v>47</v>
      </c>
      <c r="C322" t="s">
        <v>24</v>
      </c>
      <c r="D322">
        <v>38592.49</v>
      </c>
      <c r="E322">
        <v>5</v>
      </c>
      <c r="F322">
        <v>192962.45</v>
      </c>
      <c r="G322" s="1">
        <v>45578</v>
      </c>
      <c r="H322" t="s">
        <v>44</v>
      </c>
      <c r="I322">
        <v>3.2</v>
      </c>
      <c r="J322" t="s">
        <v>45</v>
      </c>
      <c r="K322">
        <v>2024</v>
      </c>
      <c r="L322">
        <v>38592.490000000005</v>
      </c>
      <c r="M322">
        <v>20</v>
      </c>
      <c r="N322" t="s">
        <v>20</v>
      </c>
      <c r="O322" t="s">
        <v>28</v>
      </c>
    </row>
    <row r="323" spans="1:15" x14ac:dyDescent="0.3">
      <c r="A323" t="s">
        <v>391</v>
      </c>
      <c r="B323" t="s">
        <v>66</v>
      </c>
      <c r="C323" t="s">
        <v>36</v>
      </c>
      <c r="D323">
        <v>39898.86</v>
      </c>
      <c r="E323">
        <v>1</v>
      </c>
      <c r="F323">
        <v>39898.86</v>
      </c>
      <c r="G323" s="1">
        <v>45446</v>
      </c>
      <c r="H323" t="s">
        <v>44</v>
      </c>
      <c r="I323">
        <v>1.8</v>
      </c>
      <c r="J323" t="s">
        <v>67</v>
      </c>
      <c r="K323">
        <v>2024</v>
      </c>
      <c r="L323">
        <v>7979.7720000000008</v>
      </c>
      <c r="M323">
        <v>29</v>
      </c>
      <c r="N323" t="s">
        <v>20</v>
      </c>
      <c r="O323" t="s">
        <v>68</v>
      </c>
    </row>
    <row r="324" spans="1:15" x14ac:dyDescent="0.3">
      <c r="A324" t="s">
        <v>392</v>
      </c>
      <c r="B324" t="s">
        <v>16</v>
      </c>
      <c r="C324" t="s">
        <v>17</v>
      </c>
      <c r="D324">
        <v>39842.5</v>
      </c>
      <c r="E324">
        <v>2</v>
      </c>
      <c r="F324">
        <v>79685</v>
      </c>
      <c r="G324" s="1">
        <v>45575</v>
      </c>
      <c r="H324" t="s">
        <v>18</v>
      </c>
      <c r="I324">
        <v>4.4000000000000004</v>
      </c>
      <c r="J324" t="s">
        <v>45</v>
      </c>
      <c r="K324">
        <v>2024</v>
      </c>
      <c r="L324">
        <v>15937</v>
      </c>
      <c r="M324">
        <v>7</v>
      </c>
      <c r="N324" t="s">
        <v>27</v>
      </c>
      <c r="O324" t="s">
        <v>33</v>
      </c>
    </row>
    <row r="325" spans="1:15" x14ac:dyDescent="0.3">
      <c r="A325" t="s">
        <v>393</v>
      </c>
      <c r="B325" t="s">
        <v>118</v>
      </c>
      <c r="C325" t="s">
        <v>17</v>
      </c>
      <c r="D325">
        <v>30395.25</v>
      </c>
      <c r="E325">
        <v>1</v>
      </c>
      <c r="F325">
        <v>30395.25</v>
      </c>
      <c r="G325" s="1">
        <v>45389</v>
      </c>
      <c r="H325" t="s">
        <v>64</v>
      </c>
      <c r="I325">
        <v>1.1000000000000001</v>
      </c>
      <c r="J325" t="s">
        <v>62</v>
      </c>
      <c r="K325">
        <v>2024</v>
      </c>
      <c r="L325">
        <v>6079.05</v>
      </c>
      <c r="M325">
        <v>29</v>
      </c>
      <c r="N325" t="s">
        <v>27</v>
      </c>
      <c r="O325" t="s">
        <v>68</v>
      </c>
    </row>
    <row r="326" spans="1:15" x14ac:dyDescent="0.3">
      <c r="A326" t="s">
        <v>394</v>
      </c>
      <c r="B326" t="s">
        <v>30</v>
      </c>
      <c r="C326" t="s">
        <v>31</v>
      </c>
      <c r="D326">
        <v>36560.32</v>
      </c>
      <c r="E326">
        <v>5</v>
      </c>
      <c r="F326">
        <v>182801.6</v>
      </c>
      <c r="G326" s="1">
        <v>45658</v>
      </c>
      <c r="H326" t="s">
        <v>80</v>
      </c>
      <c r="I326">
        <v>2.5</v>
      </c>
      <c r="J326" t="s">
        <v>53</v>
      </c>
      <c r="K326">
        <v>2025</v>
      </c>
      <c r="L326">
        <v>36560.32</v>
      </c>
      <c r="M326">
        <v>22</v>
      </c>
      <c r="N326" t="s">
        <v>27</v>
      </c>
      <c r="O326" t="s">
        <v>33</v>
      </c>
    </row>
    <row r="327" spans="1:15" x14ac:dyDescent="0.3">
      <c r="A327" t="s">
        <v>395</v>
      </c>
      <c r="B327" t="s">
        <v>39</v>
      </c>
      <c r="C327" t="s">
        <v>40</v>
      </c>
      <c r="D327">
        <v>44248.09</v>
      </c>
      <c r="E327">
        <v>1</v>
      </c>
      <c r="F327">
        <v>44248.09</v>
      </c>
      <c r="G327" s="1">
        <v>45341</v>
      </c>
      <c r="H327" t="s">
        <v>80</v>
      </c>
      <c r="I327">
        <v>3.1</v>
      </c>
      <c r="J327" t="s">
        <v>59</v>
      </c>
      <c r="K327">
        <v>2024</v>
      </c>
      <c r="L327">
        <v>8849.6180000000004</v>
      </c>
      <c r="M327">
        <v>18</v>
      </c>
      <c r="N327" t="s">
        <v>41</v>
      </c>
      <c r="O327" t="s">
        <v>28</v>
      </c>
    </row>
    <row r="328" spans="1:15" x14ac:dyDescent="0.3">
      <c r="A328" t="s">
        <v>396</v>
      </c>
      <c r="B328" t="s">
        <v>55</v>
      </c>
      <c r="C328" t="s">
        <v>36</v>
      </c>
      <c r="D328">
        <v>18386.259999999998</v>
      </c>
      <c r="E328">
        <v>1</v>
      </c>
      <c r="F328">
        <v>18386.259999999998</v>
      </c>
      <c r="G328" s="1">
        <v>45571</v>
      </c>
      <c r="H328" t="s">
        <v>71</v>
      </c>
      <c r="I328">
        <v>1.4</v>
      </c>
      <c r="J328" t="s">
        <v>45</v>
      </c>
      <c r="K328">
        <v>2024</v>
      </c>
      <c r="L328">
        <v>3677.252</v>
      </c>
      <c r="M328">
        <v>22</v>
      </c>
      <c r="N328" t="s">
        <v>41</v>
      </c>
      <c r="O328" t="s">
        <v>68</v>
      </c>
    </row>
    <row r="329" spans="1:15" x14ac:dyDescent="0.3">
      <c r="A329" t="s">
        <v>397</v>
      </c>
      <c r="B329" t="s">
        <v>52</v>
      </c>
      <c r="C329" t="s">
        <v>24</v>
      </c>
      <c r="D329">
        <v>33683.4</v>
      </c>
      <c r="E329">
        <v>1</v>
      </c>
      <c r="F329">
        <v>33683.4</v>
      </c>
      <c r="G329" s="1">
        <v>45665</v>
      </c>
      <c r="H329" t="s">
        <v>18</v>
      </c>
      <c r="I329">
        <v>3.8</v>
      </c>
      <c r="J329" t="s">
        <v>53</v>
      </c>
      <c r="K329">
        <v>2025</v>
      </c>
      <c r="L329">
        <v>6736.68</v>
      </c>
      <c r="M329">
        <v>6</v>
      </c>
      <c r="N329" t="s">
        <v>20</v>
      </c>
      <c r="O329" t="s">
        <v>68</v>
      </c>
    </row>
    <row r="330" spans="1:15" x14ac:dyDescent="0.3">
      <c r="A330" t="s">
        <v>398</v>
      </c>
      <c r="B330" t="s">
        <v>94</v>
      </c>
      <c r="C330" t="s">
        <v>31</v>
      </c>
      <c r="D330">
        <v>49561.57</v>
      </c>
      <c r="E330">
        <v>3</v>
      </c>
      <c r="F330">
        <v>148684.71</v>
      </c>
      <c r="G330" s="1">
        <v>45385</v>
      </c>
      <c r="H330" t="s">
        <v>80</v>
      </c>
      <c r="I330">
        <v>3.5</v>
      </c>
      <c r="J330" t="s">
        <v>62</v>
      </c>
      <c r="K330">
        <v>2024</v>
      </c>
      <c r="L330">
        <v>29736.941999999999</v>
      </c>
      <c r="M330">
        <v>26</v>
      </c>
      <c r="N330" t="s">
        <v>41</v>
      </c>
      <c r="O330" t="s">
        <v>33</v>
      </c>
    </row>
    <row r="331" spans="1:15" x14ac:dyDescent="0.3">
      <c r="A331" t="s">
        <v>399</v>
      </c>
      <c r="B331" t="s">
        <v>30</v>
      </c>
      <c r="C331" t="s">
        <v>31</v>
      </c>
      <c r="D331">
        <v>18551.650000000001</v>
      </c>
      <c r="E331">
        <v>2</v>
      </c>
      <c r="F331">
        <v>37103.300000000003</v>
      </c>
      <c r="G331" s="1">
        <v>45381</v>
      </c>
      <c r="H331" t="s">
        <v>71</v>
      </c>
      <c r="I331">
        <v>2.6</v>
      </c>
      <c r="J331" t="s">
        <v>56</v>
      </c>
      <c r="K331">
        <v>2024</v>
      </c>
      <c r="L331">
        <v>7420.6600000000008</v>
      </c>
      <c r="M331">
        <v>7</v>
      </c>
      <c r="N331" t="s">
        <v>41</v>
      </c>
      <c r="O331" t="s">
        <v>68</v>
      </c>
    </row>
    <row r="332" spans="1:15" x14ac:dyDescent="0.3">
      <c r="A332" t="s">
        <v>400</v>
      </c>
      <c r="B332" t="s">
        <v>107</v>
      </c>
      <c r="C332" t="s">
        <v>36</v>
      </c>
      <c r="D332">
        <v>12249.35</v>
      </c>
      <c r="E332">
        <v>5</v>
      </c>
      <c r="F332">
        <v>61246.75</v>
      </c>
      <c r="G332" s="1">
        <v>45686</v>
      </c>
      <c r="H332" t="s">
        <v>44</v>
      </c>
      <c r="I332">
        <v>2.9</v>
      </c>
      <c r="J332" t="s">
        <v>53</v>
      </c>
      <c r="K332">
        <v>2025</v>
      </c>
      <c r="L332">
        <v>12249.35</v>
      </c>
      <c r="M332">
        <v>20</v>
      </c>
      <c r="N332" t="s">
        <v>41</v>
      </c>
      <c r="O332" t="s">
        <v>33</v>
      </c>
    </row>
    <row r="333" spans="1:15" x14ac:dyDescent="0.3">
      <c r="A333" t="s">
        <v>401</v>
      </c>
      <c r="B333" t="s">
        <v>23</v>
      </c>
      <c r="C333" t="s">
        <v>24</v>
      </c>
      <c r="D333">
        <v>35305.39</v>
      </c>
      <c r="E333">
        <v>1</v>
      </c>
      <c r="F333">
        <v>35305.39</v>
      </c>
      <c r="G333" s="1">
        <v>45453</v>
      </c>
      <c r="H333" t="s">
        <v>25</v>
      </c>
      <c r="I333">
        <v>2.2000000000000002</v>
      </c>
      <c r="J333" t="s">
        <v>67</v>
      </c>
      <c r="K333">
        <v>2024</v>
      </c>
      <c r="L333">
        <v>7061.0780000000004</v>
      </c>
      <c r="M333">
        <v>13</v>
      </c>
      <c r="N333" t="s">
        <v>27</v>
      </c>
      <c r="O333" t="s">
        <v>33</v>
      </c>
    </row>
    <row r="334" spans="1:15" x14ac:dyDescent="0.3">
      <c r="A334" t="s">
        <v>402</v>
      </c>
      <c r="B334" t="s">
        <v>35</v>
      </c>
      <c r="C334" t="s">
        <v>36</v>
      </c>
      <c r="D334">
        <v>16790.46</v>
      </c>
      <c r="E334">
        <v>5</v>
      </c>
      <c r="F334">
        <v>83952.3</v>
      </c>
      <c r="G334" s="1">
        <v>45531</v>
      </c>
      <c r="H334" t="s">
        <v>80</v>
      </c>
      <c r="I334">
        <v>4.3</v>
      </c>
      <c r="J334" t="s">
        <v>88</v>
      </c>
      <c r="K334">
        <v>2024</v>
      </c>
      <c r="L334">
        <v>16790.460000000003</v>
      </c>
      <c r="M334">
        <v>8</v>
      </c>
      <c r="N334" t="s">
        <v>27</v>
      </c>
      <c r="O334" t="s">
        <v>33</v>
      </c>
    </row>
    <row r="335" spans="1:15" x14ac:dyDescent="0.3">
      <c r="A335" t="s">
        <v>403</v>
      </c>
      <c r="B335" t="s">
        <v>52</v>
      </c>
      <c r="C335" t="s">
        <v>24</v>
      </c>
      <c r="D335">
        <v>26096.959999999999</v>
      </c>
      <c r="E335">
        <v>4</v>
      </c>
      <c r="F335">
        <v>104387.84</v>
      </c>
      <c r="G335" s="1">
        <v>45379</v>
      </c>
      <c r="H335" t="s">
        <v>18</v>
      </c>
      <c r="I335">
        <v>3.5</v>
      </c>
      <c r="J335" t="s">
        <v>56</v>
      </c>
      <c r="K335">
        <v>2024</v>
      </c>
      <c r="L335">
        <v>20877.567999999999</v>
      </c>
      <c r="M335">
        <v>5</v>
      </c>
      <c r="N335" t="s">
        <v>20</v>
      </c>
      <c r="O335" t="s">
        <v>33</v>
      </c>
    </row>
    <row r="336" spans="1:15" x14ac:dyDescent="0.3">
      <c r="A336" t="s">
        <v>404</v>
      </c>
      <c r="B336" t="s">
        <v>125</v>
      </c>
      <c r="C336" t="s">
        <v>17</v>
      </c>
      <c r="D336">
        <v>34361.96</v>
      </c>
      <c r="E336">
        <v>5</v>
      </c>
      <c r="F336">
        <v>171809.8</v>
      </c>
      <c r="G336" s="1">
        <v>45373</v>
      </c>
      <c r="H336" t="s">
        <v>80</v>
      </c>
      <c r="I336">
        <v>4.4000000000000004</v>
      </c>
      <c r="J336" t="s">
        <v>56</v>
      </c>
      <c r="K336">
        <v>2024</v>
      </c>
      <c r="L336">
        <v>34361.96</v>
      </c>
      <c r="M336">
        <v>8</v>
      </c>
      <c r="N336" t="s">
        <v>41</v>
      </c>
      <c r="O336" t="s">
        <v>28</v>
      </c>
    </row>
    <row r="337" spans="1:15" x14ac:dyDescent="0.3">
      <c r="A337" t="s">
        <v>405</v>
      </c>
      <c r="B337" t="s">
        <v>50</v>
      </c>
      <c r="C337" t="s">
        <v>40</v>
      </c>
      <c r="D337">
        <v>46079.49</v>
      </c>
      <c r="E337">
        <v>5</v>
      </c>
      <c r="F337">
        <v>230397.45</v>
      </c>
      <c r="G337" s="1">
        <v>45350</v>
      </c>
      <c r="H337" t="s">
        <v>80</v>
      </c>
      <c r="I337">
        <v>3.7</v>
      </c>
      <c r="J337" t="s">
        <v>59</v>
      </c>
      <c r="K337">
        <v>2024</v>
      </c>
      <c r="L337">
        <v>46079.490000000005</v>
      </c>
      <c r="M337">
        <v>5</v>
      </c>
      <c r="N337" t="s">
        <v>41</v>
      </c>
      <c r="O337" t="s">
        <v>33</v>
      </c>
    </row>
    <row r="338" spans="1:15" x14ac:dyDescent="0.3">
      <c r="A338" t="s">
        <v>406</v>
      </c>
      <c r="B338" t="s">
        <v>43</v>
      </c>
      <c r="C338" t="s">
        <v>40</v>
      </c>
      <c r="D338">
        <v>47053.440000000002</v>
      </c>
      <c r="E338">
        <v>2</v>
      </c>
      <c r="F338">
        <v>94106.880000000005</v>
      </c>
      <c r="G338" s="1">
        <v>45448</v>
      </c>
      <c r="H338" t="s">
        <v>64</v>
      </c>
      <c r="I338">
        <v>3</v>
      </c>
      <c r="J338" t="s">
        <v>67</v>
      </c>
      <c r="K338">
        <v>2024</v>
      </c>
      <c r="L338">
        <v>18821.376</v>
      </c>
      <c r="M338">
        <v>18</v>
      </c>
      <c r="N338" t="s">
        <v>20</v>
      </c>
      <c r="O338" t="s">
        <v>21</v>
      </c>
    </row>
    <row r="339" spans="1:15" x14ac:dyDescent="0.3">
      <c r="A339" t="s">
        <v>407</v>
      </c>
      <c r="B339" t="s">
        <v>55</v>
      </c>
      <c r="C339" t="s">
        <v>36</v>
      </c>
      <c r="D339">
        <v>18905.939999999999</v>
      </c>
      <c r="E339">
        <v>3</v>
      </c>
      <c r="F339">
        <v>56717.82</v>
      </c>
      <c r="G339" s="1">
        <v>45518</v>
      </c>
      <c r="H339" t="s">
        <v>25</v>
      </c>
      <c r="I339">
        <v>4.5</v>
      </c>
      <c r="J339" t="s">
        <v>88</v>
      </c>
      <c r="K339">
        <v>2024</v>
      </c>
      <c r="L339">
        <v>11343.564</v>
      </c>
      <c r="M339">
        <v>25</v>
      </c>
      <c r="N339" t="s">
        <v>41</v>
      </c>
      <c r="O339" t="s">
        <v>68</v>
      </c>
    </row>
    <row r="340" spans="1:15" x14ac:dyDescent="0.3">
      <c r="A340" t="s">
        <v>408</v>
      </c>
      <c r="B340" t="s">
        <v>94</v>
      </c>
      <c r="C340" t="s">
        <v>31</v>
      </c>
      <c r="D340">
        <v>30977.18</v>
      </c>
      <c r="E340">
        <v>3</v>
      </c>
      <c r="F340">
        <v>92931.54</v>
      </c>
      <c r="G340" s="1">
        <v>45604</v>
      </c>
      <c r="H340" t="s">
        <v>25</v>
      </c>
      <c r="I340">
        <v>3.3</v>
      </c>
      <c r="J340" t="s">
        <v>37</v>
      </c>
      <c r="K340">
        <v>2024</v>
      </c>
      <c r="L340">
        <v>18586.308000000001</v>
      </c>
      <c r="M340">
        <v>20</v>
      </c>
      <c r="N340" t="s">
        <v>41</v>
      </c>
      <c r="O340" t="s">
        <v>21</v>
      </c>
    </row>
    <row r="341" spans="1:15" x14ac:dyDescent="0.3">
      <c r="A341" t="s">
        <v>409</v>
      </c>
      <c r="B341" t="s">
        <v>50</v>
      </c>
      <c r="C341" t="s">
        <v>40</v>
      </c>
      <c r="D341">
        <v>41841.57</v>
      </c>
      <c r="E341">
        <v>2</v>
      </c>
      <c r="F341">
        <v>83683.14</v>
      </c>
      <c r="G341" s="1">
        <v>45439</v>
      </c>
      <c r="H341" t="s">
        <v>64</v>
      </c>
      <c r="I341">
        <v>1.1000000000000001</v>
      </c>
      <c r="J341" t="s">
        <v>32</v>
      </c>
      <c r="K341">
        <v>2024</v>
      </c>
      <c r="L341">
        <v>16736.628000000001</v>
      </c>
      <c r="M341">
        <v>24</v>
      </c>
      <c r="N341" t="s">
        <v>27</v>
      </c>
      <c r="O341" t="s">
        <v>28</v>
      </c>
    </row>
    <row r="342" spans="1:15" x14ac:dyDescent="0.3">
      <c r="A342" t="s">
        <v>410</v>
      </c>
      <c r="B342" t="s">
        <v>96</v>
      </c>
      <c r="C342" t="s">
        <v>36</v>
      </c>
      <c r="D342">
        <v>4277.1499999999996</v>
      </c>
      <c r="E342">
        <v>4</v>
      </c>
      <c r="F342">
        <v>17108.599999999999</v>
      </c>
      <c r="G342" s="1">
        <v>45516</v>
      </c>
      <c r="H342" t="s">
        <v>64</v>
      </c>
      <c r="I342">
        <v>2.1</v>
      </c>
      <c r="J342" t="s">
        <v>88</v>
      </c>
      <c r="K342">
        <v>2024</v>
      </c>
      <c r="L342">
        <v>3421.72</v>
      </c>
      <c r="M342">
        <v>28</v>
      </c>
      <c r="N342" t="s">
        <v>20</v>
      </c>
      <c r="O342" t="s">
        <v>21</v>
      </c>
    </row>
    <row r="343" spans="1:15" x14ac:dyDescent="0.3">
      <c r="A343" t="s">
        <v>411</v>
      </c>
      <c r="B343" t="s">
        <v>145</v>
      </c>
      <c r="C343" t="s">
        <v>40</v>
      </c>
      <c r="D343">
        <v>15648.85</v>
      </c>
      <c r="E343">
        <v>2</v>
      </c>
      <c r="F343">
        <v>31297.7</v>
      </c>
      <c r="G343" s="1">
        <v>45691</v>
      </c>
      <c r="H343" t="s">
        <v>71</v>
      </c>
      <c r="I343">
        <v>4.4000000000000004</v>
      </c>
      <c r="J343" t="s">
        <v>59</v>
      </c>
      <c r="K343">
        <v>2025</v>
      </c>
      <c r="L343">
        <v>6259.5400000000009</v>
      </c>
      <c r="M343">
        <v>12</v>
      </c>
      <c r="N343" t="s">
        <v>20</v>
      </c>
      <c r="O343" t="s">
        <v>68</v>
      </c>
    </row>
    <row r="344" spans="1:15" x14ac:dyDescent="0.3">
      <c r="A344" t="s">
        <v>412</v>
      </c>
      <c r="B344" t="s">
        <v>107</v>
      </c>
      <c r="C344" t="s">
        <v>36</v>
      </c>
      <c r="D344">
        <v>26992.720000000001</v>
      </c>
      <c r="E344">
        <v>3</v>
      </c>
      <c r="F344">
        <v>80978.16</v>
      </c>
      <c r="G344" s="1">
        <v>45337</v>
      </c>
      <c r="H344" t="s">
        <v>44</v>
      </c>
      <c r="I344">
        <v>1.1000000000000001</v>
      </c>
      <c r="J344" t="s">
        <v>59</v>
      </c>
      <c r="K344">
        <v>2024</v>
      </c>
      <c r="L344">
        <v>16195.632000000001</v>
      </c>
      <c r="M344">
        <v>11</v>
      </c>
      <c r="N344" t="s">
        <v>20</v>
      </c>
      <c r="O344" t="s">
        <v>21</v>
      </c>
    </row>
    <row r="345" spans="1:15" x14ac:dyDescent="0.3">
      <c r="A345" t="s">
        <v>413</v>
      </c>
      <c r="B345" t="s">
        <v>107</v>
      </c>
      <c r="C345" t="s">
        <v>36</v>
      </c>
      <c r="D345">
        <v>49586.31</v>
      </c>
      <c r="E345">
        <v>4</v>
      </c>
      <c r="F345">
        <v>198345.24</v>
      </c>
      <c r="G345" s="1">
        <v>45415</v>
      </c>
      <c r="H345" t="s">
        <v>25</v>
      </c>
      <c r="I345">
        <v>4.3</v>
      </c>
      <c r="J345" t="s">
        <v>32</v>
      </c>
      <c r="K345">
        <v>2024</v>
      </c>
      <c r="L345">
        <v>39669.048000000003</v>
      </c>
      <c r="M345">
        <v>7</v>
      </c>
      <c r="N345" t="s">
        <v>20</v>
      </c>
      <c r="O345" t="s">
        <v>28</v>
      </c>
    </row>
    <row r="346" spans="1:15" x14ac:dyDescent="0.3">
      <c r="A346" t="s">
        <v>414</v>
      </c>
      <c r="B346" t="s">
        <v>55</v>
      </c>
      <c r="C346" t="s">
        <v>36</v>
      </c>
      <c r="D346">
        <v>37181.040000000001</v>
      </c>
      <c r="E346">
        <v>1</v>
      </c>
      <c r="F346">
        <v>37181.040000000001</v>
      </c>
      <c r="G346" s="1">
        <v>45372</v>
      </c>
      <c r="H346" t="s">
        <v>44</v>
      </c>
      <c r="I346">
        <v>1.2</v>
      </c>
      <c r="J346" t="s">
        <v>56</v>
      </c>
      <c r="K346">
        <v>2024</v>
      </c>
      <c r="L346">
        <v>7436.2080000000005</v>
      </c>
      <c r="M346">
        <v>21</v>
      </c>
      <c r="N346" t="s">
        <v>27</v>
      </c>
      <c r="O346" t="s">
        <v>33</v>
      </c>
    </row>
    <row r="347" spans="1:15" x14ac:dyDescent="0.3">
      <c r="A347" t="s">
        <v>415</v>
      </c>
      <c r="B347" t="s">
        <v>47</v>
      </c>
      <c r="C347" t="s">
        <v>24</v>
      </c>
      <c r="D347">
        <v>46090.65</v>
      </c>
      <c r="E347">
        <v>4</v>
      </c>
      <c r="F347">
        <v>184362.6</v>
      </c>
      <c r="G347" s="1">
        <v>45682</v>
      </c>
      <c r="H347" t="s">
        <v>25</v>
      </c>
      <c r="I347">
        <v>3.3</v>
      </c>
      <c r="J347" t="s">
        <v>53</v>
      </c>
      <c r="K347">
        <v>2025</v>
      </c>
      <c r="L347">
        <v>36872.520000000004</v>
      </c>
      <c r="M347">
        <v>5</v>
      </c>
      <c r="N347" t="s">
        <v>27</v>
      </c>
      <c r="O347" t="s">
        <v>21</v>
      </c>
    </row>
    <row r="348" spans="1:15" x14ac:dyDescent="0.3">
      <c r="A348" t="s">
        <v>416</v>
      </c>
      <c r="B348" t="s">
        <v>16</v>
      </c>
      <c r="C348" t="s">
        <v>17</v>
      </c>
      <c r="D348">
        <v>48151.09</v>
      </c>
      <c r="E348">
        <v>4</v>
      </c>
      <c r="F348">
        <v>192604.36</v>
      </c>
      <c r="G348" s="1">
        <v>45496</v>
      </c>
      <c r="H348" t="s">
        <v>25</v>
      </c>
      <c r="I348">
        <v>2.9</v>
      </c>
      <c r="J348" t="s">
        <v>48</v>
      </c>
      <c r="K348">
        <v>2024</v>
      </c>
      <c r="L348">
        <v>38520.871999999996</v>
      </c>
      <c r="M348">
        <v>20</v>
      </c>
      <c r="N348" t="s">
        <v>41</v>
      </c>
      <c r="O348" t="s">
        <v>28</v>
      </c>
    </row>
    <row r="349" spans="1:15" x14ac:dyDescent="0.3">
      <c r="A349" t="s">
        <v>417</v>
      </c>
      <c r="B349" t="s">
        <v>35</v>
      </c>
      <c r="C349" t="s">
        <v>36</v>
      </c>
      <c r="D349">
        <v>8197.4699999999993</v>
      </c>
      <c r="E349">
        <v>2</v>
      </c>
      <c r="F349">
        <v>16394.939999999999</v>
      </c>
      <c r="G349" s="1">
        <v>45563</v>
      </c>
      <c r="H349" t="s">
        <v>44</v>
      </c>
      <c r="I349">
        <v>3</v>
      </c>
      <c r="J349" t="s">
        <v>19</v>
      </c>
      <c r="K349">
        <v>2024</v>
      </c>
      <c r="L349">
        <v>3278.9879999999998</v>
      </c>
      <c r="M349">
        <v>16</v>
      </c>
      <c r="N349" t="s">
        <v>41</v>
      </c>
      <c r="O349" t="s">
        <v>28</v>
      </c>
    </row>
    <row r="350" spans="1:15" x14ac:dyDescent="0.3">
      <c r="A350" t="s">
        <v>418</v>
      </c>
      <c r="B350" t="s">
        <v>39</v>
      </c>
      <c r="C350" t="s">
        <v>40</v>
      </c>
      <c r="D350">
        <v>40679.29</v>
      </c>
      <c r="E350">
        <v>2</v>
      </c>
      <c r="F350">
        <v>81358.58</v>
      </c>
      <c r="G350" s="1">
        <v>45486</v>
      </c>
      <c r="H350" t="s">
        <v>44</v>
      </c>
      <c r="I350">
        <v>1.5</v>
      </c>
      <c r="J350" t="s">
        <v>48</v>
      </c>
      <c r="K350">
        <v>2024</v>
      </c>
      <c r="L350">
        <v>16271.716</v>
      </c>
      <c r="M350">
        <v>23</v>
      </c>
      <c r="N350" t="s">
        <v>41</v>
      </c>
      <c r="O350" t="s">
        <v>68</v>
      </c>
    </row>
    <row r="351" spans="1:15" x14ac:dyDescent="0.3">
      <c r="A351" t="s">
        <v>419</v>
      </c>
      <c r="B351" t="s">
        <v>58</v>
      </c>
      <c r="C351" t="s">
        <v>31</v>
      </c>
      <c r="D351">
        <v>45012.71</v>
      </c>
      <c r="E351">
        <v>3</v>
      </c>
      <c r="F351">
        <v>135038.13</v>
      </c>
      <c r="G351" s="1">
        <v>45580</v>
      </c>
      <c r="H351" t="s">
        <v>25</v>
      </c>
      <c r="I351">
        <v>4.9000000000000004</v>
      </c>
      <c r="J351" t="s">
        <v>45</v>
      </c>
      <c r="K351">
        <v>2024</v>
      </c>
      <c r="L351">
        <v>27007.626000000004</v>
      </c>
      <c r="M351">
        <v>26</v>
      </c>
      <c r="N351" t="s">
        <v>41</v>
      </c>
      <c r="O351" t="s">
        <v>68</v>
      </c>
    </row>
    <row r="352" spans="1:15" x14ac:dyDescent="0.3">
      <c r="A352" t="s">
        <v>420</v>
      </c>
      <c r="B352" t="s">
        <v>58</v>
      </c>
      <c r="C352" t="s">
        <v>31</v>
      </c>
      <c r="D352">
        <v>5127.0200000000004</v>
      </c>
      <c r="E352">
        <v>3</v>
      </c>
      <c r="F352">
        <v>15381.06</v>
      </c>
      <c r="G352" s="1">
        <v>45695</v>
      </c>
      <c r="H352" t="s">
        <v>18</v>
      </c>
      <c r="I352">
        <v>4.5</v>
      </c>
      <c r="J352" t="s">
        <v>59</v>
      </c>
      <c r="K352">
        <v>2025</v>
      </c>
      <c r="L352">
        <v>3076.212</v>
      </c>
      <c r="M352">
        <v>27</v>
      </c>
      <c r="N352" t="s">
        <v>27</v>
      </c>
      <c r="O352" t="s">
        <v>21</v>
      </c>
    </row>
    <row r="353" spans="1:15" x14ac:dyDescent="0.3">
      <c r="A353" t="s">
        <v>421</v>
      </c>
      <c r="B353" t="s">
        <v>96</v>
      </c>
      <c r="C353" t="s">
        <v>36</v>
      </c>
      <c r="D353">
        <v>13954.48</v>
      </c>
      <c r="E353">
        <v>3</v>
      </c>
      <c r="F353">
        <v>41863.440000000002</v>
      </c>
      <c r="G353" s="1">
        <v>45669</v>
      </c>
      <c r="H353" t="s">
        <v>25</v>
      </c>
      <c r="I353">
        <v>1.5</v>
      </c>
      <c r="J353" t="s">
        <v>53</v>
      </c>
      <c r="K353">
        <v>2025</v>
      </c>
      <c r="L353">
        <v>8372.6880000000001</v>
      </c>
      <c r="M353">
        <v>26</v>
      </c>
      <c r="N353" t="s">
        <v>20</v>
      </c>
      <c r="O353" t="s">
        <v>33</v>
      </c>
    </row>
    <row r="354" spans="1:15" x14ac:dyDescent="0.3">
      <c r="A354" t="s">
        <v>422</v>
      </c>
      <c r="B354" t="s">
        <v>78</v>
      </c>
      <c r="C354" t="s">
        <v>24</v>
      </c>
      <c r="D354">
        <v>26166.89</v>
      </c>
      <c r="E354">
        <v>4</v>
      </c>
      <c r="F354">
        <v>104667.56</v>
      </c>
      <c r="G354" s="1">
        <v>45541</v>
      </c>
      <c r="H354" t="s">
        <v>71</v>
      </c>
      <c r="I354">
        <v>3.7</v>
      </c>
      <c r="J354" t="s">
        <v>19</v>
      </c>
      <c r="K354">
        <v>2024</v>
      </c>
      <c r="L354">
        <v>20933.512000000002</v>
      </c>
      <c r="M354">
        <v>18</v>
      </c>
      <c r="N354" t="s">
        <v>27</v>
      </c>
      <c r="O354" t="s">
        <v>28</v>
      </c>
    </row>
    <row r="355" spans="1:15" x14ac:dyDescent="0.3">
      <c r="A355" t="s">
        <v>423</v>
      </c>
      <c r="B355" t="s">
        <v>94</v>
      </c>
      <c r="C355" t="s">
        <v>31</v>
      </c>
      <c r="D355">
        <v>45072.69</v>
      </c>
      <c r="E355">
        <v>2</v>
      </c>
      <c r="F355">
        <v>90145.38</v>
      </c>
      <c r="G355" s="1">
        <v>45656</v>
      </c>
      <c r="H355" t="s">
        <v>44</v>
      </c>
      <c r="I355">
        <v>2.6</v>
      </c>
      <c r="J355" t="s">
        <v>26</v>
      </c>
      <c r="K355">
        <v>2024</v>
      </c>
      <c r="L355">
        <v>18029.076000000001</v>
      </c>
      <c r="M355">
        <v>10</v>
      </c>
      <c r="N355" t="s">
        <v>41</v>
      </c>
      <c r="O355" t="s">
        <v>21</v>
      </c>
    </row>
    <row r="356" spans="1:15" x14ac:dyDescent="0.3">
      <c r="A356" t="s">
        <v>424</v>
      </c>
      <c r="B356" t="s">
        <v>78</v>
      </c>
      <c r="C356" t="s">
        <v>24</v>
      </c>
      <c r="D356">
        <v>33543.19</v>
      </c>
      <c r="E356">
        <v>2</v>
      </c>
      <c r="F356">
        <v>67086.38</v>
      </c>
      <c r="G356" s="1">
        <v>45360</v>
      </c>
      <c r="H356" t="s">
        <v>25</v>
      </c>
      <c r="I356">
        <v>3.7</v>
      </c>
      <c r="J356" t="s">
        <v>56</v>
      </c>
      <c r="K356">
        <v>2024</v>
      </c>
      <c r="L356">
        <v>13417.276000000002</v>
      </c>
      <c r="M356">
        <v>10</v>
      </c>
      <c r="N356" t="s">
        <v>27</v>
      </c>
      <c r="O356" t="s">
        <v>28</v>
      </c>
    </row>
    <row r="357" spans="1:15" x14ac:dyDescent="0.3">
      <c r="A357" t="s">
        <v>425</v>
      </c>
      <c r="B357" t="s">
        <v>125</v>
      </c>
      <c r="C357" t="s">
        <v>17</v>
      </c>
      <c r="D357">
        <v>34116.230000000003</v>
      </c>
      <c r="E357">
        <v>3</v>
      </c>
      <c r="F357">
        <v>102348.69</v>
      </c>
      <c r="G357" s="1">
        <v>45371</v>
      </c>
      <c r="H357" t="s">
        <v>44</v>
      </c>
      <c r="I357">
        <v>1.4</v>
      </c>
      <c r="J357" t="s">
        <v>56</v>
      </c>
      <c r="K357">
        <v>2024</v>
      </c>
      <c r="L357">
        <v>20469.738000000001</v>
      </c>
      <c r="M357">
        <v>17</v>
      </c>
      <c r="N357" t="s">
        <v>20</v>
      </c>
      <c r="O357" t="s">
        <v>28</v>
      </c>
    </row>
    <row r="358" spans="1:15" x14ac:dyDescent="0.3">
      <c r="A358" t="s">
        <v>426</v>
      </c>
      <c r="B358" t="s">
        <v>125</v>
      </c>
      <c r="C358" t="s">
        <v>17</v>
      </c>
      <c r="D358">
        <v>15466.4</v>
      </c>
      <c r="E358">
        <v>5</v>
      </c>
      <c r="F358">
        <v>77332</v>
      </c>
      <c r="G358" s="1">
        <v>45502</v>
      </c>
      <c r="H358" t="s">
        <v>44</v>
      </c>
      <c r="I358">
        <v>2.9</v>
      </c>
      <c r="J358" t="s">
        <v>48</v>
      </c>
      <c r="K358">
        <v>2024</v>
      </c>
      <c r="L358">
        <v>15466.400000000001</v>
      </c>
      <c r="M358">
        <v>23</v>
      </c>
      <c r="N358" t="s">
        <v>20</v>
      </c>
      <c r="O358" t="s">
        <v>33</v>
      </c>
    </row>
    <row r="359" spans="1:15" x14ac:dyDescent="0.3">
      <c r="A359" t="s">
        <v>427</v>
      </c>
      <c r="B359" t="s">
        <v>96</v>
      </c>
      <c r="C359" t="s">
        <v>36</v>
      </c>
      <c r="D359">
        <v>19879.400000000001</v>
      </c>
      <c r="E359">
        <v>4</v>
      </c>
      <c r="F359">
        <v>79517.600000000006</v>
      </c>
      <c r="G359" s="1">
        <v>45366</v>
      </c>
      <c r="H359" t="s">
        <v>18</v>
      </c>
      <c r="I359">
        <v>3.2</v>
      </c>
      <c r="J359" t="s">
        <v>56</v>
      </c>
      <c r="K359">
        <v>2024</v>
      </c>
      <c r="L359">
        <v>15903.520000000002</v>
      </c>
      <c r="M359">
        <v>26</v>
      </c>
      <c r="N359" t="s">
        <v>27</v>
      </c>
      <c r="O359" t="s">
        <v>33</v>
      </c>
    </row>
    <row r="360" spans="1:15" x14ac:dyDescent="0.3">
      <c r="A360" t="s">
        <v>428</v>
      </c>
      <c r="B360" t="s">
        <v>145</v>
      </c>
      <c r="C360" t="s">
        <v>40</v>
      </c>
      <c r="D360">
        <v>11914.15</v>
      </c>
      <c r="E360">
        <v>2</v>
      </c>
      <c r="F360">
        <v>23828.3</v>
      </c>
      <c r="G360" s="1">
        <v>45453</v>
      </c>
      <c r="H360" t="s">
        <v>44</v>
      </c>
      <c r="I360">
        <v>2.4</v>
      </c>
      <c r="J360" t="s">
        <v>67</v>
      </c>
      <c r="K360">
        <v>2024</v>
      </c>
      <c r="L360">
        <v>4765.66</v>
      </c>
      <c r="M360">
        <v>12</v>
      </c>
      <c r="N360" t="s">
        <v>27</v>
      </c>
      <c r="O360" t="s">
        <v>21</v>
      </c>
    </row>
    <row r="361" spans="1:15" x14ac:dyDescent="0.3">
      <c r="A361" t="s">
        <v>429</v>
      </c>
      <c r="B361" t="s">
        <v>176</v>
      </c>
      <c r="C361" t="s">
        <v>24</v>
      </c>
      <c r="D361">
        <v>7936.32</v>
      </c>
      <c r="E361">
        <v>4</v>
      </c>
      <c r="F361">
        <v>31745.279999999999</v>
      </c>
      <c r="G361" s="1">
        <v>45556</v>
      </c>
      <c r="H361" t="s">
        <v>71</v>
      </c>
      <c r="I361">
        <v>1.5</v>
      </c>
      <c r="J361" t="s">
        <v>19</v>
      </c>
      <c r="K361">
        <v>2024</v>
      </c>
      <c r="L361">
        <v>6349.0560000000005</v>
      </c>
      <c r="M361">
        <v>6</v>
      </c>
      <c r="N361" t="s">
        <v>27</v>
      </c>
      <c r="O361" t="s">
        <v>33</v>
      </c>
    </row>
    <row r="362" spans="1:15" x14ac:dyDescent="0.3">
      <c r="A362" t="s">
        <v>430</v>
      </c>
      <c r="B362" t="s">
        <v>16</v>
      </c>
      <c r="C362" t="s">
        <v>17</v>
      </c>
      <c r="D362">
        <v>7633.85</v>
      </c>
      <c r="E362">
        <v>2</v>
      </c>
      <c r="F362">
        <v>15267.7</v>
      </c>
      <c r="G362" s="1">
        <v>45536</v>
      </c>
      <c r="H362" t="s">
        <v>80</v>
      </c>
      <c r="I362">
        <v>3.8</v>
      </c>
      <c r="J362" t="s">
        <v>19</v>
      </c>
      <c r="K362">
        <v>2024</v>
      </c>
      <c r="L362">
        <v>3053.5400000000004</v>
      </c>
      <c r="M362">
        <v>25</v>
      </c>
      <c r="N362" t="s">
        <v>41</v>
      </c>
      <c r="O362" t="s">
        <v>33</v>
      </c>
    </row>
    <row r="363" spans="1:15" x14ac:dyDescent="0.3">
      <c r="A363" t="s">
        <v>431</v>
      </c>
      <c r="B363" t="s">
        <v>30</v>
      </c>
      <c r="C363" t="s">
        <v>31</v>
      </c>
      <c r="D363">
        <v>2470.8200000000002</v>
      </c>
      <c r="E363">
        <v>4</v>
      </c>
      <c r="F363">
        <v>9883.2800000000007</v>
      </c>
      <c r="G363" s="1">
        <v>45438</v>
      </c>
      <c r="H363" t="s">
        <v>25</v>
      </c>
      <c r="I363">
        <v>2</v>
      </c>
      <c r="J363" t="s">
        <v>32</v>
      </c>
      <c r="K363">
        <v>2024</v>
      </c>
      <c r="L363">
        <v>1976.6560000000002</v>
      </c>
      <c r="M363">
        <v>5</v>
      </c>
      <c r="N363" t="s">
        <v>27</v>
      </c>
      <c r="O363" t="s">
        <v>21</v>
      </c>
    </row>
    <row r="364" spans="1:15" x14ac:dyDescent="0.3">
      <c r="A364" t="s">
        <v>432</v>
      </c>
      <c r="B364" t="s">
        <v>145</v>
      </c>
      <c r="C364" t="s">
        <v>40</v>
      </c>
      <c r="D364">
        <v>908.47</v>
      </c>
      <c r="E364">
        <v>3</v>
      </c>
      <c r="F364">
        <v>2725.41</v>
      </c>
      <c r="G364" s="1">
        <v>45562</v>
      </c>
      <c r="H364" t="s">
        <v>64</v>
      </c>
      <c r="I364">
        <v>4.5999999999999996</v>
      </c>
      <c r="J364" t="s">
        <v>19</v>
      </c>
      <c r="K364">
        <v>2024</v>
      </c>
      <c r="L364">
        <v>545.08199999999999</v>
      </c>
      <c r="M364">
        <v>19</v>
      </c>
      <c r="N364" t="s">
        <v>27</v>
      </c>
      <c r="O364" t="s">
        <v>33</v>
      </c>
    </row>
    <row r="365" spans="1:15" x14ac:dyDescent="0.3">
      <c r="A365" t="s">
        <v>433</v>
      </c>
      <c r="B365" t="s">
        <v>50</v>
      </c>
      <c r="C365" t="s">
        <v>40</v>
      </c>
      <c r="D365">
        <v>14102.56</v>
      </c>
      <c r="E365">
        <v>4</v>
      </c>
      <c r="F365">
        <v>56410.239999999998</v>
      </c>
      <c r="G365" s="1">
        <v>45555</v>
      </c>
      <c r="H365" t="s">
        <v>64</v>
      </c>
      <c r="I365">
        <v>2.9</v>
      </c>
      <c r="J365" t="s">
        <v>19</v>
      </c>
      <c r="K365">
        <v>2024</v>
      </c>
      <c r="L365">
        <v>11282.048000000001</v>
      </c>
      <c r="M365">
        <v>5</v>
      </c>
      <c r="N365" t="s">
        <v>27</v>
      </c>
      <c r="O365" t="s">
        <v>68</v>
      </c>
    </row>
    <row r="366" spans="1:15" x14ac:dyDescent="0.3">
      <c r="A366" t="s">
        <v>434</v>
      </c>
      <c r="B366" t="s">
        <v>96</v>
      </c>
      <c r="C366" t="s">
        <v>36</v>
      </c>
      <c r="D366">
        <v>23287.93</v>
      </c>
      <c r="E366">
        <v>4</v>
      </c>
      <c r="F366">
        <v>93151.72</v>
      </c>
      <c r="G366" s="1">
        <v>45518</v>
      </c>
      <c r="H366" t="s">
        <v>18</v>
      </c>
      <c r="I366">
        <v>2</v>
      </c>
      <c r="J366" t="s">
        <v>88</v>
      </c>
      <c r="K366">
        <v>2024</v>
      </c>
      <c r="L366">
        <v>18630.344000000001</v>
      </c>
      <c r="M366">
        <v>9</v>
      </c>
      <c r="N366" t="s">
        <v>20</v>
      </c>
      <c r="O366" t="s">
        <v>28</v>
      </c>
    </row>
    <row r="367" spans="1:15" x14ac:dyDescent="0.3">
      <c r="A367" t="s">
        <v>435</v>
      </c>
      <c r="B367" t="s">
        <v>43</v>
      </c>
      <c r="C367" t="s">
        <v>40</v>
      </c>
      <c r="D367">
        <v>41333.21</v>
      </c>
      <c r="E367">
        <v>1</v>
      </c>
      <c r="F367">
        <v>41333.21</v>
      </c>
      <c r="G367" s="1">
        <v>45685</v>
      </c>
      <c r="H367" t="s">
        <v>80</v>
      </c>
      <c r="I367">
        <v>4</v>
      </c>
      <c r="J367" t="s">
        <v>53</v>
      </c>
      <c r="K367">
        <v>2025</v>
      </c>
      <c r="L367">
        <v>8266.6419999999998</v>
      </c>
      <c r="M367">
        <v>20</v>
      </c>
      <c r="N367" t="s">
        <v>20</v>
      </c>
      <c r="O367" t="s">
        <v>28</v>
      </c>
    </row>
    <row r="368" spans="1:15" x14ac:dyDescent="0.3">
      <c r="A368" t="s">
        <v>436</v>
      </c>
      <c r="B368" t="s">
        <v>16</v>
      </c>
      <c r="C368" t="s">
        <v>17</v>
      </c>
      <c r="D368">
        <v>35304.99</v>
      </c>
      <c r="E368">
        <v>1</v>
      </c>
      <c r="F368">
        <v>35304.99</v>
      </c>
      <c r="G368" s="1">
        <v>45510</v>
      </c>
      <c r="H368" t="s">
        <v>64</v>
      </c>
      <c r="I368">
        <v>2</v>
      </c>
      <c r="J368" t="s">
        <v>88</v>
      </c>
      <c r="K368">
        <v>2024</v>
      </c>
      <c r="L368">
        <v>7060.9979999999996</v>
      </c>
      <c r="M368">
        <v>23</v>
      </c>
      <c r="N368" t="s">
        <v>41</v>
      </c>
      <c r="O368" t="s">
        <v>28</v>
      </c>
    </row>
    <row r="369" spans="1:15" x14ac:dyDescent="0.3">
      <c r="A369" t="s">
        <v>437</v>
      </c>
      <c r="B369" t="s">
        <v>23</v>
      </c>
      <c r="C369" t="s">
        <v>24</v>
      </c>
      <c r="D369">
        <v>22335.58</v>
      </c>
      <c r="E369">
        <v>2</v>
      </c>
      <c r="F369">
        <v>44671.16</v>
      </c>
      <c r="G369" s="1">
        <v>45504</v>
      </c>
      <c r="H369" t="s">
        <v>44</v>
      </c>
      <c r="I369">
        <v>3.8</v>
      </c>
      <c r="J369" t="s">
        <v>48</v>
      </c>
      <c r="K369">
        <v>2024</v>
      </c>
      <c r="L369">
        <v>8934.2320000000018</v>
      </c>
      <c r="M369">
        <v>8</v>
      </c>
      <c r="N369" t="s">
        <v>41</v>
      </c>
      <c r="O369" t="s">
        <v>28</v>
      </c>
    </row>
    <row r="370" spans="1:15" x14ac:dyDescent="0.3">
      <c r="A370" t="s">
        <v>438</v>
      </c>
      <c r="B370" t="s">
        <v>39</v>
      </c>
      <c r="C370" t="s">
        <v>40</v>
      </c>
      <c r="D370">
        <v>40486.080000000002</v>
      </c>
      <c r="E370">
        <v>5</v>
      </c>
      <c r="F370">
        <v>202430.4</v>
      </c>
      <c r="G370" s="1">
        <v>45622</v>
      </c>
      <c r="H370" t="s">
        <v>44</v>
      </c>
      <c r="I370">
        <v>3.6</v>
      </c>
      <c r="J370" t="s">
        <v>37</v>
      </c>
      <c r="K370">
        <v>2024</v>
      </c>
      <c r="L370">
        <v>40486.080000000002</v>
      </c>
      <c r="M370">
        <v>7</v>
      </c>
      <c r="N370" t="s">
        <v>20</v>
      </c>
      <c r="O370" t="s">
        <v>21</v>
      </c>
    </row>
    <row r="371" spans="1:15" x14ac:dyDescent="0.3">
      <c r="A371" t="s">
        <v>439</v>
      </c>
      <c r="B371" t="s">
        <v>16</v>
      </c>
      <c r="C371" t="s">
        <v>17</v>
      </c>
      <c r="D371">
        <v>20353.400000000001</v>
      </c>
      <c r="E371">
        <v>1</v>
      </c>
      <c r="F371">
        <v>20353.400000000001</v>
      </c>
      <c r="G371" s="1">
        <v>45480</v>
      </c>
      <c r="H371" t="s">
        <v>25</v>
      </c>
      <c r="I371">
        <v>2.9</v>
      </c>
      <c r="J371" t="s">
        <v>48</v>
      </c>
      <c r="K371">
        <v>2024</v>
      </c>
      <c r="L371">
        <v>4070.6800000000003</v>
      </c>
      <c r="M371">
        <v>21</v>
      </c>
      <c r="N371" t="s">
        <v>20</v>
      </c>
      <c r="O371" t="s">
        <v>28</v>
      </c>
    </row>
    <row r="372" spans="1:15" x14ac:dyDescent="0.3">
      <c r="A372" t="s">
        <v>440</v>
      </c>
      <c r="B372" t="s">
        <v>96</v>
      </c>
      <c r="C372" t="s">
        <v>36</v>
      </c>
      <c r="D372">
        <v>2258.27</v>
      </c>
      <c r="E372">
        <v>3</v>
      </c>
      <c r="F372">
        <v>6774.81</v>
      </c>
      <c r="G372" s="1">
        <v>45589</v>
      </c>
      <c r="H372" t="s">
        <v>44</v>
      </c>
      <c r="I372">
        <v>4.8</v>
      </c>
      <c r="J372" t="s">
        <v>45</v>
      </c>
      <c r="K372">
        <v>2024</v>
      </c>
      <c r="L372">
        <v>1354.9620000000002</v>
      </c>
      <c r="M372">
        <v>21</v>
      </c>
      <c r="N372" t="s">
        <v>20</v>
      </c>
      <c r="O372" t="s">
        <v>28</v>
      </c>
    </row>
    <row r="373" spans="1:15" x14ac:dyDescent="0.3">
      <c r="A373" t="s">
        <v>441</v>
      </c>
      <c r="B373" t="s">
        <v>66</v>
      </c>
      <c r="C373" t="s">
        <v>36</v>
      </c>
      <c r="D373">
        <v>704.55</v>
      </c>
      <c r="E373">
        <v>5</v>
      </c>
      <c r="F373">
        <v>3522.75</v>
      </c>
      <c r="G373" s="1">
        <v>45440</v>
      </c>
      <c r="H373" t="s">
        <v>18</v>
      </c>
      <c r="I373">
        <v>4</v>
      </c>
      <c r="J373" t="s">
        <v>32</v>
      </c>
      <c r="K373">
        <v>2024</v>
      </c>
      <c r="L373">
        <v>704.55000000000007</v>
      </c>
      <c r="M373">
        <v>16</v>
      </c>
      <c r="N373" t="s">
        <v>27</v>
      </c>
      <c r="O373" t="s">
        <v>28</v>
      </c>
    </row>
    <row r="374" spans="1:15" x14ac:dyDescent="0.3">
      <c r="A374" t="s">
        <v>442</v>
      </c>
      <c r="B374" t="s">
        <v>50</v>
      </c>
      <c r="C374" t="s">
        <v>40</v>
      </c>
      <c r="D374">
        <v>38629</v>
      </c>
      <c r="E374">
        <v>1</v>
      </c>
      <c r="F374">
        <v>38629</v>
      </c>
      <c r="G374" s="1">
        <v>45488</v>
      </c>
      <c r="H374" t="s">
        <v>80</v>
      </c>
      <c r="I374">
        <v>4</v>
      </c>
      <c r="J374" t="s">
        <v>48</v>
      </c>
      <c r="K374">
        <v>2024</v>
      </c>
      <c r="L374">
        <v>7725.8</v>
      </c>
      <c r="M374">
        <v>18</v>
      </c>
      <c r="N374" t="s">
        <v>27</v>
      </c>
      <c r="O374" t="s">
        <v>28</v>
      </c>
    </row>
    <row r="375" spans="1:15" x14ac:dyDescent="0.3">
      <c r="A375" t="s">
        <v>443</v>
      </c>
      <c r="B375" t="s">
        <v>118</v>
      </c>
      <c r="C375" t="s">
        <v>17</v>
      </c>
      <c r="D375">
        <v>37303.26</v>
      </c>
      <c r="E375">
        <v>4</v>
      </c>
      <c r="F375">
        <v>149213.04</v>
      </c>
      <c r="G375" s="1">
        <v>45664</v>
      </c>
      <c r="H375" t="s">
        <v>64</v>
      </c>
      <c r="I375">
        <v>2.9</v>
      </c>
      <c r="J375" t="s">
        <v>53</v>
      </c>
      <c r="K375">
        <v>2025</v>
      </c>
      <c r="L375">
        <v>29842.608000000004</v>
      </c>
      <c r="M375">
        <v>25</v>
      </c>
      <c r="N375" t="s">
        <v>20</v>
      </c>
      <c r="O375" t="s">
        <v>68</v>
      </c>
    </row>
    <row r="376" spans="1:15" x14ac:dyDescent="0.3">
      <c r="A376" t="s">
        <v>444</v>
      </c>
      <c r="B376" t="s">
        <v>66</v>
      </c>
      <c r="C376" t="s">
        <v>36</v>
      </c>
      <c r="D376">
        <v>11507.22</v>
      </c>
      <c r="E376">
        <v>4</v>
      </c>
      <c r="F376">
        <v>46028.88</v>
      </c>
      <c r="G376" s="1">
        <v>45399</v>
      </c>
      <c r="H376" t="s">
        <v>18</v>
      </c>
      <c r="I376">
        <v>1.4</v>
      </c>
      <c r="J376" t="s">
        <v>62</v>
      </c>
      <c r="K376">
        <v>2024</v>
      </c>
      <c r="L376">
        <v>9205.7759999999998</v>
      </c>
      <c r="M376">
        <v>10</v>
      </c>
      <c r="N376" t="s">
        <v>27</v>
      </c>
      <c r="O376" t="s">
        <v>28</v>
      </c>
    </row>
    <row r="377" spans="1:15" x14ac:dyDescent="0.3">
      <c r="A377" t="s">
        <v>445</v>
      </c>
      <c r="B377" t="s">
        <v>50</v>
      </c>
      <c r="C377" t="s">
        <v>40</v>
      </c>
      <c r="D377">
        <v>48710.25</v>
      </c>
      <c r="E377">
        <v>1</v>
      </c>
      <c r="F377">
        <v>48710.25</v>
      </c>
      <c r="G377" s="1">
        <v>45571</v>
      </c>
      <c r="H377" t="s">
        <v>71</v>
      </c>
      <c r="I377">
        <v>1.7</v>
      </c>
      <c r="J377" t="s">
        <v>45</v>
      </c>
      <c r="K377">
        <v>2024</v>
      </c>
      <c r="L377">
        <v>9742.0500000000011</v>
      </c>
      <c r="M377">
        <v>7</v>
      </c>
      <c r="N377" t="s">
        <v>27</v>
      </c>
      <c r="O377" t="s">
        <v>68</v>
      </c>
    </row>
    <row r="378" spans="1:15" x14ac:dyDescent="0.3">
      <c r="A378" t="s">
        <v>446</v>
      </c>
      <c r="B378" t="s">
        <v>16</v>
      </c>
      <c r="C378" t="s">
        <v>17</v>
      </c>
      <c r="D378">
        <v>20075.810000000001</v>
      </c>
      <c r="E378">
        <v>1</v>
      </c>
      <c r="F378">
        <v>20075.810000000001</v>
      </c>
      <c r="G378" s="1">
        <v>45455</v>
      </c>
      <c r="H378" t="s">
        <v>18</v>
      </c>
      <c r="I378">
        <v>4.9000000000000004</v>
      </c>
      <c r="J378" t="s">
        <v>67</v>
      </c>
      <c r="K378">
        <v>2024</v>
      </c>
      <c r="L378">
        <v>4015.1620000000003</v>
      </c>
      <c r="M378">
        <v>13</v>
      </c>
      <c r="N378" t="s">
        <v>41</v>
      </c>
      <c r="O378" t="s">
        <v>21</v>
      </c>
    </row>
    <row r="379" spans="1:15" x14ac:dyDescent="0.3">
      <c r="A379" t="s">
        <v>447</v>
      </c>
      <c r="B379" t="s">
        <v>70</v>
      </c>
      <c r="C379" t="s">
        <v>17</v>
      </c>
      <c r="D379">
        <v>8448.77</v>
      </c>
      <c r="E379">
        <v>2</v>
      </c>
      <c r="F379">
        <v>16897.54</v>
      </c>
      <c r="G379" s="1">
        <v>45424</v>
      </c>
      <c r="H379" t="s">
        <v>25</v>
      </c>
      <c r="I379">
        <v>3.8</v>
      </c>
      <c r="J379" t="s">
        <v>32</v>
      </c>
      <c r="K379">
        <v>2024</v>
      </c>
      <c r="L379">
        <v>3379.5080000000003</v>
      </c>
      <c r="M379">
        <v>9</v>
      </c>
      <c r="N379" t="s">
        <v>20</v>
      </c>
      <c r="O379" t="s">
        <v>33</v>
      </c>
    </row>
    <row r="380" spans="1:15" x14ac:dyDescent="0.3">
      <c r="A380" t="s">
        <v>448</v>
      </c>
      <c r="B380" t="s">
        <v>47</v>
      </c>
      <c r="C380" t="s">
        <v>24</v>
      </c>
      <c r="D380">
        <v>29310.76</v>
      </c>
      <c r="E380">
        <v>4</v>
      </c>
      <c r="F380">
        <v>117243.04</v>
      </c>
      <c r="G380" s="1">
        <v>45476</v>
      </c>
      <c r="H380" t="s">
        <v>44</v>
      </c>
      <c r="I380">
        <v>4.4000000000000004</v>
      </c>
      <c r="J380" t="s">
        <v>48</v>
      </c>
      <c r="K380">
        <v>2024</v>
      </c>
      <c r="L380">
        <v>23448.608</v>
      </c>
      <c r="M380">
        <v>28</v>
      </c>
      <c r="N380" t="s">
        <v>20</v>
      </c>
      <c r="O380" t="s">
        <v>28</v>
      </c>
    </row>
    <row r="381" spans="1:15" x14ac:dyDescent="0.3">
      <c r="A381" t="s">
        <v>449</v>
      </c>
      <c r="B381" t="s">
        <v>16</v>
      </c>
      <c r="C381" t="s">
        <v>17</v>
      </c>
      <c r="D381">
        <v>708.78</v>
      </c>
      <c r="E381">
        <v>4</v>
      </c>
      <c r="F381">
        <v>2835.12</v>
      </c>
      <c r="G381" s="1">
        <v>45625</v>
      </c>
      <c r="H381" t="s">
        <v>64</v>
      </c>
      <c r="I381">
        <v>2</v>
      </c>
      <c r="J381" t="s">
        <v>37</v>
      </c>
      <c r="K381">
        <v>2024</v>
      </c>
      <c r="L381">
        <v>567.024</v>
      </c>
      <c r="M381">
        <v>21</v>
      </c>
      <c r="N381" t="s">
        <v>27</v>
      </c>
      <c r="O381" t="s">
        <v>33</v>
      </c>
    </row>
    <row r="382" spans="1:15" x14ac:dyDescent="0.3">
      <c r="A382" t="s">
        <v>450</v>
      </c>
      <c r="B382" t="s">
        <v>52</v>
      </c>
      <c r="C382" t="s">
        <v>24</v>
      </c>
      <c r="D382">
        <v>24062.33</v>
      </c>
      <c r="E382">
        <v>4</v>
      </c>
      <c r="F382">
        <v>96249.32</v>
      </c>
      <c r="G382" s="1">
        <v>45676</v>
      </c>
      <c r="H382" t="s">
        <v>18</v>
      </c>
      <c r="I382">
        <v>1.1000000000000001</v>
      </c>
      <c r="J382" t="s">
        <v>53</v>
      </c>
      <c r="K382">
        <v>2025</v>
      </c>
      <c r="L382">
        <v>19249.864000000001</v>
      </c>
      <c r="M382">
        <v>18</v>
      </c>
      <c r="N382" t="s">
        <v>20</v>
      </c>
      <c r="O382" t="s">
        <v>33</v>
      </c>
    </row>
    <row r="383" spans="1:15" x14ac:dyDescent="0.3">
      <c r="A383" t="s">
        <v>451</v>
      </c>
      <c r="B383" t="s">
        <v>47</v>
      </c>
      <c r="C383" t="s">
        <v>24</v>
      </c>
      <c r="D383">
        <v>27827.66</v>
      </c>
      <c r="E383">
        <v>1</v>
      </c>
      <c r="F383">
        <v>27827.66</v>
      </c>
      <c r="G383" s="1">
        <v>45461</v>
      </c>
      <c r="H383" t="s">
        <v>64</v>
      </c>
      <c r="I383">
        <v>4.5</v>
      </c>
      <c r="J383" t="s">
        <v>67</v>
      </c>
      <c r="K383">
        <v>2024</v>
      </c>
      <c r="L383">
        <v>5565.5320000000002</v>
      </c>
      <c r="M383">
        <v>25</v>
      </c>
      <c r="N383" t="s">
        <v>41</v>
      </c>
      <c r="O383" t="s">
        <v>21</v>
      </c>
    </row>
    <row r="384" spans="1:15" x14ac:dyDescent="0.3">
      <c r="A384" t="s">
        <v>452</v>
      </c>
      <c r="B384" t="s">
        <v>35</v>
      </c>
      <c r="C384" t="s">
        <v>36</v>
      </c>
      <c r="D384">
        <v>40862.870000000003</v>
      </c>
      <c r="E384">
        <v>2</v>
      </c>
      <c r="F384">
        <v>81725.740000000005</v>
      </c>
      <c r="G384" s="1">
        <v>45434</v>
      </c>
      <c r="H384" t="s">
        <v>18</v>
      </c>
      <c r="I384">
        <v>1.4</v>
      </c>
      <c r="J384" t="s">
        <v>32</v>
      </c>
      <c r="K384">
        <v>2024</v>
      </c>
      <c r="L384">
        <v>16345.148000000001</v>
      </c>
      <c r="M384">
        <v>7</v>
      </c>
      <c r="N384" t="s">
        <v>41</v>
      </c>
      <c r="O384" t="s">
        <v>33</v>
      </c>
    </row>
    <row r="385" spans="1:15" x14ac:dyDescent="0.3">
      <c r="A385" t="s">
        <v>453</v>
      </c>
      <c r="B385" t="s">
        <v>47</v>
      </c>
      <c r="C385" t="s">
        <v>24</v>
      </c>
      <c r="D385">
        <v>11399.26</v>
      </c>
      <c r="E385">
        <v>2</v>
      </c>
      <c r="F385">
        <v>22798.52</v>
      </c>
      <c r="G385" s="1">
        <v>45339</v>
      </c>
      <c r="H385" t="s">
        <v>80</v>
      </c>
      <c r="I385">
        <v>1</v>
      </c>
      <c r="J385" t="s">
        <v>59</v>
      </c>
      <c r="K385">
        <v>2024</v>
      </c>
      <c r="L385">
        <v>4559.7040000000006</v>
      </c>
      <c r="M385">
        <v>5</v>
      </c>
      <c r="N385" t="s">
        <v>41</v>
      </c>
      <c r="O385" t="s">
        <v>68</v>
      </c>
    </row>
    <row r="386" spans="1:15" x14ac:dyDescent="0.3">
      <c r="A386" t="s">
        <v>454</v>
      </c>
      <c r="B386" t="s">
        <v>94</v>
      </c>
      <c r="C386" t="s">
        <v>31</v>
      </c>
      <c r="D386">
        <v>5463.13</v>
      </c>
      <c r="E386">
        <v>1</v>
      </c>
      <c r="F386">
        <v>5463.13</v>
      </c>
      <c r="G386" s="1">
        <v>45473</v>
      </c>
      <c r="H386" t="s">
        <v>18</v>
      </c>
      <c r="I386">
        <v>3.9</v>
      </c>
      <c r="J386" t="s">
        <v>67</v>
      </c>
      <c r="K386">
        <v>2024</v>
      </c>
      <c r="L386">
        <v>1092.626</v>
      </c>
      <c r="M386">
        <v>24</v>
      </c>
      <c r="N386" t="s">
        <v>20</v>
      </c>
      <c r="O386" t="s">
        <v>33</v>
      </c>
    </row>
    <row r="387" spans="1:15" x14ac:dyDescent="0.3">
      <c r="A387" t="s">
        <v>455</v>
      </c>
      <c r="B387" t="s">
        <v>70</v>
      </c>
      <c r="C387" t="s">
        <v>17</v>
      </c>
      <c r="D387">
        <v>8644.99</v>
      </c>
      <c r="E387">
        <v>5</v>
      </c>
      <c r="F387">
        <v>43224.95</v>
      </c>
      <c r="G387" s="1">
        <v>45490</v>
      </c>
      <c r="H387" t="s">
        <v>18</v>
      </c>
      <c r="I387">
        <v>4.3</v>
      </c>
      <c r="J387" t="s">
        <v>48</v>
      </c>
      <c r="K387">
        <v>2024</v>
      </c>
      <c r="L387">
        <v>8644.99</v>
      </c>
      <c r="M387">
        <v>25</v>
      </c>
      <c r="N387" t="s">
        <v>20</v>
      </c>
      <c r="O387" t="s">
        <v>33</v>
      </c>
    </row>
    <row r="388" spans="1:15" x14ac:dyDescent="0.3">
      <c r="A388" t="s">
        <v>456</v>
      </c>
      <c r="B388" t="s">
        <v>107</v>
      </c>
      <c r="C388" t="s">
        <v>36</v>
      </c>
      <c r="D388">
        <v>27481.15</v>
      </c>
      <c r="E388">
        <v>2</v>
      </c>
      <c r="F388">
        <v>54962.3</v>
      </c>
      <c r="G388" s="1">
        <v>45592</v>
      </c>
      <c r="H388" t="s">
        <v>64</v>
      </c>
      <c r="I388">
        <v>3.2</v>
      </c>
      <c r="J388" t="s">
        <v>45</v>
      </c>
      <c r="K388">
        <v>2024</v>
      </c>
      <c r="L388">
        <v>10992.460000000001</v>
      </c>
      <c r="M388">
        <v>27</v>
      </c>
      <c r="N388" t="s">
        <v>20</v>
      </c>
      <c r="O388" t="s">
        <v>33</v>
      </c>
    </row>
    <row r="389" spans="1:15" x14ac:dyDescent="0.3">
      <c r="A389" t="s">
        <v>457</v>
      </c>
      <c r="B389" t="s">
        <v>125</v>
      </c>
      <c r="C389" t="s">
        <v>17</v>
      </c>
      <c r="D389">
        <v>47819.23</v>
      </c>
      <c r="E389">
        <v>4</v>
      </c>
      <c r="F389">
        <v>191276.92</v>
      </c>
      <c r="G389" s="1">
        <v>45446</v>
      </c>
      <c r="H389" t="s">
        <v>44</v>
      </c>
      <c r="I389">
        <v>1.1000000000000001</v>
      </c>
      <c r="J389" t="s">
        <v>67</v>
      </c>
      <c r="K389">
        <v>2024</v>
      </c>
      <c r="L389">
        <v>38255.384000000005</v>
      </c>
      <c r="M389">
        <v>5</v>
      </c>
      <c r="N389" t="s">
        <v>20</v>
      </c>
      <c r="O389" t="s">
        <v>28</v>
      </c>
    </row>
    <row r="390" spans="1:15" x14ac:dyDescent="0.3">
      <c r="A390" t="s">
        <v>458</v>
      </c>
      <c r="B390" t="s">
        <v>61</v>
      </c>
      <c r="C390" t="s">
        <v>31</v>
      </c>
      <c r="D390">
        <v>7145.81</v>
      </c>
      <c r="E390">
        <v>4</v>
      </c>
      <c r="F390">
        <v>28583.24</v>
      </c>
      <c r="G390" s="1">
        <v>45360</v>
      </c>
      <c r="H390" t="s">
        <v>44</v>
      </c>
      <c r="I390">
        <v>1.9</v>
      </c>
      <c r="J390" t="s">
        <v>56</v>
      </c>
      <c r="K390">
        <v>2024</v>
      </c>
      <c r="L390">
        <v>5716.648000000001</v>
      </c>
      <c r="M390">
        <v>7</v>
      </c>
      <c r="N390" t="s">
        <v>20</v>
      </c>
      <c r="O390" t="s">
        <v>28</v>
      </c>
    </row>
    <row r="391" spans="1:15" x14ac:dyDescent="0.3">
      <c r="A391" t="s">
        <v>459</v>
      </c>
      <c r="B391" t="s">
        <v>107</v>
      </c>
      <c r="C391" t="s">
        <v>36</v>
      </c>
      <c r="D391">
        <v>29847.4</v>
      </c>
      <c r="E391">
        <v>3</v>
      </c>
      <c r="F391">
        <v>89542.2</v>
      </c>
      <c r="G391" s="1">
        <v>45447</v>
      </c>
      <c r="H391" t="s">
        <v>18</v>
      </c>
      <c r="I391">
        <v>2.9</v>
      </c>
      <c r="J391" t="s">
        <v>67</v>
      </c>
      <c r="K391">
        <v>2024</v>
      </c>
      <c r="L391">
        <v>17908.439999999999</v>
      </c>
      <c r="M391">
        <v>22</v>
      </c>
      <c r="N391" t="s">
        <v>41</v>
      </c>
      <c r="O391" t="s">
        <v>68</v>
      </c>
    </row>
    <row r="392" spans="1:15" x14ac:dyDescent="0.3">
      <c r="A392" t="s">
        <v>460</v>
      </c>
      <c r="B392" t="s">
        <v>61</v>
      </c>
      <c r="C392" t="s">
        <v>31</v>
      </c>
      <c r="D392">
        <v>11186.35</v>
      </c>
      <c r="E392">
        <v>2</v>
      </c>
      <c r="F392">
        <v>22372.7</v>
      </c>
      <c r="G392" s="1">
        <v>45593</v>
      </c>
      <c r="H392" t="s">
        <v>64</v>
      </c>
      <c r="I392">
        <v>1.1000000000000001</v>
      </c>
      <c r="J392" t="s">
        <v>45</v>
      </c>
      <c r="K392">
        <v>2024</v>
      </c>
      <c r="L392">
        <v>4474.54</v>
      </c>
      <c r="M392">
        <v>29</v>
      </c>
      <c r="N392" t="s">
        <v>27</v>
      </c>
      <c r="O392" t="s">
        <v>68</v>
      </c>
    </row>
    <row r="393" spans="1:15" x14ac:dyDescent="0.3">
      <c r="A393" t="s">
        <v>461</v>
      </c>
      <c r="B393" t="s">
        <v>16</v>
      </c>
      <c r="C393" t="s">
        <v>17</v>
      </c>
      <c r="D393">
        <v>36535.74</v>
      </c>
      <c r="E393">
        <v>3</v>
      </c>
      <c r="F393">
        <v>109607.22</v>
      </c>
      <c r="G393" s="1">
        <v>45475</v>
      </c>
      <c r="H393" t="s">
        <v>25</v>
      </c>
      <c r="I393">
        <v>1.2</v>
      </c>
      <c r="J393" t="s">
        <v>48</v>
      </c>
      <c r="K393">
        <v>2024</v>
      </c>
      <c r="L393">
        <v>21921.444000000003</v>
      </c>
      <c r="M393">
        <v>14</v>
      </c>
      <c r="N393" t="s">
        <v>41</v>
      </c>
      <c r="O393" t="s">
        <v>28</v>
      </c>
    </row>
    <row r="394" spans="1:15" x14ac:dyDescent="0.3">
      <c r="A394" t="s">
        <v>462</v>
      </c>
      <c r="B394" t="s">
        <v>47</v>
      </c>
      <c r="C394" t="s">
        <v>24</v>
      </c>
      <c r="D394">
        <v>12046.9</v>
      </c>
      <c r="E394">
        <v>3</v>
      </c>
      <c r="F394">
        <v>36140.699999999997</v>
      </c>
      <c r="G394" s="1">
        <v>45662</v>
      </c>
      <c r="H394" t="s">
        <v>64</v>
      </c>
      <c r="I394">
        <v>3.2</v>
      </c>
      <c r="J394" t="s">
        <v>53</v>
      </c>
      <c r="K394">
        <v>2025</v>
      </c>
      <c r="L394">
        <v>7228.1399999999994</v>
      </c>
      <c r="M394">
        <v>26</v>
      </c>
      <c r="N394" t="s">
        <v>20</v>
      </c>
      <c r="O394" t="s">
        <v>68</v>
      </c>
    </row>
    <row r="395" spans="1:15" x14ac:dyDescent="0.3">
      <c r="A395" t="s">
        <v>463</v>
      </c>
      <c r="B395" t="s">
        <v>94</v>
      </c>
      <c r="C395" t="s">
        <v>31</v>
      </c>
      <c r="D395">
        <v>7043.51</v>
      </c>
      <c r="E395">
        <v>4</v>
      </c>
      <c r="F395">
        <v>28174.04</v>
      </c>
      <c r="G395" s="1">
        <v>45363</v>
      </c>
      <c r="H395" t="s">
        <v>25</v>
      </c>
      <c r="I395">
        <v>2.2999999999999998</v>
      </c>
      <c r="J395" t="s">
        <v>56</v>
      </c>
      <c r="K395">
        <v>2024</v>
      </c>
      <c r="L395">
        <v>5634.8080000000009</v>
      </c>
      <c r="M395">
        <v>30</v>
      </c>
      <c r="N395" t="s">
        <v>41</v>
      </c>
      <c r="O395" t="s">
        <v>28</v>
      </c>
    </row>
    <row r="396" spans="1:15" x14ac:dyDescent="0.3">
      <c r="A396" t="s">
        <v>464</v>
      </c>
      <c r="B396" t="s">
        <v>47</v>
      </c>
      <c r="C396" t="s">
        <v>24</v>
      </c>
      <c r="D396">
        <v>34369.57</v>
      </c>
      <c r="E396">
        <v>4</v>
      </c>
      <c r="F396">
        <v>137478.28</v>
      </c>
      <c r="G396" s="1">
        <v>45504</v>
      </c>
      <c r="H396" t="s">
        <v>80</v>
      </c>
      <c r="I396">
        <v>1.6</v>
      </c>
      <c r="J396" t="s">
        <v>48</v>
      </c>
      <c r="K396">
        <v>2024</v>
      </c>
      <c r="L396">
        <v>27495.656000000003</v>
      </c>
      <c r="M396">
        <v>7</v>
      </c>
      <c r="N396" t="s">
        <v>20</v>
      </c>
      <c r="O396" t="s">
        <v>21</v>
      </c>
    </row>
    <row r="397" spans="1:15" x14ac:dyDescent="0.3">
      <c r="A397" t="s">
        <v>465</v>
      </c>
      <c r="B397" t="s">
        <v>47</v>
      </c>
      <c r="C397" t="s">
        <v>24</v>
      </c>
      <c r="D397">
        <v>4827.49</v>
      </c>
      <c r="E397">
        <v>3</v>
      </c>
      <c r="F397">
        <v>14482.47</v>
      </c>
      <c r="G397" s="1">
        <v>45361</v>
      </c>
      <c r="H397" t="s">
        <v>18</v>
      </c>
      <c r="I397">
        <v>4.2</v>
      </c>
      <c r="J397" t="s">
        <v>56</v>
      </c>
      <c r="K397">
        <v>2024</v>
      </c>
      <c r="L397">
        <v>2896.4940000000001</v>
      </c>
      <c r="M397">
        <v>12</v>
      </c>
      <c r="N397" t="s">
        <v>20</v>
      </c>
      <c r="O397" t="s">
        <v>33</v>
      </c>
    </row>
    <row r="398" spans="1:15" x14ac:dyDescent="0.3">
      <c r="A398" t="s">
        <v>466</v>
      </c>
      <c r="B398" t="s">
        <v>61</v>
      </c>
      <c r="C398" t="s">
        <v>31</v>
      </c>
      <c r="D398">
        <v>14851.66</v>
      </c>
      <c r="E398">
        <v>2</v>
      </c>
      <c r="F398">
        <v>29703.32</v>
      </c>
      <c r="G398" s="1">
        <v>45665</v>
      </c>
      <c r="H398" t="s">
        <v>18</v>
      </c>
      <c r="I398">
        <v>1.9</v>
      </c>
      <c r="J398" t="s">
        <v>53</v>
      </c>
      <c r="K398">
        <v>2025</v>
      </c>
      <c r="L398">
        <v>5940.6640000000007</v>
      </c>
      <c r="M398">
        <v>18</v>
      </c>
      <c r="N398" t="s">
        <v>41</v>
      </c>
      <c r="O398" t="s">
        <v>33</v>
      </c>
    </row>
    <row r="399" spans="1:15" x14ac:dyDescent="0.3">
      <c r="A399" t="s">
        <v>467</v>
      </c>
      <c r="B399" t="s">
        <v>52</v>
      </c>
      <c r="C399" t="s">
        <v>24</v>
      </c>
      <c r="D399">
        <v>40248.269999999997</v>
      </c>
      <c r="E399">
        <v>3</v>
      </c>
      <c r="F399">
        <v>120744.81</v>
      </c>
      <c r="G399" s="1">
        <v>45401</v>
      </c>
      <c r="H399" t="s">
        <v>44</v>
      </c>
      <c r="I399">
        <v>3.9</v>
      </c>
      <c r="J399" t="s">
        <v>62</v>
      </c>
      <c r="K399">
        <v>2024</v>
      </c>
      <c r="L399">
        <v>24148.962</v>
      </c>
      <c r="M399">
        <v>28</v>
      </c>
      <c r="N399" t="s">
        <v>20</v>
      </c>
      <c r="O399" t="s">
        <v>68</v>
      </c>
    </row>
    <row r="400" spans="1:15" x14ac:dyDescent="0.3">
      <c r="A400" t="s">
        <v>468</v>
      </c>
      <c r="B400" t="s">
        <v>23</v>
      </c>
      <c r="C400" t="s">
        <v>24</v>
      </c>
      <c r="D400">
        <v>37135.360000000001</v>
      </c>
      <c r="E400">
        <v>2</v>
      </c>
      <c r="F400">
        <v>74270.720000000001</v>
      </c>
      <c r="G400" s="1">
        <v>45649</v>
      </c>
      <c r="H400" t="s">
        <v>80</v>
      </c>
      <c r="I400">
        <v>3</v>
      </c>
      <c r="J400" t="s">
        <v>26</v>
      </c>
      <c r="K400">
        <v>2024</v>
      </c>
      <c r="L400">
        <v>14854.144</v>
      </c>
      <c r="M400">
        <v>22</v>
      </c>
      <c r="N400" t="s">
        <v>27</v>
      </c>
      <c r="O400" t="s">
        <v>28</v>
      </c>
    </row>
    <row r="401" spans="1:15" x14ac:dyDescent="0.3">
      <c r="A401" t="s">
        <v>469</v>
      </c>
      <c r="B401" t="s">
        <v>100</v>
      </c>
      <c r="C401" t="s">
        <v>31</v>
      </c>
      <c r="D401">
        <v>25794.78</v>
      </c>
      <c r="E401">
        <v>5</v>
      </c>
      <c r="F401">
        <v>128973.9</v>
      </c>
      <c r="G401" s="1">
        <v>45517</v>
      </c>
      <c r="H401" t="s">
        <v>18</v>
      </c>
      <c r="I401">
        <v>1</v>
      </c>
      <c r="J401" t="s">
        <v>88</v>
      </c>
      <c r="K401">
        <v>2024</v>
      </c>
      <c r="L401">
        <v>25794.78</v>
      </c>
      <c r="M401">
        <v>19</v>
      </c>
      <c r="N401" t="s">
        <v>20</v>
      </c>
      <c r="O401" t="s">
        <v>28</v>
      </c>
    </row>
    <row r="402" spans="1:15" x14ac:dyDescent="0.3">
      <c r="A402" t="s">
        <v>470</v>
      </c>
      <c r="B402" t="s">
        <v>100</v>
      </c>
      <c r="C402" t="s">
        <v>31</v>
      </c>
      <c r="D402">
        <v>47564.29</v>
      </c>
      <c r="E402">
        <v>3</v>
      </c>
      <c r="F402">
        <v>142692.87</v>
      </c>
      <c r="G402" s="1">
        <v>45435</v>
      </c>
      <c r="H402" t="s">
        <v>80</v>
      </c>
      <c r="I402">
        <v>3.5</v>
      </c>
      <c r="J402" t="s">
        <v>32</v>
      </c>
      <c r="K402">
        <v>2024</v>
      </c>
      <c r="L402">
        <v>28538.574000000001</v>
      </c>
      <c r="M402">
        <v>26</v>
      </c>
      <c r="N402" t="s">
        <v>27</v>
      </c>
      <c r="O402" t="s">
        <v>68</v>
      </c>
    </row>
    <row r="403" spans="1:15" x14ac:dyDescent="0.3">
      <c r="A403" t="s">
        <v>471</v>
      </c>
      <c r="B403" t="s">
        <v>43</v>
      </c>
      <c r="C403" t="s">
        <v>40</v>
      </c>
      <c r="D403">
        <v>5500.92</v>
      </c>
      <c r="E403">
        <v>3</v>
      </c>
      <c r="F403">
        <v>16502.759999999998</v>
      </c>
      <c r="G403" s="1">
        <v>45500</v>
      </c>
      <c r="H403" t="s">
        <v>18</v>
      </c>
      <c r="I403">
        <v>2.2999999999999998</v>
      </c>
      <c r="J403" t="s">
        <v>48</v>
      </c>
      <c r="K403">
        <v>2024</v>
      </c>
      <c r="L403">
        <v>3300.5519999999997</v>
      </c>
      <c r="M403">
        <v>27</v>
      </c>
      <c r="N403" t="s">
        <v>27</v>
      </c>
      <c r="O403" t="s">
        <v>28</v>
      </c>
    </row>
    <row r="404" spans="1:15" x14ac:dyDescent="0.3">
      <c r="A404" t="s">
        <v>472</v>
      </c>
      <c r="B404" t="s">
        <v>70</v>
      </c>
      <c r="C404" t="s">
        <v>17</v>
      </c>
      <c r="D404">
        <v>904.29</v>
      </c>
      <c r="E404">
        <v>2</v>
      </c>
      <c r="F404">
        <v>1808.58</v>
      </c>
      <c r="G404" s="1">
        <v>45413</v>
      </c>
      <c r="H404" t="s">
        <v>18</v>
      </c>
      <c r="I404">
        <v>3.5</v>
      </c>
      <c r="J404" t="s">
        <v>32</v>
      </c>
      <c r="K404">
        <v>2024</v>
      </c>
      <c r="L404">
        <v>361.71600000000001</v>
      </c>
      <c r="M404">
        <v>6</v>
      </c>
      <c r="N404" t="s">
        <v>20</v>
      </c>
      <c r="O404" t="s">
        <v>21</v>
      </c>
    </row>
    <row r="405" spans="1:15" x14ac:dyDescent="0.3">
      <c r="A405" t="s">
        <v>473</v>
      </c>
      <c r="B405" t="s">
        <v>35</v>
      </c>
      <c r="C405" t="s">
        <v>36</v>
      </c>
      <c r="D405">
        <v>25035.46</v>
      </c>
      <c r="E405">
        <v>2</v>
      </c>
      <c r="F405">
        <v>50070.92</v>
      </c>
      <c r="G405" s="1">
        <v>45397</v>
      </c>
      <c r="H405" t="s">
        <v>18</v>
      </c>
      <c r="I405">
        <v>4.5</v>
      </c>
      <c r="J405" t="s">
        <v>62</v>
      </c>
      <c r="K405">
        <v>2024</v>
      </c>
      <c r="L405">
        <v>10014.184000000001</v>
      </c>
      <c r="M405">
        <v>14</v>
      </c>
      <c r="N405" t="s">
        <v>41</v>
      </c>
      <c r="O405" t="s">
        <v>33</v>
      </c>
    </row>
    <row r="406" spans="1:15" x14ac:dyDescent="0.3">
      <c r="A406" t="s">
        <v>474</v>
      </c>
      <c r="B406" t="s">
        <v>47</v>
      </c>
      <c r="C406" t="s">
        <v>24</v>
      </c>
      <c r="D406">
        <v>30156.36</v>
      </c>
      <c r="E406">
        <v>5</v>
      </c>
      <c r="F406">
        <v>150781.79999999999</v>
      </c>
      <c r="G406" s="1">
        <v>45663</v>
      </c>
      <c r="H406" t="s">
        <v>25</v>
      </c>
      <c r="I406">
        <v>4.4000000000000004</v>
      </c>
      <c r="J406" t="s">
        <v>53</v>
      </c>
      <c r="K406">
        <v>2025</v>
      </c>
      <c r="L406">
        <v>30156.36</v>
      </c>
      <c r="M406">
        <v>6</v>
      </c>
      <c r="N406" t="s">
        <v>27</v>
      </c>
      <c r="O406" t="s">
        <v>68</v>
      </c>
    </row>
    <row r="407" spans="1:15" x14ac:dyDescent="0.3">
      <c r="A407" t="s">
        <v>475</v>
      </c>
      <c r="B407" t="s">
        <v>52</v>
      </c>
      <c r="C407" t="s">
        <v>24</v>
      </c>
      <c r="D407">
        <v>42189.9</v>
      </c>
      <c r="E407">
        <v>1</v>
      </c>
      <c r="F407">
        <v>42189.9</v>
      </c>
      <c r="G407" s="1">
        <v>45669</v>
      </c>
      <c r="H407" t="s">
        <v>71</v>
      </c>
      <c r="I407">
        <v>3.4</v>
      </c>
      <c r="J407" t="s">
        <v>53</v>
      </c>
      <c r="K407">
        <v>2025</v>
      </c>
      <c r="L407">
        <v>8437.9800000000014</v>
      </c>
      <c r="M407">
        <v>30</v>
      </c>
      <c r="N407" t="s">
        <v>41</v>
      </c>
      <c r="O407" t="s">
        <v>68</v>
      </c>
    </row>
    <row r="408" spans="1:15" x14ac:dyDescent="0.3">
      <c r="A408" t="s">
        <v>476</v>
      </c>
      <c r="B408" t="s">
        <v>23</v>
      </c>
      <c r="C408" t="s">
        <v>24</v>
      </c>
      <c r="D408">
        <v>41122.81</v>
      </c>
      <c r="E408">
        <v>2</v>
      </c>
      <c r="F408">
        <v>82245.62</v>
      </c>
      <c r="G408" s="1">
        <v>45636</v>
      </c>
      <c r="H408" t="s">
        <v>80</v>
      </c>
      <c r="I408">
        <v>4.8</v>
      </c>
      <c r="J408" t="s">
        <v>26</v>
      </c>
      <c r="K408">
        <v>2024</v>
      </c>
      <c r="L408">
        <v>16449.124</v>
      </c>
      <c r="M408">
        <v>21</v>
      </c>
      <c r="N408" t="s">
        <v>27</v>
      </c>
      <c r="O408" t="s">
        <v>28</v>
      </c>
    </row>
    <row r="409" spans="1:15" x14ac:dyDescent="0.3">
      <c r="A409" t="s">
        <v>477</v>
      </c>
      <c r="B409" t="s">
        <v>78</v>
      </c>
      <c r="C409" t="s">
        <v>24</v>
      </c>
      <c r="D409">
        <v>21705.78</v>
      </c>
      <c r="E409">
        <v>1</v>
      </c>
      <c r="F409">
        <v>21705.78</v>
      </c>
      <c r="G409" s="1">
        <v>45570</v>
      </c>
      <c r="H409" t="s">
        <v>64</v>
      </c>
      <c r="I409">
        <v>1.1000000000000001</v>
      </c>
      <c r="J409" t="s">
        <v>45</v>
      </c>
      <c r="K409">
        <v>2024</v>
      </c>
      <c r="L409">
        <v>4341.1559999999999</v>
      </c>
      <c r="M409">
        <v>12</v>
      </c>
      <c r="N409" t="s">
        <v>20</v>
      </c>
      <c r="O409" t="s">
        <v>68</v>
      </c>
    </row>
    <row r="410" spans="1:15" x14ac:dyDescent="0.3">
      <c r="A410" t="s">
        <v>478</v>
      </c>
      <c r="B410" t="s">
        <v>107</v>
      </c>
      <c r="C410" t="s">
        <v>36</v>
      </c>
      <c r="D410">
        <v>28391.65</v>
      </c>
      <c r="E410">
        <v>3</v>
      </c>
      <c r="F410">
        <v>85174.95</v>
      </c>
      <c r="G410" s="1">
        <v>45637</v>
      </c>
      <c r="H410" t="s">
        <v>18</v>
      </c>
      <c r="I410">
        <v>2.5</v>
      </c>
      <c r="J410" t="s">
        <v>26</v>
      </c>
      <c r="K410">
        <v>2024</v>
      </c>
      <c r="L410">
        <v>17034.990000000002</v>
      </c>
      <c r="M410">
        <v>5</v>
      </c>
      <c r="N410" t="s">
        <v>20</v>
      </c>
      <c r="O410" t="s">
        <v>21</v>
      </c>
    </row>
    <row r="411" spans="1:15" x14ac:dyDescent="0.3">
      <c r="A411" t="s">
        <v>479</v>
      </c>
      <c r="B411" t="s">
        <v>43</v>
      </c>
      <c r="C411" t="s">
        <v>40</v>
      </c>
      <c r="D411">
        <v>40031.86</v>
      </c>
      <c r="E411">
        <v>2</v>
      </c>
      <c r="F411">
        <v>80063.72</v>
      </c>
      <c r="G411" s="1">
        <v>45642</v>
      </c>
      <c r="H411" t="s">
        <v>64</v>
      </c>
      <c r="I411">
        <v>1.9</v>
      </c>
      <c r="J411" t="s">
        <v>26</v>
      </c>
      <c r="K411">
        <v>2024</v>
      </c>
      <c r="L411">
        <v>16012.744000000001</v>
      </c>
      <c r="M411">
        <v>13</v>
      </c>
      <c r="N411" t="s">
        <v>27</v>
      </c>
      <c r="O411" t="s">
        <v>28</v>
      </c>
    </row>
    <row r="412" spans="1:15" x14ac:dyDescent="0.3">
      <c r="A412" t="s">
        <v>480</v>
      </c>
      <c r="B412" t="s">
        <v>43</v>
      </c>
      <c r="C412" t="s">
        <v>40</v>
      </c>
      <c r="D412">
        <v>41248.019999999997</v>
      </c>
      <c r="E412">
        <v>4</v>
      </c>
      <c r="F412">
        <v>164992.07999999999</v>
      </c>
      <c r="G412" s="1">
        <v>45669</v>
      </c>
      <c r="H412" t="s">
        <v>71</v>
      </c>
      <c r="I412">
        <v>2.6</v>
      </c>
      <c r="J412" t="s">
        <v>53</v>
      </c>
      <c r="K412">
        <v>2025</v>
      </c>
      <c r="L412">
        <v>32998.415999999997</v>
      </c>
      <c r="M412">
        <v>15</v>
      </c>
      <c r="N412" t="s">
        <v>20</v>
      </c>
      <c r="O412" t="s">
        <v>28</v>
      </c>
    </row>
    <row r="413" spans="1:15" x14ac:dyDescent="0.3">
      <c r="A413" t="s">
        <v>481</v>
      </c>
      <c r="B413" t="s">
        <v>100</v>
      </c>
      <c r="C413" t="s">
        <v>31</v>
      </c>
      <c r="D413">
        <v>35325.379999999997</v>
      </c>
      <c r="E413">
        <v>2</v>
      </c>
      <c r="F413">
        <v>70650.759999999995</v>
      </c>
      <c r="G413" s="1">
        <v>45430</v>
      </c>
      <c r="H413" t="s">
        <v>25</v>
      </c>
      <c r="I413">
        <v>4.0999999999999996</v>
      </c>
      <c r="J413" t="s">
        <v>32</v>
      </c>
      <c r="K413">
        <v>2024</v>
      </c>
      <c r="L413">
        <v>14130.152</v>
      </c>
      <c r="M413">
        <v>26</v>
      </c>
      <c r="N413" t="s">
        <v>27</v>
      </c>
      <c r="O413" t="s">
        <v>28</v>
      </c>
    </row>
    <row r="414" spans="1:15" x14ac:dyDescent="0.3">
      <c r="A414" t="s">
        <v>482</v>
      </c>
      <c r="B414" t="s">
        <v>43</v>
      </c>
      <c r="C414" t="s">
        <v>40</v>
      </c>
      <c r="D414">
        <v>45866.22</v>
      </c>
      <c r="E414">
        <v>1</v>
      </c>
      <c r="F414">
        <v>45866.22</v>
      </c>
      <c r="G414" s="1">
        <v>45635</v>
      </c>
      <c r="H414" t="s">
        <v>64</v>
      </c>
      <c r="I414">
        <v>3.9</v>
      </c>
      <c r="J414" t="s">
        <v>26</v>
      </c>
      <c r="K414">
        <v>2024</v>
      </c>
      <c r="L414">
        <v>9173.2440000000006</v>
      </c>
      <c r="M414">
        <v>20</v>
      </c>
      <c r="N414" t="s">
        <v>20</v>
      </c>
      <c r="O414" t="s">
        <v>28</v>
      </c>
    </row>
    <row r="415" spans="1:15" x14ac:dyDescent="0.3">
      <c r="A415" t="s">
        <v>483</v>
      </c>
      <c r="B415" t="s">
        <v>176</v>
      </c>
      <c r="C415" t="s">
        <v>24</v>
      </c>
      <c r="D415">
        <v>42975.360000000001</v>
      </c>
      <c r="E415">
        <v>4</v>
      </c>
      <c r="F415">
        <v>171901.44</v>
      </c>
      <c r="G415" s="1">
        <v>45522</v>
      </c>
      <c r="H415" t="s">
        <v>64</v>
      </c>
      <c r="I415">
        <v>3.3</v>
      </c>
      <c r="J415" t="s">
        <v>88</v>
      </c>
      <c r="K415">
        <v>2024</v>
      </c>
      <c r="L415">
        <v>34380.288</v>
      </c>
      <c r="M415">
        <v>11</v>
      </c>
      <c r="N415" t="s">
        <v>41</v>
      </c>
      <c r="O415" t="s">
        <v>21</v>
      </c>
    </row>
    <row r="416" spans="1:15" x14ac:dyDescent="0.3">
      <c r="A416" t="s">
        <v>484</v>
      </c>
      <c r="B416" t="s">
        <v>55</v>
      </c>
      <c r="C416" t="s">
        <v>36</v>
      </c>
      <c r="D416">
        <v>7532.86</v>
      </c>
      <c r="E416">
        <v>5</v>
      </c>
      <c r="F416">
        <v>37664.300000000003</v>
      </c>
      <c r="G416" s="1">
        <v>45695</v>
      </c>
      <c r="H416" t="s">
        <v>25</v>
      </c>
      <c r="I416">
        <v>1.5</v>
      </c>
      <c r="J416" t="s">
        <v>59</v>
      </c>
      <c r="K416">
        <v>2025</v>
      </c>
      <c r="L416">
        <v>7532.8600000000006</v>
      </c>
      <c r="M416">
        <v>14</v>
      </c>
      <c r="N416" t="s">
        <v>20</v>
      </c>
      <c r="O416" t="s">
        <v>28</v>
      </c>
    </row>
    <row r="417" spans="1:15" x14ac:dyDescent="0.3">
      <c r="A417" t="s">
        <v>485</v>
      </c>
      <c r="B417" t="s">
        <v>30</v>
      </c>
      <c r="C417" t="s">
        <v>31</v>
      </c>
      <c r="D417">
        <v>39931.75</v>
      </c>
      <c r="E417">
        <v>4</v>
      </c>
      <c r="F417">
        <v>159727</v>
      </c>
      <c r="G417" s="1">
        <v>45401</v>
      </c>
      <c r="H417" t="s">
        <v>71</v>
      </c>
      <c r="I417">
        <v>2.4</v>
      </c>
      <c r="J417" t="s">
        <v>62</v>
      </c>
      <c r="K417">
        <v>2024</v>
      </c>
      <c r="L417">
        <v>31945.4</v>
      </c>
      <c r="M417">
        <v>27</v>
      </c>
      <c r="N417" t="s">
        <v>41</v>
      </c>
      <c r="O417" t="s">
        <v>68</v>
      </c>
    </row>
    <row r="418" spans="1:15" x14ac:dyDescent="0.3">
      <c r="A418" t="s">
        <v>486</v>
      </c>
      <c r="B418" t="s">
        <v>107</v>
      </c>
      <c r="C418" t="s">
        <v>36</v>
      </c>
      <c r="D418">
        <v>20760.439999999999</v>
      </c>
      <c r="E418">
        <v>4</v>
      </c>
      <c r="F418">
        <v>83041.759999999995</v>
      </c>
      <c r="G418" s="1">
        <v>45361</v>
      </c>
      <c r="H418" t="s">
        <v>64</v>
      </c>
      <c r="I418">
        <v>2.4</v>
      </c>
      <c r="J418" t="s">
        <v>56</v>
      </c>
      <c r="K418">
        <v>2024</v>
      </c>
      <c r="L418">
        <v>16608.351999999999</v>
      </c>
      <c r="M418">
        <v>30</v>
      </c>
      <c r="N418" t="s">
        <v>20</v>
      </c>
      <c r="O418" t="s">
        <v>21</v>
      </c>
    </row>
    <row r="419" spans="1:15" x14ac:dyDescent="0.3">
      <c r="A419" t="s">
        <v>487</v>
      </c>
      <c r="B419" t="s">
        <v>78</v>
      </c>
      <c r="C419" t="s">
        <v>24</v>
      </c>
      <c r="D419">
        <v>29466.3</v>
      </c>
      <c r="E419">
        <v>5</v>
      </c>
      <c r="F419">
        <v>147331.5</v>
      </c>
      <c r="G419" s="1">
        <v>45496</v>
      </c>
      <c r="H419" t="s">
        <v>80</v>
      </c>
      <c r="I419">
        <v>1.3</v>
      </c>
      <c r="J419" t="s">
        <v>48</v>
      </c>
      <c r="K419">
        <v>2024</v>
      </c>
      <c r="L419">
        <v>29466.300000000003</v>
      </c>
      <c r="M419">
        <v>7</v>
      </c>
      <c r="N419" t="s">
        <v>41</v>
      </c>
      <c r="O419" t="s">
        <v>33</v>
      </c>
    </row>
    <row r="420" spans="1:15" x14ac:dyDescent="0.3">
      <c r="A420" t="s">
        <v>488</v>
      </c>
      <c r="B420" t="s">
        <v>30</v>
      </c>
      <c r="C420" t="s">
        <v>31</v>
      </c>
      <c r="D420">
        <v>756.85</v>
      </c>
      <c r="E420">
        <v>3</v>
      </c>
      <c r="F420">
        <v>2270.5500000000002</v>
      </c>
      <c r="G420" s="1">
        <v>45600</v>
      </c>
      <c r="H420" t="s">
        <v>25</v>
      </c>
      <c r="I420">
        <v>4.8</v>
      </c>
      <c r="J420" t="s">
        <v>37</v>
      </c>
      <c r="K420">
        <v>2024</v>
      </c>
      <c r="L420">
        <v>454.11000000000007</v>
      </c>
      <c r="M420">
        <v>22</v>
      </c>
      <c r="N420" t="s">
        <v>20</v>
      </c>
      <c r="O420" t="s">
        <v>33</v>
      </c>
    </row>
    <row r="421" spans="1:15" x14ac:dyDescent="0.3">
      <c r="A421" t="s">
        <v>489</v>
      </c>
      <c r="B421" t="s">
        <v>35</v>
      </c>
      <c r="C421" t="s">
        <v>36</v>
      </c>
      <c r="D421">
        <v>43711.45</v>
      </c>
      <c r="E421">
        <v>4</v>
      </c>
      <c r="F421">
        <v>174845.8</v>
      </c>
      <c r="G421" s="1">
        <v>45470</v>
      </c>
      <c r="H421" t="s">
        <v>44</v>
      </c>
      <c r="I421">
        <v>4.5</v>
      </c>
      <c r="J421" t="s">
        <v>67</v>
      </c>
      <c r="K421">
        <v>2024</v>
      </c>
      <c r="L421">
        <v>34969.159999999996</v>
      </c>
      <c r="M421">
        <v>29</v>
      </c>
      <c r="N421" t="s">
        <v>41</v>
      </c>
      <c r="O421" t="s">
        <v>68</v>
      </c>
    </row>
    <row r="422" spans="1:15" x14ac:dyDescent="0.3">
      <c r="A422" t="s">
        <v>490</v>
      </c>
      <c r="B422" t="s">
        <v>70</v>
      </c>
      <c r="C422" t="s">
        <v>17</v>
      </c>
      <c r="D422">
        <v>1134.78</v>
      </c>
      <c r="E422">
        <v>2</v>
      </c>
      <c r="F422">
        <v>2269.56</v>
      </c>
      <c r="G422" s="1">
        <v>45452</v>
      </c>
      <c r="H422" t="s">
        <v>18</v>
      </c>
      <c r="I422">
        <v>3.9</v>
      </c>
      <c r="J422" t="s">
        <v>67</v>
      </c>
      <c r="K422">
        <v>2024</v>
      </c>
      <c r="L422">
        <v>453.91200000000003</v>
      </c>
      <c r="M422">
        <v>28</v>
      </c>
      <c r="N422" t="s">
        <v>27</v>
      </c>
      <c r="O422" t="s">
        <v>68</v>
      </c>
    </row>
    <row r="423" spans="1:15" x14ac:dyDescent="0.3">
      <c r="A423" t="s">
        <v>491</v>
      </c>
      <c r="B423" t="s">
        <v>145</v>
      </c>
      <c r="C423" t="s">
        <v>40</v>
      </c>
      <c r="D423">
        <v>6859</v>
      </c>
      <c r="E423">
        <v>3</v>
      </c>
      <c r="F423">
        <v>20577</v>
      </c>
      <c r="G423" s="1">
        <v>45570</v>
      </c>
      <c r="H423" t="s">
        <v>80</v>
      </c>
      <c r="I423">
        <v>1.6</v>
      </c>
      <c r="J423" t="s">
        <v>45</v>
      </c>
      <c r="K423">
        <v>2024</v>
      </c>
      <c r="L423">
        <v>4115.4000000000015</v>
      </c>
      <c r="M423">
        <v>17</v>
      </c>
      <c r="N423" t="s">
        <v>27</v>
      </c>
      <c r="O423" t="s">
        <v>21</v>
      </c>
    </row>
    <row r="424" spans="1:15" x14ac:dyDescent="0.3">
      <c r="A424" t="s">
        <v>492</v>
      </c>
      <c r="B424" t="s">
        <v>125</v>
      </c>
      <c r="C424" t="s">
        <v>17</v>
      </c>
      <c r="D424">
        <v>28818.74</v>
      </c>
      <c r="E424">
        <v>3</v>
      </c>
      <c r="F424">
        <v>86456.22</v>
      </c>
      <c r="G424" s="1">
        <v>45470</v>
      </c>
      <c r="H424" t="s">
        <v>18</v>
      </c>
      <c r="I424">
        <v>1.4</v>
      </c>
      <c r="J424" t="s">
        <v>67</v>
      </c>
      <c r="K424">
        <v>2024</v>
      </c>
      <c r="L424">
        <v>17291.244000000002</v>
      </c>
      <c r="M424">
        <v>30</v>
      </c>
      <c r="N424" t="s">
        <v>41</v>
      </c>
      <c r="O424" t="s">
        <v>33</v>
      </c>
    </row>
    <row r="425" spans="1:15" x14ac:dyDescent="0.3">
      <c r="A425" t="s">
        <v>493</v>
      </c>
      <c r="B425" t="s">
        <v>96</v>
      </c>
      <c r="C425" t="s">
        <v>36</v>
      </c>
      <c r="D425">
        <v>25233.95</v>
      </c>
      <c r="E425">
        <v>4</v>
      </c>
      <c r="F425">
        <v>100935.8</v>
      </c>
      <c r="G425" s="1">
        <v>45590</v>
      </c>
      <c r="H425" t="s">
        <v>64</v>
      </c>
      <c r="I425">
        <v>4.0999999999999996</v>
      </c>
      <c r="J425" t="s">
        <v>45</v>
      </c>
      <c r="K425">
        <v>2024</v>
      </c>
      <c r="L425">
        <v>20187.160000000003</v>
      </c>
      <c r="M425">
        <v>11</v>
      </c>
      <c r="N425" t="s">
        <v>20</v>
      </c>
      <c r="O425" t="s">
        <v>33</v>
      </c>
    </row>
    <row r="426" spans="1:15" x14ac:dyDescent="0.3">
      <c r="A426" t="s">
        <v>494</v>
      </c>
      <c r="B426" t="s">
        <v>16</v>
      </c>
      <c r="C426" t="s">
        <v>17</v>
      </c>
      <c r="D426">
        <v>28577.34</v>
      </c>
      <c r="E426">
        <v>1</v>
      </c>
      <c r="F426">
        <v>28577.34</v>
      </c>
      <c r="G426" s="1">
        <v>45524</v>
      </c>
      <c r="H426" t="s">
        <v>25</v>
      </c>
      <c r="I426">
        <v>2.7</v>
      </c>
      <c r="J426" t="s">
        <v>88</v>
      </c>
      <c r="K426">
        <v>2024</v>
      </c>
      <c r="L426">
        <v>5715.4680000000008</v>
      </c>
      <c r="M426">
        <v>29</v>
      </c>
      <c r="N426" t="s">
        <v>41</v>
      </c>
      <c r="O426" t="s">
        <v>33</v>
      </c>
    </row>
    <row r="427" spans="1:15" x14ac:dyDescent="0.3">
      <c r="A427" t="s">
        <v>495</v>
      </c>
      <c r="B427" t="s">
        <v>84</v>
      </c>
      <c r="C427" t="s">
        <v>40</v>
      </c>
      <c r="D427">
        <v>7322.87</v>
      </c>
      <c r="E427">
        <v>3</v>
      </c>
      <c r="F427">
        <v>21968.61</v>
      </c>
      <c r="G427" s="1">
        <v>45344</v>
      </c>
      <c r="H427" t="s">
        <v>64</v>
      </c>
      <c r="I427">
        <v>5</v>
      </c>
      <c r="J427" t="s">
        <v>59</v>
      </c>
      <c r="K427">
        <v>2024</v>
      </c>
      <c r="L427">
        <v>4393.7220000000007</v>
      </c>
      <c r="M427">
        <v>8</v>
      </c>
      <c r="N427" t="s">
        <v>20</v>
      </c>
      <c r="O427" t="s">
        <v>33</v>
      </c>
    </row>
    <row r="428" spans="1:15" x14ac:dyDescent="0.3">
      <c r="A428" t="s">
        <v>496</v>
      </c>
      <c r="B428" t="s">
        <v>118</v>
      </c>
      <c r="C428" t="s">
        <v>17</v>
      </c>
      <c r="D428">
        <v>25144.48</v>
      </c>
      <c r="E428">
        <v>4</v>
      </c>
      <c r="F428">
        <v>100577.92</v>
      </c>
      <c r="G428" s="1">
        <v>45417</v>
      </c>
      <c r="H428" t="s">
        <v>80</v>
      </c>
      <c r="I428">
        <v>1.3</v>
      </c>
      <c r="J428" t="s">
        <v>32</v>
      </c>
      <c r="K428">
        <v>2024</v>
      </c>
      <c r="L428">
        <v>20115.584000000003</v>
      </c>
      <c r="M428">
        <v>17</v>
      </c>
      <c r="N428" t="s">
        <v>27</v>
      </c>
      <c r="O428" t="s">
        <v>33</v>
      </c>
    </row>
    <row r="429" spans="1:15" x14ac:dyDescent="0.3">
      <c r="A429" t="s">
        <v>497</v>
      </c>
      <c r="B429" t="s">
        <v>43</v>
      </c>
      <c r="C429" t="s">
        <v>40</v>
      </c>
      <c r="D429">
        <v>16289.17</v>
      </c>
      <c r="E429">
        <v>5</v>
      </c>
      <c r="F429">
        <v>81445.850000000006</v>
      </c>
      <c r="G429" s="1">
        <v>45610</v>
      </c>
      <c r="H429" t="s">
        <v>80</v>
      </c>
      <c r="I429">
        <v>2.6</v>
      </c>
      <c r="J429" t="s">
        <v>37</v>
      </c>
      <c r="K429">
        <v>2024</v>
      </c>
      <c r="L429">
        <v>16289.170000000002</v>
      </c>
      <c r="M429">
        <v>24</v>
      </c>
      <c r="N429" t="s">
        <v>20</v>
      </c>
      <c r="O429" t="s">
        <v>28</v>
      </c>
    </row>
    <row r="430" spans="1:15" x14ac:dyDescent="0.3">
      <c r="A430" t="s">
        <v>498</v>
      </c>
      <c r="B430" t="s">
        <v>70</v>
      </c>
      <c r="C430" t="s">
        <v>17</v>
      </c>
      <c r="D430">
        <v>24973.13</v>
      </c>
      <c r="E430">
        <v>3</v>
      </c>
      <c r="F430">
        <v>74919.39</v>
      </c>
      <c r="G430" s="1">
        <v>45634</v>
      </c>
      <c r="H430" t="s">
        <v>18</v>
      </c>
      <c r="I430">
        <v>3.2</v>
      </c>
      <c r="J430" t="s">
        <v>26</v>
      </c>
      <c r="K430">
        <v>2024</v>
      </c>
      <c r="L430">
        <v>14983.878000000001</v>
      </c>
      <c r="M430">
        <v>5</v>
      </c>
      <c r="N430" t="s">
        <v>27</v>
      </c>
      <c r="O430" t="s">
        <v>68</v>
      </c>
    </row>
    <row r="431" spans="1:15" x14ac:dyDescent="0.3">
      <c r="A431" t="s">
        <v>499</v>
      </c>
      <c r="B431" t="s">
        <v>39</v>
      </c>
      <c r="C431" t="s">
        <v>40</v>
      </c>
      <c r="D431">
        <v>5804.38</v>
      </c>
      <c r="E431">
        <v>2</v>
      </c>
      <c r="F431">
        <v>11608.76</v>
      </c>
      <c r="G431" s="1">
        <v>45428</v>
      </c>
      <c r="H431" t="s">
        <v>64</v>
      </c>
      <c r="I431">
        <v>2.2000000000000002</v>
      </c>
      <c r="J431" t="s">
        <v>32</v>
      </c>
      <c r="K431">
        <v>2024</v>
      </c>
      <c r="L431">
        <v>2321.752</v>
      </c>
      <c r="M431">
        <v>12</v>
      </c>
      <c r="N431" t="s">
        <v>20</v>
      </c>
      <c r="O431" t="s">
        <v>28</v>
      </c>
    </row>
    <row r="432" spans="1:15" x14ac:dyDescent="0.3">
      <c r="A432" t="s">
        <v>500</v>
      </c>
      <c r="B432" t="s">
        <v>23</v>
      </c>
      <c r="C432" t="s">
        <v>24</v>
      </c>
      <c r="D432">
        <v>43502.85</v>
      </c>
      <c r="E432">
        <v>1</v>
      </c>
      <c r="F432">
        <v>43502.85</v>
      </c>
      <c r="G432" s="1">
        <v>45364</v>
      </c>
      <c r="H432" t="s">
        <v>80</v>
      </c>
      <c r="I432">
        <v>4.2</v>
      </c>
      <c r="J432" t="s">
        <v>56</v>
      </c>
      <c r="K432">
        <v>2024</v>
      </c>
      <c r="L432">
        <v>8700.57</v>
      </c>
      <c r="M432">
        <v>18</v>
      </c>
      <c r="N432" t="s">
        <v>20</v>
      </c>
      <c r="O432" t="s">
        <v>33</v>
      </c>
    </row>
    <row r="433" spans="1:15" x14ac:dyDescent="0.3">
      <c r="A433" t="s">
        <v>501</v>
      </c>
      <c r="B433" t="s">
        <v>66</v>
      </c>
      <c r="C433" t="s">
        <v>36</v>
      </c>
      <c r="D433">
        <v>46770.01</v>
      </c>
      <c r="E433">
        <v>5</v>
      </c>
      <c r="F433">
        <v>233850.05</v>
      </c>
      <c r="G433" s="1">
        <v>45392</v>
      </c>
      <c r="H433" t="s">
        <v>80</v>
      </c>
      <c r="I433">
        <v>2.9</v>
      </c>
      <c r="J433" t="s">
        <v>62</v>
      </c>
      <c r="K433">
        <v>2024</v>
      </c>
      <c r="L433">
        <v>46770.01</v>
      </c>
      <c r="M433">
        <v>20</v>
      </c>
      <c r="N433" t="s">
        <v>20</v>
      </c>
      <c r="O433" t="s">
        <v>21</v>
      </c>
    </row>
    <row r="434" spans="1:15" x14ac:dyDescent="0.3">
      <c r="A434" t="s">
        <v>502</v>
      </c>
      <c r="B434" t="s">
        <v>96</v>
      </c>
      <c r="C434" t="s">
        <v>36</v>
      </c>
      <c r="D434">
        <v>38160.980000000003</v>
      </c>
      <c r="E434">
        <v>2</v>
      </c>
      <c r="F434">
        <v>76321.960000000006</v>
      </c>
      <c r="G434" s="1">
        <v>45382</v>
      </c>
      <c r="H434" t="s">
        <v>18</v>
      </c>
      <c r="I434">
        <v>4</v>
      </c>
      <c r="J434" t="s">
        <v>56</v>
      </c>
      <c r="K434">
        <v>2024</v>
      </c>
      <c r="L434">
        <v>15264.392000000002</v>
      </c>
      <c r="M434">
        <v>18</v>
      </c>
      <c r="N434" t="s">
        <v>41</v>
      </c>
      <c r="O434" t="s">
        <v>21</v>
      </c>
    </row>
    <row r="435" spans="1:15" x14ac:dyDescent="0.3">
      <c r="A435" t="s">
        <v>503</v>
      </c>
      <c r="B435" t="s">
        <v>107</v>
      </c>
      <c r="C435" t="s">
        <v>36</v>
      </c>
      <c r="D435">
        <v>14797.27</v>
      </c>
      <c r="E435">
        <v>2</v>
      </c>
      <c r="F435">
        <v>29594.54</v>
      </c>
      <c r="G435" s="1">
        <v>45682</v>
      </c>
      <c r="H435" t="s">
        <v>25</v>
      </c>
      <c r="I435">
        <v>3.4</v>
      </c>
      <c r="J435" t="s">
        <v>53</v>
      </c>
      <c r="K435">
        <v>2025</v>
      </c>
      <c r="L435">
        <v>5918.9080000000004</v>
      </c>
      <c r="M435">
        <v>16</v>
      </c>
      <c r="N435" t="s">
        <v>41</v>
      </c>
      <c r="O435" t="s">
        <v>33</v>
      </c>
    </row>
    <row r="436" spans="1:15" x14ac:dyDescent="0.3">
      <c r="A436" t="s">
        <v>504</v>
      </c>
      <c r="B436" t="s">
        <v>100</v>
      </c>
      <c r="C436" t="s">
        <v>31</v>
      </c>
      <c r="D436">
        <v>16951.57</v>
      </c>
      <c r="E436">
        <v>5</v>
      </c>
      <c r="F436">
        <v>84757.85</v>
      </c>
      <c r="G436" s="1">
        <v>45379</v>
      </c>
      <c r="H436" t="s">
        <v>44</v>
      </c>
      <c r="I436">
        <v>2</v>
      </c>
      <c r="J436" t="s">
        <v>56</v>
      </c>
      <c r="K436">
        <v>2024</v>
      </c>
      <c r="L436">
        <v>16951.570000000003</v>
      </c>
      <c r="M436">
        <v>23</v>
      </c>
      <c r="N436" t="s">
        <v>27</v>
      </c>
      <c r="O436" t="s">
        <v>33</v>
      </c>
    </row>
    <row r="437" spans="1:15" x14ac:dyDescent="0.3">
      <c r="A437" t="s">
        <v>505</v>
      </c>
      <c r="B437" t="s">
        <v>66</v>
      </c>
      <c r="C437" t="s">
        <v>36</v>
      </c>
      <c r="D437">
        <v>20087.650000000001</v>
      </c>
      <c r="E437">
        <v>2</v>
      </c>
      <c r="F437">
        <v>40175.300000000003</v>
      </c>
      <c r="G437" s="1">
        <v>45592</v>
      </c>
      <c r="H437" t="s">
        <v>44</v>
      </c>
      <c r="I437">
        <v>2.7</v>
      </c>
      <c r="J437" t="s">
        <v>45</v>
      </c>
      <c r="K437">
        <v>2024</v>
      </c>
      <c r="L437">
        <v>8035.0600000000013</v>
      </c>
      <c r="M437">
        <v>27</v>
      </c>
      <c r="N437" t="s">
        <v>27</v>
      </c>
      <c r="O437" t="s">
        <v>21</v>
      </c>
    </row>
    <row r="438" spans="1:15" x14ac:dyDescent="0.3">
      <c r="A438" t="s">
        <v>506</v>
      </c>
      <c r="B438" t="s">
        <v>30</v>
      </c>
      <c r="C438" t="s">
        <v>31</v>
      </c>
      <c r="D438">
        <v>45544.54</v>
      </c>
      <c r="E438">
        <v>4</v>
      </c>
      <c r="F438">
        <v>182178.16</v>
      </c>
      <c r="G438" s="1">
        <v>45405</v>
      </c>
      <c r="H438" t="s">
        <v>64</v>
      </c>
      <c r="I438">
        <v>3</v>
      </c>
      <c r="J438" t="s">
        <v>62</v>
      </c>
      <c r="K438">
        <v>2024</v>
      </c>
      <c r="L438">
        <v>36435.632000000005</v>
      </c>
      <c r="M438">
        <v>19</v>
      </c>
      <c r="N438" t="s">
        <v>41</v>
      </c>
      <c r="O438" t="s">
        <v>28</v>
      </c>
    </row>
    <row r="439" spans="1:15" x14ac:dyDescent="0.3">
      <c r="A439" t="s">
        <v>507</v>
      </c>
      <c r="B439" t="s">
        <v>100</v>
      </c>
      <c r="C439" t="s">
        <v>31</v>
      </c>
      <c r="D439">
        <v>4986.8999999999996</v>
      </c>
      <c r="E439">
        <v>1</v>
      </c>
      <c r="F439">
        <v>4986.8999999999996</v>
      </c>
      <c r="G439" s="1">
        <v>45649</v>
      </c>
      <c r="H439" t="s">
        <v>64</v>
      </c>
      <c r="I439">
        <v>4.4000000000000004</v>
      </c>
      <c r="J439" t="s">
        <v>26</v>
      </c>
      <c r="K439">
        <v>2024</v>
      </c>
      <c r="L439">
        <v>997.38</v>
      </c>
      <c r="M439">
        <v>6</v>
      </c>
      <c r="N439" t="s">
        <v>27</v>
      </c>
      <c r="O439" t="s">
        <v>28</v>
      </c>
    </row>
    <row r="440" spans="1:15" x14ac:dyDescent="0.3">
      <c r="A440" t="s">
        <v>508</v>
      </c>
      <c r="B440" t="s">
        <v>84</v>
      </c>
      <c r="C440" t="s">
        <v>40</v>
      </c>
      <c r="D440">
        <v>37890.559999999998</v>
      </c>
      <c r="E440">
        <v>1</v>
      </c>
      <c r="F440">
        <v>37890.559999999998</v>
      </c>
      <c r="G440" s="1">
        <v>45473</v>
      </c>
      <c r="H440" t="s">
        <v>64</v>
      </c>
      <c r="I440">
        <v>2.4</v>
      </c>
      <c r="J440" t="s">
        <v>67</v>
      </c>
      <c r="K440">
        <v>2024</v>
      </c>
      <c r="L440">
        <v>7578.1120000000001</v>
      </c>
      <c r="M440">
        <v>6</v>
      </c>
      <c r="N440" t="s">
        <v>41</v>
      </c>
      <c r="O440" t="s">
        <v>33</v>
      </c>
    </row>
    <row r="441" spans="1:15" x14ac:dyDescent="0.3">
      <c r="A441" t="s">
        <v>509</v>
      </c>
      <c r="B441" t="s">
        <v>55</v>
      </c>
      <c r="C441" t="s">
        <v>36</v>
      </c>
      <c r="D441">
        <v>26947.54</v>
      </c>
      <c r="E441">
        <v>2</v>
      </c>
      <c r="F441">
        <v>53895.08</v>
      </c>
      <c r="G441" s="1">
        <v>45448</v>
      </c>
      <c r="H441" t="s">
        <v>80</v>
      </c>
      <c r="I441">
        <v>4.0999999999999996</v>
      </c>
      <c r="J441" t="s">
        <v>67</v>
      </c>
      <c r="K441">
        <v>2024</v>
      </c>
      <c r="L441">
        <v>10779.016000000001</v>
      </c>
      <c r="M441">
        <v>27</v>
      </c>
      <c r="N441" t="s">
        <v>20</v>
      </c>
      <c r="O441" t="s">
        <v>28</v>
      </c>
    </row>
    <row r="442" spans="1:15" x14ac:dyDescent="0.3">
      <c r="A442" t="s">
        <v>510</v>
      </c>
      <c r="B442" t="s">
        <v>107</v>
      </c>
      <c r="C442" t="s">
        <v>36</v>
      </c>
      <c r="D442">
        <v>16929.740000000002</v>
      </c>
      <c r="E442">
        <v>3</v>
      </c>
      <c r="F442">
        <v>50789.22</v>
      </c>
      <c r="G442" s="1">
        <v>45368</v>
      </c>
      <c r="H442" t="s">
        <v>44</v>
      </c>
      <c r="I442">
        <v>1.5</v>
      </c>
      <c r="J442" t="s">
        <v>56</v>
      </c>
      <c r="K442">
        <v>2024</v>
      </c>
      <c r="L442">
        <v>10157.844000000001</v>
      </c>
      <c r="M442">
        <v>26</v>
      </c>
      <c r="N442" t="s">
        <v>27</v>
      </c>
      <c r="O442" t="s">
        <v>21</v>
      </c>
    </row>
    <row r="443" spans="1:15" x14ac:dyDescent="0.3">
      <c r="A443" t="s">
        <v>511</v>
      </c>
      <c r="B443" t="s">
        <v>66</v>
      </c>
      <c r="C443" t="s">
        <v>36</v>
      </c>
      <c r="D443">
        <v>30310.92</v>
      </c>
      <c r="E443">
        <v>3</v>
      </c>
      <c r="F443">
        <v>90932.76</v>
      </c>
      <c r="G443" s="1">
        <v>45402</v>
      </c>
      <c r="H443" t="s">
        <v>25</v>
      </c>
      <c r="I443">
        <v>3.5</v>
      </c>
      <c r="J443" t="s">
        <v>62</v>
      </c>
      <c r="K443">
        <v>2024</v>
      </c>
      <c r="L443">
        <v>18186.552</v>
      </c>
      <c r="M443">
        <v>23</v>
      </c>
      <c r="N443" t="s">
        <v>27</v>
      </c>
      <c r="O443" t="s">
        <v>28</v>
      </c>
    </row>
    <row r="444" spans="1:15" x14ac:dyDescent="0.3">
      <c r="A444" t="s">
        <v>512</v>
      </c>
      <c r="B444" t="s">
        <v>16</v>
      </c>
      <c r="C444" t="s">
        <v>17</v>
      </c>
      <c r="D444">
        <v>33643.5</v>
      </c>
      <c r="E444">
        <v>5</v>
      </c>
      <c r="F444">
        <v>168217.5</v>
      </c>
      <c r="G444" s="1">
        <v>45459</v>
      </c>
      <c r="H444" t="s">
        <v>25</v>
      </c>
      <c r="I444">
        <v>4.2</v>
      </c>
      <c r="J444" t="s">
        <v>67</v>
      </c>
      <c r="K444">
        <v>2024</v>
      </c>
      <c r="L444">
        <v>33643.5</v>
      </c>
      <c r="M444">
        <v>29</v>
      </c>
      <c r="N444" t="s">
        <v>41</v>
      </c>
      <c r="O444" t="s">
        <v>33</v>
      </c>
    </row>
    <row r="445" spans="1:15" x14ac:dyDescent="0.3">
      <c r="A445" t="s">
        <v>513</v>
      </c>
      <c r="B445" t="s">
        <v>74</v>
      </c>
      <c r="C445" t="s">
        <v>17</v>
      </c>
      <c r="D445">
        <v>27847.81</v>
      </c>
      <c r="E445">
        <v>3</v>
      </c>
      <c r="F445">
        <v>83543.429999999993</v>
      </c>
      <c r="G445" s="1">
        <v>45551</v>
      </c>
      <c r="H445" t="s">
        <v>80</v>
      </c>
      <c r="I445">
        <v>4.3</v>
      </c>
      <c r="J445" t="s">
        <v>19</v>
      </c>
      <c r="K445">
        <v>2024</v>
      </c>
      <c r="L445">
        <v>16708.685999999998</v>
      </c>
      <c r="M445">
        <v>30</v>
      </c>
      <c r="N445" t="s">
        <v>27</v>
      </c>
      <c r="O445" t="s">
        <v>21</v>
      </c>
    </row>
    <row r="446" spans="1:15" x14ac:dyDescent="0.3">
      <c r="A446" t="s">
        <v>514</v>
      </c>
      <c r="B446" t="s">
        <v>16</v>
      </c>
      <c r="C446" t="s">
        <v>17</v>
      </c>
      <c r="D446">
        <v>19055.03</v>
      </c>
      <c r="E446">
        <v>3</v>
      </c>
      <c r="F446">
        <v>57165.09</v>
      </c>
      <c r="G446" s="1">
        <v>45529</v>
      </c>
      <c r="H446" t="s">
        <v>71</v>
      </c>
      <c r="I446">
        <v>4.3</v>
      </c>
      <c r="J446" t="s">
        <v>88</v>
      </c>
      <c r="K446">
        <v>2024</v>
      </c>
      <c r="L446">
        <v>11433.018</v>
      </c>
      <c r="M446">
        <v>26</v>
      </c>
      <c r="N446" t="s">
        <v>27</v>
      </c>
      <c r="O446" t="s">
        <v>28</v>
      </c>
    </row>
    <row r="447" spans="1:15" x14ac:dyDescent="0.3">
      <c r="A447" t="s">
        <v>515</v>
      </c>
      <c r="B447" t="s">
        <v>125</v>
      </c>
      <c r="C447" t="s">
        <v>17</v>
      </c>
      <c r="D447">
        <v>24012.7</v>
      </c>
      <c r="E447">
        <v>1</v>
      </c>
      <c r="F447">
        <v>24012.7</v>
      </c>
      <c r="G447" s="1">
        <v>45622</v>
      </c>
      <c r="H447" t="s">
        <v>71</v>
      </c>
      <c r="I447">
        <v>4.8</v>
      </c>
      <c r="J447" t="s">
        <v>37</v>
      </c>
      <c r="K447">
        <v>2024</v>
      </c>
      <c r="L447">
        <v>4802.54</v>
      </c>
      <c r="M447">
        <v>30</v>
      </c>
      <c r="N447" t="s">
        <v>20</v>
      </c>
      <c r="O447" t="s">
        <v>68</v>
      </c>
    </row>
    <row r="448" spans="1:15" x14ac:dyDescent="0.3">
      <c r="A448" t="s">
        <v>516</v>
      </c>
      <c r="B448" t="s">
        <v>47</v>
      </c>
      <c r="C448" t="s">
        <v>24</v>
      </c>
      <c r="D448">
        <v>8182.19</v>
      </c>
      <c r="E448">
        <v>2</v>
      </c>
      <c r="F448">
        <v>16364.38</v>
      </c>
      <c r="G448" s="1">
        <v>45508</v>
      </c>
      <c r="H448" t="s">
        <v>64</v>
      </c>
      <c r="I448">
        <v>4.2</v>
      </c>
      <c r="J448" t="s">
        <v>88</v>
      </c>
      <c r="K448">
        <v>2024</v>
      </c>
      <c r="L448">
        <v>3272.8760000000002</v>
      </c>
      <c r="M448">
        <v>30</v>
      </c>
      <c r="N448" t="s">
        <v>27</v>
      </c>
      <c r="O448" t="s">
        <v>21</v>
      </c>
    </row>
    <row r="449" spans="1:15" x14ac:dyDescent="0.3">
      <c r="A449" t="s">
        <v>517</v>
      </c>
      <c r="B449" t="s">
        <v>94</v>
      </c>
      <c r="C449" t="s">
        <v>31</v>
      </c>
      <c r="D449">
        <v>35810.629999999997</v>
      </c>
      <c r="E449">
        <v>4</v>
      </c>
      <c r="F449">
        <v>143242.51999999999</v>
      </c>
      <c r="G449" s="1">
        <v>45388</v>
      </c>
      <c r="H449" t="s">
        <v>25</v>
      </c>
      <c r="I449">
        <v>1.2</v>
      </c>
      <c r="J449" t="s">
        <v>62</v>
      </c>
      <c r="K449">
        <v>2024</v>
      </c>
      <c r="L449">
        <v>28648.504000000001</v>
      </c>
      <c r="M449">
        <v>26</v>
      </c>
      <c r="N449" t="s">
        <v>20</v>
      </c>
      <c r="O449" t="s">
        <v>21</v>
      </c>
    </row>
    <row r="450" spans="1:15" x14ac:dyDescent="0.3">
      <c r="A450" t="s">
        <v>518</v>
      </c>
      <c r="B450" t="s">
        <v>78</v>
      </c>
      <c r="C450" t="s">
        <v>24</v>
      </c>
      <c r="D450">
        <v>23433.86</v>
      </c>
      <c r="E450">
        <v>1</v>
      </c>
      <c r="F450">
        <v>23433.86</v>
      </c>
      <c r="G450" s="1">
        <v>45521</v>
      </c>
      <c r="H450" t="s">
        <v>64</v>
      </c>
      <c r="I450">
        <v>3.8</v>
      </c>
      <c r="J450" t="s">
        <v>88</v>
      </c>
      <c r="K450">
        <v>2024</v>
      </c>
      <c r="L450">
        <v>4686.7719999999999</v>
      </c>
      <c r="M450">
        <v>21</v>
      </c>
      <c r="N450" t="s">
        <v>41</v>
      </c>
      <c r="O450" t="s">
        <v>68</v>
      </c>
    </row>
    <row r="451" spans="1:15" x14ac:dyDescent="0.3">
      <c r="A451" t="s">
        <v>519</v>
      </c>
      <c r="B451" t="s">
        <v>55</v>
      </c>
      <c r="C451" t="s">
        <v>36</v>
      </c>
      <c r="D451">
        <v>42946.11</v>
      </c>
      <c r="E451">
        <v>4</v>
      </c>
      <c r="F451">
        <v>171784.44</v>
      </c>
      <c r="G451" s="1">
        <v>45535</v>
      </c>
      <c r="H451" t="s">
        <v>25</v>
      </c>
      <c r="I451">
        <v>3.2</v>
      </c>
      <c r="J451" t="s">
        <v>88</v>
      </c>
      <c r="K451">
        <v>2024</v>
      </c>
      <c r="L451">
        <v>34356.887999999999</v>
      </c>
      <c r="M451">
        <v>24</v>
      </c>
      <c r="N451" t="s">
        <v>27</v>
      </c>
      <c r="O451" t="s">
        <v>68</v>
      </c>
    </row>
    <row r="452" spans="1:15" x14ac:dyDescent="0.3">
      <c r="A452" t="s">
        <v>520</v>
      </c>
      <c r="B452" t="s">
        <v>47</v>
      </c>
      <c r="C452" t="s">
        <v>24</v>
      </c>
      <c r="D452">
        <v>3995.44</v>
      </c>
      <c r="E452">
        <v>4</v>
      </c>
      <c r="F452">
        <v>15981.76</v>
      </c>
      <c r="G452" s="1">
        <v>45438</v>
      </c>
      <c r="H452" t="s">
        <v>18</v>
      </c>
      <c r="I452">
        <v>4</v>
      </c>
      <c r="J452" t="s">
        <v>32</v>
      </c>
      <c r="K452">
        <v>2024</v>
      </c>
      <c r="L452">
        <v>3196.3520000000003</v>
      </c>
      <c r="M452">
        <v>14</v>
      </c>
      <c r="N452" t="s">
        <v>20</v>
      </c>
      <c r="O452" t="s">
        <v>21</v>
      </c>
    </row>
    <row r="453" spans="1:15" x14ac:dyDescent="0.3">
      <c r="A453" t="s">
        <v>521</v>
      </c>
      <c r="B453" t="s">
        <v>30</v>
      </c>
      <c r="C453" t="s">
        <v>31</v>
      </c>
      <c r="D453">
        <v>38728.75</v>
      </c>
      <c r="E453">
        <v>1</v>
      </c>
      <c r="F453">
        <v>38728.75</v>
      </c>
      <c r="G453" s="1">
        <v>45570</v>
      </c>
      <c r="H453" t="s">
        <v>44</v>
      </c>
      <c r="I453">
        <v>4</v>
      </c>
      <c r="J453" t="s">
        <v>45</v>
      </c>
      <c r="K453">
        <v>2024</v>
      </c>
      <c r="L453">
        <v>7745.75</v>
      </c>
      <c r="M453">
        <v>10</v>
      </c>
      <c r="N453" t="s">
        <v>41</v>
      </c>
      <c r="O453" t="s">
        <v>68</v>
      </c>
    </row>
    <row r="454" spans="1:15" x14ac:dyDescent="0.3">
      <c r="A454" t="s">
        <v>522</v>
      </c>
      <c r="B454" t="s">
        <v>52</v>
      </c>
      <c r="C454" t="s">
        <v>24</v>
      </c>
      <c r="D454">
        <v>46205.47</v>
      </c>
      <c r="E454">
        <v>3</v>
      </c>
      <c r="F454">
        <v>138616.41</v>
      </c>
      <c r="G454" s="1">
        <v>45542</v>
      </c>
      <c r="H454" t="s">
        <v>71</v>
      </c>
      <c r="I454">
        <v>2.7</v>
      </c>
      <c r="J454" t="s">
        <v>19</v>
      </c>
      <c r="K454">
        <v>2024</v>
      </c>
      <c r="L454">
        <v>27723.282000000003</v>
      </c>
      <c r="M454">
        <v>19</v>
      </c>
      <c r="N454" t="s">
        <v>27</v>
      </c>
      <c r="O454" t="s">
        <v>33</v>
      </c>
    </row>
    <row r="455" spans="1:15" x14ac:dyDescent="0.3">
      <c r="A455" t="s">
        <v>523</v>
      </c>
      <c r="B455" t="s">
        <v>23</v>
      </c>
      <c r="C455" t="s">
        <v>24</v>
      </c>
      <c r="D455">
        <v>7631.48</v>
      </c>
      <c r="E455">
        <v>3</v>
      </c>
      <c r="F455">
        <v>22894.44</v>
      </c>
      <c r="G455" s="1">
        <v>45491</v>
      </c>
      <c r="H455" t="s">
        <v>18</v>
      </c>
      <c r="I455">
        <v>3</v>
      </c>
      <c r="J455" t="s">
        <v>48</v>
      </c>
      <c r="K455">
        <v>2024</v>
      </c>
      <c r="L455">
        <v>4578.8879999999999</v>
      </c>
      <c r="M455">
        <v>26</v>
      </c>
      <c r="N455" t="s">
        <v>41</v>
      </c>
      <c r="O455" t="s">
        <v>33</v>
      </c>
    </row>
    <row r="456" spans="1:15" x14ac:dyDescent="0.3">
      <c r="A456" t="s">
        <v>524</v>
      </c>
      <c r="B456" t="s">
        <v>70</v>
      </c>
      <c r="C456" t="s">
        <v>17</v>
      </c>
      <c r="D456">
        <v>4581.7299999999996</v>
      </c>
      <c r="E456">
        <v>4</v>
      </c>
      <c r="F456">
        <v>18326.919999999998</v>
      </c>
      <c r="G456" s="1">
        <v>45436</v>
      </c>
      <c r="H456" t="s">
        <v>71</v>
      </c>
      <c r="I456">
        <v>3.4</v>
      </c>
      <c r="J456" t="s">
        <v>32</v>
      </c>
      <c r="K456">
        <v>2024</v>
      </c>
      <c r="L456">
        <v>3665.384</v>
      </c>
      <c r="M456">
        <v>15</v>
      </c>
      <c r="N456" t="s">
        <v>27</v>
      </c>
      <c r="O456" t="s">
        <v>33</v>
      </c>
    </row>
    <row r="457" spans="1:15" x14ac:dyDescent="0.3">
      <c r="A457" t="s">
        <v>525</v>
      </c>
      <c r="B457" t="s">
        <v>55</v>
      </c>
      <c r="C457" t="s">
        <v>36</v>
      </c>
      <c r="D457">
        <v>9761.64</v>
      </c>
      <c r="E457">
        <v>3</v>
      </c>
      <c r="F457">
        <v>29284.92</v>
      </c>
      <c r="G457" s="1">
        <v>45531</v>
      </c>
      <c r="H457" t="s">
        <v>44</v>
      </c>
      <c r="I457">
        <v>2.5</v>
      </c>
      <c r="J457" t="s">
        <v>88</v>
      </c>
      <c r="K457">
        <v>2024</v>
      </c>
      <c r="L457">
        <v>5856.9840000000004</v>
      </c>
      <c r="M457">
        <v>9</v>
      </c>
      <c r="N457" t="s">
        <v>41</v>
      </c>
      <c r="O457" t="s">
        <v>21</v>
      </c>
    </row>
    <row r="458" spans="1:15" x14ac:dyDescent="0.3">
      <c r="A458" t="s">
        <v>526</v>
      </c>
      <c r="B458" t="s">
        <v>94</v>
      </c>
      <c r="C458" t="s">
        <v>31</v>
      </c>
      <c r="D458">
        <v>1582.84</v>
      </c>
      <c r="E458">
        <v>3</v>
      </c>
      <c r="F458">
        <v>4748.5200000000004</v>
      </c>
      <c r="G458" s="1">
        <v>45545</v>
      </c>
      <c r="H458" t="s">
        <v>18</v>
      </c>
      <c r="I458">
        <v>2.9</v>
      </c>
      <c r="J458" t="s">
        <v>19</v>
      </c>
      <c r="K458">
        <v>2024</v>
      </c>
      <c r="L458">
        <v>949.70400000000018</v>
      </c>
      <c r="M458">
        <v>5</v>
      </c>
      <c r="N458" t="s">
        <v>41</v>
      </c>
      <c r="O458" t="s">
        <v>68</v>
      </c>
    </row>
    <row r="459" spans="1:15" x14ac:dyDescent="0.3">
      <c r="A459" t="s">
        <v>527</v>
      </c>
      <c r="B459" t="s">
        <v>96</v>
      </c>
      <c r="C459" t="s">
        <v>36</v>
      </c>
      <c r="D459">
        <v>8902.26</v>
      </c>
      <c r="E459">
        <v>5</v>
      </c>
      <c r="F459">
        <v>44511.3</v>
      </c>
      <c r="G459" s="1">
        <v>45665</v>
      </c>
      <c r="H459" t="s">
        <v>18</v>
      </c>
      <c r="I459">
        <v>2.4</v>
      </c>
      <c r="J459" t="s">
        <v>53</v>
      </c>
      <c r="K459">
        <v>2025</v>
      </c>
      <c r="L459">
        <v>8902.26</v>
      </c>
      <c r="M459">
        <v>12</v>
      </c>
      <c r="N459" t="s">
        <v>20</v>
      </c>
      <c r="O459" t="s">
        <v>68</v>
      </c>
    </row>
    <row r="460" spans="1:15" x14ac:dyDescent="0.3">
      <c r="A460" t="s">
        <v>528</v>
      </c>
      <c r="B460" t="s">
        <v>145</v>
      </c>
      <c r="C460" t="s">
        <v>40</v>
      </c>
      <c r="D460">
        <v>1549.63</v>
      </c>
      <c r="E460">
        <v>1</v>
      </c>
      <c r="F460">
        <v>1549.63</v>
      </c>
      <c r="G460" s="1">
        <v>45623</v>
      </c>
      <c r="H460" t="s">
        <v>64</v>
      </c>
      <c r="I460">
        <v>3</v>
      </c>
      <c r="J460" t="s">
        <v>37</v>
      </c>
      <c r="K460">
        <v>2024</v>
      </c>
      <c r="L460">
        <v>309.92600000000004</v>
      </c>
      <c r="M460">
        <v>25</v>
      </c>
      <c r="N460" t="s">
        <v>41</v>
      </c>
      <c r="O460" t="s">
        <v>28</v>
      </c>
    </row>
    <row r="461" spans="1:15" x14ac:dyDescent="0.3">
      <c r="A461" t="s">
        <v>529</v>
      </c>
      <c r="B461" t="s">
        <v>16</v>
      </c>
      <c r="C461" t="s">
        <v>17</v>
      </c>
      <c r="D461">
        <v>23520.5</v>
      </c>
      <c r="E461">
        <v>5</v>
      </c>
      <c r="F461">
        <v>117602.5</v>
      </c>
      <c r="G461" s="1">
        <v>45408</v>
      </c>
      <c r="H461" t="s">
        <v>18</v>
      </c>
      <c r="I461">
        <v>1.2</v>
      </c>
      <c r="J461" t="s">
        <v>62</v>
      </c>
      <c r="K461">
        <v>2024</v>
      </c>
      <c r="L461">
        <v>23520.5</v>
      </c>
      <c r="M461">
        <v>16</v>
      </c>
      <c r="N461" t="s">
        <v>27</v>
      </c>
      <c r="O461" t="s">
        <v>28</v>
      </c>
    </row>
    <row r="462" spans="1:15" x14ac:dyDescent="0.3">
      <c r="A462" t="s">
        <v>530</v>
      </c>
      <c r="B462" t="s">
        <v>30</v>
      </c>
      <c r="C462" t="s">
        <v>31</v>
      </c>
      <c r="D462">
        <v>18729.61</v>
      </c>
      <c r="E462">
        <v>1</v>
      </c>
      <c r="F462">
        <v>18729.61</v>
      </c>
      <c r="G462" s="1">
        <v>45385</v>
      </c>
      <c r="H462" t="s">
        <v>64</v>
      </c>
      <c r="I462">
        <v>1</v>
      </c>
      <c r="J462" t="s">
        <v>62</v>
      </c>
      <c r="K462">
        <v>2024</v>
      </c>
      <c r="L462">
        <v>3745.9220000000005</v>
      </c>
      <c r="M462">
        <v>16</v>
      </c>
      <c r="N462" t="s">
        <v>27</v>
      </c>
      <c r="O462" t="s">
        <v>68</v>
      </c>
    </row>
    <row r="463" spans="1:15" x14ac:dyDescent="0.3">
      <c r="A463" t="s">
        <v>531</v>
      </c>
      <c r="B463" t="s">
        <v>125</v>
      </c>
      <c r="C463" t="s">
        <v>17</v>
      </c>
      <c r="D463">
        <v>18085.73</v>
      </c>
      <c r="E463">
        <v>3</v>
      </c>
      <c r="F463">
        <v>54257.19</v>
      </c>
      <c r="G463" s="1">
        <v>45485</v>
      </c>
      <c r="H463" t="s">
        <v>80</v>
      </c>
      <c r="I463">
        <v>4.0999999999999996</v>
      </c>
      <c r="J463" t="s">
        <v>48</v>
      </c>
      <c r="K463">
        <v>2024</v>
      </c>
      <c r="L463">
        <v>10851.438000000002</v>
      </c>
      <c r="M463">
        <v>9</v>
      </c>
      <c r="N463" t="s">
        <v>20</v>
      </c>
      <c r="O463" t="s">
        <v>68</v>
      </c>
    </row>
    <row r="464" spans="1:15" x14ac:dyDescent="0.3">
      <c r="A464" t="s">
        <v>532</v>
      </c>
      <c r="B464" t="s">
        <v>61</v>
      </c>
      <c r="C464" t="s">
        <v>31</v>
      </c>
      <c r="D464">
        <v>29844.59</v>
      </c>
      <c r="E464">
        <v>3</v>
      </c>
      <c r="F464">
        <v>89533.77</v>
      </c>
      <c r="G464" s="1">
        <v>45471</v>
      </c>
      <c r="H464" t="s">
        <v>71</v>
      </c>
      <c r="I464">
        <v>3.9</v>
      </c>
      <c r="J464" t="s">
        <v>67</v>
      </c>
      <c r="K464">
        <v>2024</v>
      </c>
      <c r="L464">
        <v>17906.754000000001</v>
      </c>
      <c r="M464">
        <v>11</v>
      </c>
      <c r="N464" t="s">
        <v>27</v>
      </c>
      <c r="O464" t="s">
        <v>68</v>
      </c>
    </row>
    <row r="465" spans="1:15" x14ac:dyDescent="0.3">
      <c r="A465" t="s">
        <v>533</v>
      </c>
      <c r="B465" t="s">
        <v>55</v>
      </c>
      <c r="C465" t="s">
        <v>36</v>
      </c>
      <c r="D465">
        <v>12964.52</v>
      </c>
      <c r="E465">
        <v>2</v>
      </c>
      <c r="F465">
        <v>25929.040000000001</v>
      </c>
      <c r="G465" s="1">
        <v>45619</v>
      </c>
      <c r="H465" t="s">
        <v>44</v>
      </c>
      <c r="I465">
        <v>2.7</v>
      </c>
      <c r="J465" t="s">
        <v>37</v>
      </c>
      <c r="K465">
        <v>2024</v>
      </c>
      <c r="L465">
        <v>5185.8080000000009</v>
      </c>
      <c r="M465">
        <v>8</v>
      </c>
      <c r="N465" t="s">
        <v>27</v>
      </c>
      <c r="O465" t="s">
        <v>21</v>
      </c>
    </row>
    <row r="466" spans="1:15" x14ac:dyDescent="0.3">
      <c r="A466" t="s">
        <v>534</v>
      </c>
      <c r="B466" t="s">
        <v>55</v>
      </c>
      <c r="C466" t="s">
        <v>36</v>
      </c>
      <c r="D466">
        <v>43431.64</v>
      </c>
      <c r="E466">
        <v>5</v>
      </c>
      <c r="F466">
        <v>217158.2</v>
      </c>
      <c r="G466" s="1">
        <v>45463</v>
      </c>
      <c r="H466" t="s">
        <v>71</v>
      </c>
      <c r="I466">
        <v>4.4000000000000004</v>
      </c>
      <c r="J466" t="s">
        <v>67</v>
      </c>
      <c r="K466">
        <v>2024</v>
      </c>
      <c r="L466">
        <v>43431.640000000007</v>
      </c>
      <c r="M466">
        <v>10</v>
      </c>
      <c r="N466" t="s">
        <v>27</v>
      </c>
      <c r="O466" t="s">
        <v>68</v>
      </c>
    </row>
    <row r="467" spans="1:15" x14ac:dyDescent="0.3">
      <c r="A467" t="s">
        <v>535</v>
      </c>
      <c r="B467" t="s">
        <v>35</v>
      </c>
      <c r="C467" t="s">
        <v>36</v>
      </c>
      <c r="D467">
        <v>31005.06</v>
      </c>
      <c r="E467">
        <v>4</v>
      </c>
      <c r="F467">
        <v>124020.24</v>
      </c>
      <c r="G467" s="1">
        <v>45495</v>
      </c>
      <c r="H467" t="s">
        <v>80</v>
      </c>
      <c r="I467">
        <v>4</v>
      </c>
      <c r="J467" t="s">
        <v>48</v>
      </c>
      <c r="K467">
        <v>2024</v>
      </c>
      <c r="L467">
        <v>24804.048000000003</v>
      </c>
      <c r="M467">
        <v>17</v>
      </c>
      <c r="N467" t="s">
        <v>41</v>
      </c>
      <c r="O467" t="s">
        <v>28</v>
      </c>
    </row>
    <row r="468" spans="1:15" x14ac:dyDescent="0.3">
      <c r="A468" t="s">
        <v>536</v>
      </c>
      <c r="B468" t="s">
        <v>30</v>
      </c>
      <c r="C468" t="s">
        <v>31</v>
      </c>
      <c r="D468">
        <v>16010.24</v>
      </c>
      <c r="E468">
        <v>3</v>
      </c>
      <c r="F468">
        <v>48030.720000000001</v>
      </c>
      <c r="G468" s="1">
        <v>45617</v>
      </c>
      <c r="H468" t="s">
        <v>80</v>
      </c>
      <c r="I468">
        <v>1.6</v>
      </c>
      <c r="J468" t="s">
        <v>37</v>
      </c>
      <c r="K468">
        <v>2024</v>
      </c>
      <c r="L468">
        <v>9606.1440000000002</v>
      </c>
      <c r="M468">
        <v>24</v>
      </c>
      <c r="N468" t="s">
        <v>41</v>
      </c>
      <c r="O468" t="s">
        <v>21</v>
      </c>
    </row>
    <row r="469" spans="1:15" x14ac:dyDescent="0.3">
      <c r="A469" t="s">
        <v>537</v>
      </c>
      <c r="B469" t="s">
        <v>107</v>
      </c>
      <c r="C469" t="s">
        <v>36</v>
      </c>
      <c r="D469">
        <v>18451.91</v>
      </c>
      <c r="E469">
        <v>5</v>
      </c>
      <c r="F469">
        <v>92259.55</v>
      </c>
      <c r="G469" s="1">
        <v>45547</v>
      </c>
      <c r="H469" t="s">
        <v>25</v>
      </c>
      <c r="I469">
        <v>4.9000000000000004</v>
      </c>
      <c r="J469" t="s">
        <v>19</v>
      </c>
      <c r="K469">
        <v>2024</v>
      </c>
      <c r="L469">
        <v>18451.91</v>
      </c>
      <c r="M469">
        <v>19</v>
      </c>
      <c r="N469" t="s">
        <v>27</v>
      </c>
      <c r="O469" t="s">
        <v>68</v>
      </c>
    </row>
    <row r="470" spans="1:15" x14ac:dyDescent="0.3">
      <c r="A470" t="s">
        <v>538</v>
      </c>
      <c r="B470" t="s">
        <v>35</v>
      </c>
      <c r="C470" t="s">
        <v>36</v>
      </c>
      <c r="D470">
        <v>31793.09</v>
      </c>
      <c r="E470">
        <v>4</v>
      </c>
      <c r="F470">
        <v>127172.36</v>
      </c>
      <c r="G470" s="1">
        <v>45341</v>
      </c>
      <c r="H470" t="s">
        <v>64</v>
      </c>
      <c r="I470">
        <v>4.8</v>
      </c>
      <c r="J470" t="s">
        <v>59</v>
      </c>
      <c r="K470">
        <v>2024</v>
      </c>
      <c r="L470">
        <v>25434.472000000002</v>
      </c>
      <c r="M470">
        <v>7</v>
      </c>
      <c r="N470" t="s">
        <v>20</v>
      </c>
      <c r="O470" t="s">
        <v>28</v>
      </c>
    </row>
    <row r="471" spans="1:15" x14ac:dyDescent="0.3">
      <c r="A471" t="s">
        <v>539</v>
      </c>
      <c r="B471" t="s">
        <v>78</v>
      </c>
      <c r="C471" t="s">
        <v>24</v>
      </c>
      <c r="D471">
        <v>36666.620000000003</v>
      </c>
      <c r="E471">
        <v>4</v>
      </c>
      <c r="F471">
        <v>146666.48000000001</v>
      </c>
      <c r="G471" s="1">
        <v>45563</v>
      </c>
      <c r="H471" t="s">
        <v>80</v>
      </c>
      <c r="I471">
        <v>2.1</v>
      </c>
      <c r="J471" t="s">
        <v>19</v>
      </c>
      <c r="K471">
        <v>2024</v>
      </c>
      <c r="L471">
        <v>29333.296000000002</v>
      </c>
      <c r="M471">
        <v>27</v>
      </c>
      <c r="N471" t="s">
        <v>41</v>
      </c>
      <c r="O471" t="s">
        <v>21</v>
      </c>
    </row>
    <row r="472" spans="1:15" x14ac:dyDescent="0.3">
      <c r="A472" t="s">
        <v>540</v>
      </c>
      <c r="B472" t="s">
        <v>66</v>
      </c>
      <c r="C472" t="s">
        <v>36</v>
      </c>
      <c r="D472">
        <v>38681.26</v>
      </c>
      <c r="E472">
        <v>1</v>
      </c>
      <c r="F472">
        <v>38681.26</v>
      </c>
      <c r="G472" s="1">
        <v>45490</v>
      </c>
      <c r="H472" t="s">
        <v>64</v>
      </c>
      <c r="I472">
        <v>2</v>
      </c>
      <c r="J472" t="s">
        <v>48</v>
      </c>
      <c r="K472">
        <v>2024</v>
      </c>
      <c r="L472">
        <v>7736.2520000000004</v>
      </c>
      <c r="M472">
        <v>12</v>
      </c>
      <c r="N472" t="s">
        <v>20</v>
      </c>
      <c r="O472" t="s">
        <v>68</v>
      </c>
    </row>
    <row r="473" spans="1:15" x14ac:dyDescent="0.3">
      <c r="A473" t="s">
        <v>541</v>
      </c>
      <c r="B473" t="s">
        <v>39</v>
      </c>
      <c r="C473" t="s">
        <v>40</v>
      </c>
      <c r="D473">
        <v>29493.06</v>
      </c>
      <c r="E473">
        <v>3</v>
      </c>
      <c r="F473">
        <v>88479.18</v>
      </c>
      <c r="G473" s="1">
        <v>45497</v>
      </c>
      <c r="H473" t="s">
        <v>71</v>
      </c>
      <c r="I473">
        <v>4.2</v>
      </c>
      <c r="J473" t="s">
        <v>48</v>
      </c>
      <c r="K473">
        <v>2024</v>
      </c>
      <c r="L473">
        <v>17695.835999999999</v>
      </c>
      <c r="M473">
        <v>24</v>
      </c>
      <c r="N473" t="s">
        <v>27</v>
      </c>
      <c r="O473" t="s">
        <v>68</v>
      </c>
    </row>
    <row r="474" spans="1:15" x14ac:dyDescent="0.3">
      <c r="A474" t="s">
        <v>542</v>
      </c>
      <c r="B474" t="s">
        <v>84</v>
      </c>
      <c r="C474" t="s">
        <v>40</v>
      </c>
      <c r="D474">
        <v>30009.200000000001</v>
      </c>
      <c r="E474">
        <v>2</v>
      </c>
      <c r="F474">
        <v>60018.400000000001</v>
      </c>
      <c r="G474" s="1">
        <v>45456</v>
      </c>
      <c r="H474" t="s">
        <v>18</v>
      </c>
      <c r="I474">
        <v>3</v>
      </c>
      <c r="J474" t="s">
        <v>67</v>
      </c>
      <c r="K474">
        <v>2024</v>
      </c>
      <c r="L474">
        <v>12003.68</v>
      </c>
      <c r="M474">
        <v>20</v>
      </c>
      <c r="N474" t="s">
        <v>27</v>
      </c>
      <c r="O474" t="s">
        <v>68</v>
      </c>
    </row>
    <row r="475" spans="1:15" x14ac:dyDescent="0.3">
      <c r="A475" t="s">
        <v>543</v>
      </c>
      <c r="B475" t="s">
        <v>78</v>
      </c>
      <c r="C475" t="s">
        <v>24</v>
      </c>
      <c r="D475">
        <v>23089.32</v>
      </c>
      <c r="E475">
        <v>2</v>
      </c>
      <c r="F475">
        <v>46178.64</v>
      </c>
      <c r="G475" s="1">
        <v>45564</v>
      </c>
      <c r="H475" t="s">
        <v>80</v>
      </c>
      <c r="I475">
        <v>3.1</v>
      </c>
      <c r="J475" t="s">
        <v>19</v>
      </c>
      <c r="K475">
        <v>2024</v>
      </c>
      <c r="L475">
        <v>9235.728000000001</v>
      </c>
      <c r="M475">
        <v>17</v>
      </c>
      <c r="N475" t="s">
        <v>41</v>
      </c>
      <c r="O475" t="s">
        <v>21</v>
      </c>
    </row>
    <row r="476" spans="1:15" x14ac:dyDescent="0.3">
      <c r="A476" t="s">
        <v>544</v>
      </c>
      <c r="B476" t="s">
        <v>145</v>
      </c>
      <c r="C476" t="s">
        <v>40</v>
      </c>
      <c r="D476">
        <v>32460.13</v>
      </c>
      <c r="E476">
        <v>4</v>
      </c>
      <c r="F476">
        <v>129840.52</v>
      </c>
      <c r="G476" s="1">
        <v>45410</v>
      </c>
      <c r="H476" t="s">
        <v>71</v>
      </c>
      <c r="I476">
        <v>3.7</v>
      </c>
      <c r="J476" t="s">
        <v>62</v>
      </c>
      <c r="K476">
        <v>2024</v>
      </c>
      <c r="L476">
        <v>25968.104000000003</v>
      </c>
      <c r="M476">
        <v>22</v>
      </c>
      <c r="N476" t="s">
        <v>27</v>
      </c>
      <c r="O476" t="s">
        <v>28</v>
      </c>
    </row>
    <row r="477" spans="1:15" x14ac:dyDescent="0.3">
      <c r="A477" t="s">
        <v>545</v>
      </c>
      <c r="B477" t="s">
        <v>35</v>
      </c>
      <c r="C477" t="s">
        <v>36</v>
      </c>
      <c r="D477">
        <v>29509.14</v>
      </c>
      <c r="E477">
        <v>3</v>
      </c>
      <c r="F477">
        <v>88527.42</v>
      </c>
      <c r="G477" s="1">
        <v>45641</v>
      </c>
      <c r="H477" t="s">
        <v>80</v>
      </c>
      <c r="I477">
        <v>4.0999999999999996</v>
      </c>
      <c r="J477" t="s">
        <v>26</v>
      </c>
      <c r="K477">
        <v>2024</v>
      </c>
      <c r="L477">
        <v>17705.484</v>
      </c>
      <c r="M477">
        <v>14</v>
      </c>
      <c r="N477" t="s">
        <v>41</v>
      </c>
      <c r="O477" t="s">
        <v>28</v>
      </c>
    </row>
    <row r="478" spans="1:15" x14ac:dyDescent="0.3">
      <c r="A478" t="s">
        <v>546</v>
      </c>
      <c r="B478" t="s">
        <v>16</v>
      </c>
      <c r="C478" t="s">
        <v>17</v>
      </c>
      <c r="D478">
        <v>5528.69</v>
      </c>
      <c r="E478">
        <v>3</v>
      </c>
      <c r="F478">
        <v>16586.07</v>
      </c>
      <c r="G478" s="1">
        <v>45546</v>
      </c>
      <c r="H478" t="s">
        <v>18</v>
      </c>
      <c r="I478">
        <v>4.2</v>
      </c>
      <c r="J478" t="s">
        <v>19</v>
      </c>
      <c r="K478">
        <v>2024</v>
      </c>
      <c r="L478">
        <v>3317.2139999999999</v>
      </c>
      <c r="M478">
        <v>23</v>
      </c>
      <c r="N478" t="s">
        <v>27</v>
      </c>
      <c r="O478" t="s">
        <v>33</v>
      </c>
    </row>
    <row r="479" spans="1:15" x14ac:dyDescent="0.3">
      <c r="A479" t="s">
        <v>547</v>
      </c>
      <c r="B479" t="s">
        <v>118</v>
      </c>
      <c r="C479" t="s">
        <v>17</v>
      </c>
      <c r="D479">
        <v>11864.67</v>
      </c>
      <c r="E479">
        <v>5</v>
      </c>
      <c r="F479">
        <v>59323.35</v>
      </c>
      <c r="G479" s="1">
        <v>45548</v>
      </c>
      <c r="H479" t="s">
        <v>80</v>
      </c>
      <c r="I479">
        <v>2.8</v>
      </c>
      <c r="J479" t="s">
        <v>19</v>
      </c>
      <c r="K479">
        <v>2024</v>
      </c>
      <c r="L479">
        <v>11864.67</v>
      </c>
      <c r="M479">
        <v>21</v>
      </c>
      <c r="N479" t="s">
        <v>27</v>
      </c>
      <c r="O479" t="s">
        <v>68</v>
      </c>
    </row>
    <row r="480" spans="1:15" x14ac:dyDescent="0.3">
      <c r="A480" t="s">
        <v>548</v>
      </c>
      <c r="B480" t="s">
        <v>145</v>
      </c>
      <c r="C480" t="s">
        <v>40</v>
      </c>
      <c r="D480">
        <v>14273.74</v>
      </c>
      <c r="E480">
        <v>2</v>
      </c>
      <c r="F480">
        <v>28547.48</v>
      </c>
      <c r="G480" s="1">
        <v>45645</v>
      </c>
      <c r="H480" t="s">
        <v>80</v>
      </c>
      <c r="I480">
        <v>3.8</v>
      </c>
      <c r="J480" t="s">
        <v>26</v>
      </c>
      <c r="K480">
        <v>2024</v>
      </c>
      <c r="L480">
        <v>5709.4960000000001</v>
      </c>
      <c r="M480">
        <v>28</v>
      </c>
      <c r="N480" t="s">
        <v>41</v>
      </c>
      <c r="O480" t="s">
        <v>33</v>
      </c>
    </row>
    <row r="481" spans="1:15" x14ac:dyDescent="0.3">
      <c r="A481" t="s">
        <v>549</v>
      </c>
      <c r="B481" t="s">
        <v>16</v>
      </c>
      <c r="C481" t="s">
        <v>17</v>
      </c>
      <c r="D481">
        <v>26806.06</v>
      </c>
      <c r="E481">
        <v>3</v>
      </c>
      <c r="F481">
        <v>80418.179999999993</v>
      </c>
      <c r="G481" s="1">
        <v>45492</v>
      </c>
      <c r="H481" t="s">
        <v>44</v>
      </c>
      <c r="I481">
        <v>4.3</v>
      </c>
      <c r="J481" t="s">
        <v>48</v>
      </c>
      <c r="K481">
        <v>2024</v>
      </c>
      <c r="L481">
        <v>16083.635999999999</v>
      </c>
      <c r="M481">
        <v>23</v>
      </c>
      <c r="N481" t="s">
        <v>41</v>
      </c>
      <c r="O481" t="s">
        <v>33</v>
      </c>
    </row>
    <row r="482" spans="1:15" x14ac:dyDescent="0.3">
      <c r="A482" t="s">
        <v>550</v>
      </c>
      <c r="B482" t="s">
        <v>52</v>
      </c>
      <c r="C482" t="s">
        <v>24</v>
      </c>
      <c r="D482">
        <v>18757.07</v>
      </c>
      <c r="E482">
        <v>4</v>
      </c>
      <c r="F482">
        <v>75028.28</v>
      </c>
      <c r="G482" s="1">
        <v>45612</v>
      </c>
      <c r="H482" t="s">
        <v>25</v>
      </c>
      <c r="I482">
        <v>4.2</v>
      </c>
      <c r="J482" t="s">
        <v>37</v>
      </c>
      <c r="K482">
        <v>2024</v>
      </c>
      <c r="L482">
        <v>15005.656000000001</v>
      </c>
      <c r="M482">
        <v>30</v>
      </c>
      <c r="N482" t="s">
        <v>41</v>
      </c>
      <c r="O482" t="s">
        <v>28</v>
      </c>
    </row>
    <row r="483" spans="1:15" x14ac:dyDescent="0.3">
      <c r="A483" t="s">
        <v>551</v>
      </c>
      <c r="B483" t="s">
        <v>125</v>
      </c>
      <c r="C483" t="s">
        <v>17</v>
      </c>
      <c r="D483">
        <v>19661.09</v>
      </c>
      <c r="E483">
        <v>4</v>
      </c>
      <c r="F483">
        <v>78644.36</v>
      </c>
      <c r="G483" s="1">
        <v>45444</v>
      </c>
      <c r="H483" t="s">
        <v>80</v>
      </c>
      <c r="I483">
        <v>2.5</v>
      </c>
      <c r="J483" t="s">
        <v>67</v>
      </c>
      <c r="K483">
        <v>2024</v>
      </c>
      <c r="L483">
        <v>15728.872000000001</v>
      </c>
      <c r="M483">
        <v>27</v>
      </c>
      <c r="N483" t="s">
        <v>27</v>
      </c>
      <c r="O483" t="s">
        <v>21</v>
      </c>
    </row>
    <row r="484" spans="1:15" x14ac:dyDescent="0.3">
      <c r="A484" t="s">
        <v>552</v>
      </c>
      <c r="B484" t="s">
        <v>125</v>
      </c>
      <c r="C484" t="s">
        <v>17</v>
      </c>
      <c r="D484">
        <v>27434.25</v>
      </c>
      <c r="E484">
        <v>1</v>
      </c>
      <c r="F484">
        <v>27434.25</v>
      </c>
      <c r="G484" s="1">
        <v>45353</v>
      </c>
      <c r="H484" t="s">
        <v>64</v>
      </c>
      <c r="I484">
        <v>3.8</v>
      </c>
      <c r="J484" t="s">
        <v>56</v>
      </c>
      <c r="K484">
        <v>2024</v>
      </c>
      <c r="L484">
        <v>5486.85</v>
      </c>
      <c r="M484">
        <v>30</v>
      </c>
      <c r="N484" t="s">
        <v>27</v>
      </c>
      <c r="O484" t="s">
        <v>21</v>
      </c>
    </row>
    <row r="485" spans="1:15" x14ac:dyDescent="0.3">
      <c r="A485" t="s">
        <v>553</v>
      </c>
      <c r="B485" t="s">
        <v>16</v>
      </c>
      <c r="C485" t="s">
        <v>17</v>
      </c>
      <c r="D485">
        <v>6322.42</v>
      </c>
      <c r="E485">
        <v>4</v>
      </c>
      <c r="F485">
        <v>25289.68</v>
      </c>
      <c r="G485" s="1">
        <v>45534</v>
      </c>
      <c r="H485" t="s">
        <v>25</v>
      </c>
      <c r="I485">
        <v>4</v>
      </c>
      <c r="J485" t="s">
        <v>88</v>
      </c>
      <c r="K485">
        <v>2024</v>
      </c>
      <c r="L485">
        <v>5057.9360000000006</v>
      </c>
      <c r="M485">
        <v>9</v>
      </c>
      <c r="N485" t="s">
        <v>20</v>
      </c>
      <c r="O485" t="s">
        <v>28</v>
      </c>
    </row>
    <row r="486" spans="1:15" x14ac:dyDescent="0.3">
      <c r="A486" t="s">
        <v>554</v>
      </c>
      <c r="B486" t="s">
        <v>70</v>
      </c>
      <c r="C486" t="s">
        <v>17</v>
      </c>
      <c r="D486">
        <v>4316.82</v>
      </c>
      <c r="E486">
        <v>2</v>
      </c>
      <c r="F486">
        <v>8633.64</v>
      </c>
      <c r="G486" s="1">
        <v>45414</v>
      </c>
      <c r="H486" t="s">
        <v>71</v>
      </c>
      <c r="I486">
        <v>3.6</v>
      </c>
      <c r="J486" t="s">
        <v>32</v>
      </c>
      <c r="K486">
        <v>2024</v>
      </c>
      <c r="L486">
        <v>1726.7280000000001</v>
      </c>
      <c r="M486">
        <v>30</v>
      </c>
      <c r="N486" t="s">
        <v>41</v>
      </c>
      <c r="O486" t="s">
        <v>21</v>
      </c>
    </row>
    <row r="487" spans="1:15" x14ac:dyDescent="0.3">
      <c r="A487" t="s">
        <v>555</v>
      </c>
      <c r="B487" t="s">
        <v>176</v>
      </c>
      <c r="C487" t="s">
        <v>24</v>
      </c>
      <c r="D487">
        <v>45426.39</v>
      </c>
      <c r="E487">
        <v>4</v>
      </c>
      <c r="F487">
        <v>181705.56</v>
      </c>
      <c r="G487" s="1">
        <v>45596</v>
      </c>
      <c r="H487" t="s">
        <v>80</v>
      </c>
      <c r="I487">
        <v>2.8</v>
      </c>
      <c r="J487" t="s">
        <v>45</v>
      </c>
      <c r="K487">
        <v>2024</v>
      </c>
      <c r="L487">
        <v>36341.112000000001</v>
      </c>
      <c r="M487">
        <v>25</v>
      </c>
      <c r="N487" t="s">
        <v>27</v>
      </c>
      <c r="O487" t="s">
        <v>33</v>
      </c>
    </row>
    <row r="488" spans="1:15" x14ac:dyDescent="0.3">
      <c r="A488" t="s">
        <v>556</v>
      </c>
      <c r="B488" t="s">
        <v>96</v>
      </c>
      <c r="C488" t="s">
        <v>36</v>
      </c>
      <c r="D488">
        <v>14971.45</v>
      </c>
      <c r="E488">
        <v>3</v>
      </c>
      <c r="F488">
        <v>44914.35</v>
      </c>
      <c r="G488" s="1">
        <v>45445</v>
      </c>
      <c r="H488" t="s">
        <v>25</v>
      </c>
      <c r="I488">
        <v>4.5</v>
      </c>
      <c r="J488" t="s">
        <v>67</v>
      </c>
      <c r="K488">
        <v>2024</v>
      </c>
      <c r="L488">
        <v>8982.8700000000008</v>
      </c>
      <c r="M488">
        <v>27</v>
      </c>
      <c r="N488" t="s">
        <v>27</v>
      </c>
      <c r="O488" t="s">
        <v>68</v>
      </c>
    </row>
    <row r="489" spans="1:15" x14ac:dyDescent="0.3">
      <c r="A489" t="s">
        <v>557</v>
      </c>
      <c r="B489" t="s">
        <v>84</v>
      </c>
      <c r="C489" t="s">
        <v>40</v>
      </c>
      <c r="D489">
        <v>12245.12</v>
      </c>
      <c r="E489">
        <v>2</v>
      </c>
      <c r="F489">
        <v>24490.240000000002</v>
      </c>
      <c r="G489" s="1">
        <v>45531</v>
      </c>
      <c r="H489" t="s">
        <v>64</v>
      </c>
      <c r="I489">
        <v>4.5</v>
      </c>
      <c r="J489" t="s">
        <v>88</v>
      </c>
      <c r="K489">
        <v>2024</v>
      </c>
      <c r="L489">
        <v>4898.0480000000007</v>
      </c>
      <c r="M489">
        <v>13</v>
      </c>
      <c r="N489" t="s">
        <v>41</v>
      </c>
      <c r="O489" t="s">
        <v>28</v>
      </c>
    </row>
    <row r="490" spans="1:15" x14ac:dyDescent="0.3">
      <c r="A490" t="s">
        <v>558</v>
      </c>
      <c r="B490" t="s">
        <v>74</v>
      </c>
      <c r="C490" t="s">
        <v>17</v>
      </c>
      <c r="D490">
        <v>48405.89</v>
      </c>
      <c r="E490">
        <v>4</v>
      </c>
      <c r="F490">
        <v>193623.56</v>
      </c>
      <c r="G490" s="1">
        <v>45382</v>
      </c>
      <c r="H490" t="s">
        <v>44</v>
      </c>
      <c r="I490">
        <v>4.9000000000000004</v>
      </c>
      <c r="J490" t="s">
        <v>56</v>
      </c>
      <c r="K490">
        <v>2024</v>
      </c>
      <c r="L490">
        <v>38724.712</v>
      </c>
      <c r="M490">
        <v>16</v>
      </c>
      <c r="N490" t="s">
        <v>20</v>
      </c>
      <c r="O490" t="s">
        <v>68</v>
      </c>
    </row>
    <row r="491" spans="1:15" x14ac:dyDescent="0.3">
      <c r="A491" t="s">
        <v>559</v>
      </c>
      <c r="B491" t="s">
        <v>94</v>
      </c>
      <c r="C491" t="s">
        <v>31</v>
      </c>
      <c r="D491">
        <v>12757.67</v>
      </c>
      <c r="E491">
        <v>5</v>
      </c>
      <c r="F491">
        <v>63788.35</v>
      </c>
      <c r="G491" s="1">
        <v>45615</v>
      </c>
      <c r="H491" t="s">
        <v>25</v>
      </c>
      <c r="I491">
        <v>3.3</v>
      </c>
      <c r="J491" t="s">
        <v>37</v>
      </c>
      <c r="K491">
        <v>2024</v>
      </c>
      <c r="L491">
        <v>12757.67</v>
      </c>
      <c r="M491">
        <v>25</v>
      </c>
      <c r="N491" t="s">
        <v>41</v>
      </c>
      <c r="O491" t="s">
        <v>21</v>
      </c>
    </row>
    <row r="492" spans="1:15" x14ac:dyDescent="0.3">
      <c r="A492" t="s">
        <v>560</v>
      </c>
      <c r="B492" t="s">
        <v>176</v>
      </c>
      <c r="C492" t="s">
        <v>24</v>
      </c>
      <c r="D492">
        <v>33071.089999999997</v>
      </c>
      <c r="E492">
        <v>2</v>
      </c>
      <c r="F492">
        <v>66142.179999999993</v>
      </c>
      <c r="G492" s="1">
        <v>45570</v>
      </c>
      <c r="H492" t="s">
        <v>64</v>
      </c>
      <c r="I492">
        <v>3.5</v>
      </c>
      <c r="J492" t="s">
        <v>45</v>
      </c>
      <c r="K492">
        <v>2024</v>
      </c>
      <c r="L492">
        <v>13228.436</v>
      </c>
      <c r="M492">
        <v>5</v>
      </c>
      <c r="N492" t="s">
        <v>20</v>
      </c>
      <c r="O492" t="s">
        <v>68</v>
      </c>
    </row>
    <row r="493" spans="1:15" x14ac:dyDescent="0.3">
      <c r="A493" t="s">
        <v>561</v>
      </c>
      <c r="B493" t="s">
        <v>94</v>
      </c>
      <c r="C493" t="s">
        <v>31</v>
      </c>
      <c r="D493">
        <v>4869.5600000000004</v>
      </c>
      <c r="E493">
        <v>1</v>
      </c>
      <c r="F493">
        <v>4869.5600000000004</v>
      </c>
      <c r="G493" s="1">
        <v>45386</v>
      </c>
      <c r="H493" t="s">
        <v>25</v>
      </c>
      <c r="I493">
        <v>1.9</v>
      </c>
      <c r="J493" t="s">
        <v>62</v>
      </c>
      <c r="K493">
        <v>2024</v>
      </c>
      <c r="L493">
        <v>973.91200000000015</v>
      </c>
      <c r="M493">
        <v>30</v>
      </c>
      <c r="N493" t="s">
        <v>27</v>
      </c>
      <c r="O493" t="s">
        <v>21</v>
      </c>
    </row>
    <row r="494" spans="1:15" x14ac:dyDescent="0.3">
      <c r="A494" t="s">
        <v>562</v>
      </c>
      <c r="B494" t="s">
        <v>78</v>
      </c>
      <c r="C494" t="s">
        <v>24</v>
      </c>
      <c r="D494">
        <v>45127.31</v>
      </c>
      <c r="E494">
        <v>4</v>
      </c>
      <c r="F494">
        <v>180509.24</v>
      </c>
      <c r="G494" s="1">
        <v>45672</v>
      </c>
      <c r="H494" t="s">
        <v>64</v>
      </c>
      <c r="I494">
        <v>4.2</v>
      </c>
      <c r="J494" t="s">
        <v>53</v>
      </c>
      <c r="K494">
        <v>2025</v>
      </c>
      <c r="L494">
        <v>36101.847999999998</v>
      </c>
      <c r="M494">
        <v>30</v>
      </c>
      <c r="N494" t="s">
        <v>20</v>
      </c>
      <c r="O494" t="s">
        <v>21</v>
      </c>
    </row>
    <row r="495" spans="1:15" x14ac:dyDescent="0.3">
      <c r="A495" t="s">
        <v>563</v>
      </c>
      <c r="B495" t="s">
        <v>84</v>
      </c>
      <c r="C495" t="s">
        <v>40</v>
      </c>
      <c r="D495">
        <v>8867.7199999999993</v>
      </c>
      <c r="E495">
        <v>1</v>
      </c>
      <c r="F495">
        <v>8867.7199999999993</v>
      </c>
      <c r="G495" s="1">
        <v>45566</v>
      </c>
      <c r="H495" t="s">
        <v>80</v>
      </c>
      <c r="I495">
        <v>4.3</v>
      </c>
      <c r="J495" t="s">
        <v>45</v>
      </c>
      <c r="K495">
        <v>2024</v>
      </c>
      <c r="L495">
        <v>1773.5439999999999</v>
      </c>
      <c r="M495">
        <v>5</v>
      </c>
      <c r="N495" t="s">
        <v>27</v>
      </c>
      <c r="O495" t="s">
        <v>33</v>
      </c>
    </row>
    <row r="496" spans="1:15" x14ac:dyDescent="0.3">
      <c r="A496" t="s">
        <v>564</v>
      </c>
      <c r="B496" t="s">
        <v>39</v>
      </c>
      <c r="C496" t="s">
        <v>40</v>
      </c>
      <c r="D496">
        <v>31749.94</v>
      </c>
      <c r="E496">
        <v>1</v>
      </c>
      <c r="F496">
        <v>31749.94</v>
      </c>
      <c r="G496" s="1">
        <v>45437</v>
      </c>
      <c r="H496" t="s">
        <v>64</v>
      </c>
      <c r="I496">
        <v>3.1</v>
      </c>
      <c r="J496" t="s">
        <v>32</v>
      </c>
      <c r="K496">
        <v>2024</v>
      </c>
      <c r="L496">
        <v>6349.9880000000003</v>
      </c>
      <c r="M496">
        <v>19</v>
      </c>
      <c r="N496" t="s">
        <v>41</v>
      </c>
      <c r="O496" t="s">
        <v>21</v>
      </c>
    </row>
    <row r="497" spans="1:15" x14ac:dyDescent="0.3">
      <c r="A497" t="s">
        <v>565</v>
      </c>
      <c r="B497" t="s">
        <v>100</v>
      </c>
      <c r="C497" t="s">
        <v>31</v>
      </c>
      <c r="D497">
        <v>40944.769999999997</v>
      </c>
      <c r="E497">
        <v>2</v>
      </c>
      <c r="F497">
        <v>81889.539999999994</v>
      </c>
      <c r="G497" s="1">
        <v>45599</v>
      </c>
      <c r="H497" t="s">
        <v>71</v>
      </c>
      <c r="I497">
        <v>2.9</v>
      </c>
      <c r="J497" t="s">
        <v>37</v>
      </c>
      <c r="K497">
        <v>2024</v>
      </c>
      <c r="L497">
        <v>16377.907999999999</v>
      </c>
      <c r="M497">
        <v>6</v>
      </c>
      <c r="N497" t="s">
        <v>41</v>
      </c>
      <c r="O497" t="s">
        <v>33</v>
      </c>
    </row>
    <row r="498" spans="1:15" x14ac:dyDescent="0.3">
      <c r="A498" t="s">
        <v>566</v>
      </c>
      <c r="B498" t="s">
        <v>50</v>
      </c>
      <c r="C498" t="s">
        <v>40</v>
      </c>
      <c r="D498">
        <v>20859.61</v>
      </c>
      <c r="E498">
        <v>4</v>
      </c>
      <c r="F498">
        <v>83438.44</v>
      </c>
      <c r="G498" s="1">
        <v>45406</v>
      </c>
      <c r="H498" t="s">
        <v>44</v>
      </c>
      <c r="I498">
        <v>4.9000000000000004</v>
      </c>
      <c r="J498" t="s">
        <v>62</v>
      </c>
      <c r="K498">
        <v>2024</v>
      </c>
      <c r="L498">
        <v>16687.688000000002</v>
      </c>
      <c r="M498">
        <v>26</v>
      </c>
      <c r="N498" t="s">
        <v>41</v>
      </c>
      <c r="O498" t="s">
        <v>33</v>
      </c>
    </row>
    <row r="499" spans="1:15" x14ac:dyDescent="0.3">
      <c r="A499" t="s">
        <v>567</v>
      </c>
      <c r="B499" t="s">
        <v>16</v>
      </c>
      <c r="C499" t="s">
        <v>17</v>
      </c>
      <c r="D499">
        <v>6884.74</v>
      </c>
      <c r="E499">
        <v>5</v>
      </c>
      <c r="F499">
        <v>34423.699999999997</v>
      </c>
      <c r="G499" s="1">
        <v>45516</v>
      </c>
      <c r="H499" t="s">
        <v>80</v>
      </c>
      <c r="I499">
        <v>1.4</v>
      </c>
      <c r="J499" t="s">
        <v>88</v>
      </c>
      <c r="K499">
        <v>2024</v>
      </c>
      <c r="L499">
        <v>6884.74</v>
      </c>
      <c r="M499">
        <v>20</v>
      </c>
      <c r="N499" t="s">
        <v>20</v>
      </c>
      <c r="O499" t="s">
        <v>33</v>
      </c>
    </row>
    <row r="500" spans="1:15" x14ac:dyDescent="0.3">
      <c r="A500" t="s">
        <v>568</v>
      </c>
      <c r="B500" t="s">
        <v>23</v>
      </c>
      <c r="C500" t="s">
        <v>24</v>
      </c>
      <c r="D500">
        <v>40238.5</v>
      </c>
      <c r="E500">
        <v>3</v>
      </c>
      <c r="F500">
        <v>120715.5</v>
      </c>
      <c r="G500" s="1">
        <v>45494</v>
      </c>
      <c r="H500" t="s">
        <v>44</v>
      </c>
      <c r="I500">
        <v>3.9</v>
      </c>
      <c r="J500" t="s">
        <v>48</v>
      </c>
      <c r="K500">
        <v>2024</v>
      </c>
      <c r="L500">
        <v>24143.100000000002</v>
      </c>
      <c r="M500">
        <v>29</v>
      </c>
      <c r="N500" t="s">
        <v>27</v>
      </c>
      <c r="O500" t="s">
        <v>28</v>
      </c>
    </row>
    <row r="501" spans="1:15" x14ac:dyDescent="0.3">
      <c r="A501" t="s">
        <v>569</v>
      </c>
      <c r="B501" t="s">
        <v>66</v>
      </c>
      <c r="C501" t="s">
        <v>36</v>
      </c>
      <c r="D501">
        <v>10422.280000000001</v>
      </c>
      <c r="E501">
        <v>5</v>
      </c>
      <c r="F501">
        <v>52111.4</v>
      </c>
      <c r="G501" s="1">
        <v>45469</v>
      </c>
      <c r="H501" t="s">
        <v>80</v>
      </c>
      <c r="I501">
        <v>3.5</v>
      </c>
      <c r="J501" t="s">
        <v>67</v>
      </c>
      <c r="K501">
        <v>2024</v>
      </c>
      <c r="L501">
        <v>10422.280000000001</v>
      </c>
      <c r="M501">
        <v>12</v>
      </c>
      <c r="N501" t="s">
        <v>41</v>
      </c>
      <c r="O501" t="s">
        <v>28</v>
      </c>
    </row>
    <row r="502" spans="1:15" x14ac:dyDescent="0.3">
      <c r="A502" t="s">
        <v>570</v>
      </c>
      <c r="B502" t="s">
        <v>125</v>
      </c>
      <c r="C502" t="s">
        <v>17</v>
      </c>
      <c r="D502">
        <v>13862.56</v>
      </c>
      <c r="E502">
        <v>1</v>
      </c>
      <c r="F502">
        <v>13862.56</v>
      </c>
      <c r="G502" s="1">
        <v>45657</v>
      </c>
      <c r="H502" t="s">
        <v>44</v>
      </c>
      <c r="I502">
        <v>1.6</v>
      </c>
      <c r="J502" t="s">
        <v>26</v>
      </c>
      <c r="K502">
        <v>2024</v>
      </c>
      <c r="L502">
        <v>2772.5120000000002</v>
      </c>
      <c r="M502">
        <v>17</v>
      </c>
      <c r="N502" t="s">
        <v>41</v>
      </c>
      <c r="O502" t="s">
        <v>21</v>
      </c>
    </row>
    <row r="503" spans="1:15" x14ac:dyDescent="0.3">
      <c r="A503" t="s">
        <v>571</v>
      </c>
      <c r="B503" t="s">
        <v>30</v>
      </c>
      <c r="C503" t="s">
        <v>31</v>
      </c>
      <c r="D503">
        <v>35911.22</v>
      </c>
      <c r="E503">
        <v>4</v>
      </c>
      <c r="F503">
        <v>143644.88</v>
      </c>
      <c r="G503" s="1">
        <v>45547</v>
      </c>
      <c r="H503" t="s">
        <v>71</v>
      </c>
      <c r="I503">
        <v>4.0999999999999996</v>
      </c>
      <c r="J503" t="s">
        <v>19</v>
      </c>
      <c r="K503">
        <v>2024</v>
      </c>
      <c r="L503">
        <v>28728.976000000002</v>
      </c>
      <c r="M503">
        <v>25</v>
      </c>
      <c r="N503" t="s">
        <v>27</v>
      </c>
      <c r="O503" t="s">
        <v>33</v>
      </c>
    </row>
    <row r="504" spans="1:15" x14ac:dyDescent="0.3">
      <c r="A504" t="s">
        <v>572</v>
      </c>
      <c r="B504" t="s">
        <v>52</v>
      </c>
      <c r="C504" t="s">
        <v>24</v>
      </c>
      <c r="D504">
        <v>16523.689999999999</v>
      </c>
      <c r="E504">
        <v>3</v>
      </c>
      <c r="F504">
        <v>49571.07</v>
      </c>
      <c r="G504" s="1">
        <v>45521</v>
      </c>
      <c r="H504" t="s">
        <v>71</v>
      </c>
      <c r="I504">
        <v>2.8</v>
      </c>
      <c r="J504" t="s">
        <v>88</v>
      </c>
      <c r="K504">
        <v>2024</v>
      </c>
      <c r="L504">
        <v>9914.2139999999999</v>
      </c>
      <c r="M504">
        <v>5</v>
      </c>
      <c r="N504" t="s">
        <v>41</v>
      </c>
      <c r="O504" t="s">
        <v>28</v>
      </c>
    </row>
    <row r="505" spans="1:15" x14ac:dyDescent="0.3">
      <c r="A505" t="s">
        <v>573</v>
      </c>
      <c r="B505" t="s">
        <v>61</v>
      </c>
      <c r="C505" t="s">
        <v>31</v>
      </c>
      <c r="D505">
        <v>6566.03</v>
      </c>
      <c r="E505">
        <v>5</v>
      </c>
      <c r="F505">
        <v>32830.15</v>
      </c>
      <c r="G505" s="1">
        <v>45402</v>
      </c>
      <c r="H505" t="s">
        <v>64</v>
      </c>
      <c r="I505">
        <v>2.6</v>
      </c>
      <c r="J505" t="s">
        <v>62</v>
      </c>
      <c r="K505">
        <v>2024</v>
      </c>
      <c r="L505">
        <v>6566.0300000000007</v>
      </c>
      <c r="M505">
        <v>20</v>
      </c>
      <c r="N505" t="s">
        <v>27</v>
      </c>
      <c r="O505" t="s">
        <v>33</v>
      </c>
    </row>
    <row r="506" spans="1:15" x14ac:dyDescent="0.3">
      <c r="A506" t="s">
        <v>574</v>
      </c>
      <c r="B506" t="s">
        <v>84</v>
      </c>
      <c r="C506" t="s">
        <v>40</v>
      </c>
      <c r="D506">
        <v>18799.05</v>
      </c>
      <c r="E506">
        <v>3</v>
      </c>
      <c r="F506">
        <v>56397.15</v>
      </c>
      <c r="G506" s="1">
        <v>45689</v>
      </c>
      <c r="H506" t="s">
        <v>25</v>
      </c>
      <c r="I506">
        <v>4.3</v>
      </c>
      <c r="J506" t="s">
        <v>59</v>
      </c>
      <c r="K506">
        <v>2025</v>
      </c>
      <c r="L506">
        <v>11279.43</v>
      </c>
      <c r="M506">
        <v>11</v>
      </c>
      <c r="N506" t="s">
        <v>27</v>
      </c>
      <c r="O506" t="s">
        <v>68</v>
      </c>
    </row>
    <row r="507" spans="1:15" x14ac:dyDescent="0.3">
      <c r="A507" t="s">
        <v>575</v>
      </c>
      <c r="B507" t="s">
        <v>107</v>
      </c>
      <c r="C507" t="s">
        <v>36</v>
      </c>
      <c r="D507">
        <v>8436.7099999999991</v>
      </c>
      <c r="E507">
        <v>5</v>
      </c>
      <c r="F507">
        <v>42183.55</v>
      </c>
      <c r="G507" s="1">
        <v>45395</v>
      </c>
      <c r="H507" t="s">
        <v>44</v>
      </c>
      <c r="I507">
        <v>4.9000000000000004</v>
      </c>
      <c r="J507" t="s">
        <v>62</v>
      </c>
      <c r="K507">
        <v>2024</v>
      </c>
      <c r="L507">
        <v>8436.7100000000009</v>
      </c>
      <c r="M507">
        <v>9</v>
      </c>
      <c r="N507" t="s">
        <v>27</v>
      </c>
      <c r="O507" t="s">
        <v>68</v>
      </c>
    </row>
    <row r="508" spans="1:15" x14ac:dyDescent="0.3">
      <c r="A508" t="s">
        <v>576</v>
      </c>
      <c r="B508" t="s">
        <v>39</v>
      </c>
      <c r="C508" t="s">
        <v>40</v>
      </c>
      <c r="D508">
        <v>19380.5</v>
      </c>
      <c r="E508">
        <v>4</v>
      </c>
      <c r="F508">
        <v>77522</v>
      </c>
      <c r="G508" s="1">
        <v>45466</v>
      </c>
      <c r="H508" t="s">
        <v>25</v>
      </c>
      <c r="I508">
        <v>3.3</v>
      </c>
      <c r="J508" t="s">
        <v>67</v>
      </c>
      <c r="K508">
        <v>2024</v>
      </c>
      <c r="L508">
        <v>15504.400000000001</v>
      </c>
      <c r="M508">
        <v>26</v>
      </c>
      <c r="N508" t="s">
        <v>27</v>
      </c>
      <c r="O508" t="s">
        <v>68</v>
      </c>
    </row>
    <row r="509" spans="1:15" x14ac:dyDescent="0.3">
      <c r="A509" t="s">
        <v>577</v>
      </c>
      <c r="B509" t="s">
        <v>61</v>
      </c>
      <c r="C509" t="s">
        <v>31</v>
      </c>
      <c r="D509">
        <v>20228.05</v>
      </c>
      <c r="E509">
        <v>3</v>
      </c>
      <c r="F509">
        <v>60684.15</v>
      </c>
      <c r="G509" s="1">
        <v>45689</v>
      </c>
      <c r="H509" t="s">
        <v>25</v>
      </c>
      <c r="I509">
        <v>1.2</v>
      </c>
      <c r="J509" t="s">
        <v>59</v>
      </c>
      <c r="K509">
        <v>2025</v>
      </c>
      <c r="L509">
        <v>12136.830000000002</v>
      </c>
      <c r="M509">
        <v>27</v>
      </c>
      <c r="N509" t="s">
        <v>27</v>
      </c>
      <c r="O509" t="s">
        <v>21</v>
      </c>
    </row>
    <row r="510" spans="1:15" x14ac:dyDescent="0.3">
      <c r="A510" t="s">
        <v>578</v>
      </c>
      <c r="B510" t="s">
        <v>96</v>
      </c>
      <c r="C510" t="s">
        <v>36</v>
      </c>
      <c r="D510">
        <v>28606.86</v>
      </c>
      <c r="E510">
        <v>5</v>
      </c>
      <c r="F510">
        <v>143034.29999999999</v>
      </c>
      <c r="G510" s="1">
        <v>45520</v>
      </c>
      <c r="H510" t="s">
        <v>25</v>
      </c>
      <c r="I510">
        <v>4.8</v>
      </c>
      <c r="J510" t="s">
        <v>88</v>
      </c>
      <c r="K510">
        <v>2024</v>
      </c>
      <c r="L510">
        <v>28606.86</v>
      </c>
      <c r="M510">
        <v>7</v>
      </c>
      <c r="N510" t="s">
        <v>20</v>
      </c>
      <c r="O510" t="s">
        <v>33</v>
      </c>
    </row>
    <row r="511" spans="1:15" x14ac:dyDescent="0.3">
      <c r="A511" t="s">
        <v>579</v>
      </c>
      <c r="B511" t="s">
        <v>118</v>
      </c>
      <c r="C511" t="s">
        <v>17</v>
      </c>
      <c r="D511">
        <v>16803.759999999998</v>
      </c>
      <c r="E511">
        <v>4</v>
      </c>
      <c r="F511">
        <v>67215.039999999994</v>
      </c>
      <c r="G511" s="1">
        <v>45438</v>
      </c>
      <c r="H511" t="s">
        <v>44</v>
      </c>
      <c r="I511">
        <v>4</v>
      </c>
      <c r="J511" t="s">
        <v>32</v>
      </c>
      <c r="K511">
        <v>2024</v>
      </c>
      <c r="L511">
        <v>13443.008</v>
      </c>
      <c r="M511">
        <v>16</v>
      </c>
      <c r="N511" t="s">
        <v>41</v>
      </c>
      <c r="O511" t="s">
        <v>68</v>
      </c>
    </row>
    <row r="512" spans="1:15" x14ac:dyDescent="0.3">
      <c r="A512" t="s">
        <v>580</v>
      </c>
      <c r="B512" t="s">
        <v>30</v>
      </c>
      <c r="C512" t="s">
        <v>31</v>
      </c>
      <c r="D512">
        <v>18093.34</v>
      </c>
      <c r="E512">
        <v>5</v>
      </c>
      <c r="F512">
        <v>90466.7</v>
      </c>
      <c r="G512" s="1">
        <v>45678</v>
      </c>
      <c r="H512" t="s">
        <v>71</v>
      </c>
      <c r="I512">
        <v>4.2</v>
      </c>
      <c r="J512" t="s">
        <v>53</v>
      </c>
      <c r="K512">
        <v>2025</v>
      </c>
      <c r="L512">
        <v>18093.34</v>
      </c>
      <c r="M512">
        <v>30</v>
      </c>
      <c r="N512" t="s">
        <v>20</v>
      </c>
      <c r="O512" t="s">
        <v>28</v>
      </c>
    </row>
    <row r="513" spans="1:15" x14ac:dyDescent="0.3">
      <c r="A513" t="s">
        <v>581</v>
      </c>
      <c r="B513" t="s">
        <v>55</v>
      </c>
      <c r="C513" t="s">
        <v>36</v>
      </c>
      <c r="D513">
        <v>31737.13</v>
      </c>
      <c r="E513">
        <v>5</v>
      </c>
      <c r="F513">
        <v>158685.65</v>
      </c>
      <c r="G513" s="1">
        <v>45394</v>
      </c>
      <c r="H513" t="s">
        <v>80</v>
      </c>
      <c r="I513">
        <v>4</v>
      </c>
      <c r="J513" t="s">
        <v>62</v>
      </c>
      <c r="K513">
        <v>2024</v>
      </c>
      <c r="L513">
        <v>31737.13</v>
      </c>
      <c r="M513">
        <v>20</v>
      </c>
      <c r="N513" t="s">
        <v>41</v>
      </c>
      <c r="O513" t="s">
        <v>68</v>
      </c>
    </row>
    <row r="514" spans="1:15" x14ac:dyDescent="0.3">
      <c r="A514" t="s">
        <v>582</v>
      </c>
      <c r="B514" t="s">
        <v>61</v>
      </c>
      <c r="C514" t="s">
        <v>31</v>
      </c>
      <c r="D514">
        <v>49861.17</v>
      </c>
      <c r="E514">
        <v>3</v>
      </c>
      <c r="F514">
        <v>149583.51</v>
      </c>
      <c r="G514" s="1">
        <v>45559</v>
      </c>
      <c r="H514" t="s">
        <v>25</v>
      </c>
      <c r="I514">
        <v>2.5</v>
      </c>
      <c r="J514" t="s">
        <v>19</v>
      </c>
      <c r="K514">
        <v>2024</v>
      </c>
      <c r="L514">
        <v>29916.702000000005</v>
      </c>
      <c r="M514">
        <v>23</v>
      </c>
      <c r="N514" t="s">
        <v>20</v>
      </c>
      <c r="O514" t="s">
        <v>68</v>
      </c>
    </row>
    <row r="515" spans="1:15" x14ac:dyDescent="0.3">
      <c r="A515" t="s">
        <v>583</v>
      </c>
      <c r="B515" t="s">
        <v>16</v>
      </c>
      <c r="C515" t="s">
        <v>17</v>
      </c>
      <c r="D515">
        <v>21233.35</v>
      </c>
      <c r="E515">
        <v>1</v>
      </c>
      <c r="F515">
        <v>21233.35</v>
      </c>
      <c r="G515" s="1">
        <v>45537</v>
      </c>
      <c r="H515" t="s">
        <v>64</v>
      </c>
      <c r="I515">
        <v>1.7</v>
      </c>
      <c r="J515" t="s">
        <v>19</v>
      </c>
      <c r="K515">
        <v>2024</v>
      </c>
      <c r="L515">
        <v>4246.67</v>
      </c>
      <c r="M515">
        <v>9</v>
      </c>
      <c r="N515" t="s">
        <v>27</v>
      </c>
      <c r="O515" t="s">
        <v>68</v>
      </c>
    </row>
    <row r="516" spans="1:15" x14ac:dyDescent="0.3">
      <c r="A516" t="s">
        <v>584</v>
      </c>
      <c r="B516" t="s">
        <v>145</v>
      </c>
      <c r="C516" t="s">
        <v>40</v>
      </c>
      <c r="D516">
        <v>776.91</v>
      </c>
      <c r="E516">
        <v>5</v>
      </c>
      <c r="F516">
        <v>3884.55</v>
      </c>
      <c r="G516" s="1">
        <v>45489</v>
      </c>
      <c r="H516" t="s">
        <v>64</v>
      </c>
      <c r="I516">
        <v>4.2</v>
      </c>
      <c r="J516" t="s">
        <v>48</v>
      </c>
      <c r="K516">
        <v>2024</v>
      </c>
      <c r="L516">
        <v>776.91000000000008</v>
      </c>
      <c r="M516">
        <v>26</v>
      </c>
      <c r="N516" t="s">
        <v>41</v>
      </c>
      <c r="O516" t="s">
        <v>21</v>
      </c>
    </row>
    <row r="517" spans="1:15" x14ac:dyDescent="0.3">
      <c r="A517" t="s">
        <v>585</v>
      </c>
      <c r="B517" t="s">
        <v>61</v>
      </c>
      <c r="C517" t="s">
        <v>31</v>
      </c>
      <c r="D517">
        <v>25542.71</v>
      </c>
      <c r="E517">
        <v>1</v>
      </c>
      <c r="F517">
        <v>25542.71</v>
      </c>
      <c r="G517" s="1">
        <v>45640</v>
      </c>
      <c r="H517" t="s">
        <v>25</v>
      </c>
      <c r="I517">
        <v>2.2000000000000002</v>
      </c>
      <c r="J517" t="s">
        <v>26</v>
      </c>
      <c r="K517">
        <v>2024</v>
      </c>
      <c r="L517">
        <v>5108.5420000000004</v>
      </c>
      <c r="M517">
        <v>29</v>
      </c>
      <c r="N517" t="s">
        <v>41</v>
      </c>
      <c r="O517" t="s">
        <v>28</v>
      </c>
    </row>
    <row r="518" spans="1:15" x14ac:dyDescent="0.3">
      <c r="A518" t="s">
        <v>586</v>
      </c>
      <c r="B518" t="s">
        <v>47</v>
      </c>
      <c r="C518" t="s">
        <v>24</v>
      </c>
      <c r="D518">
        <v>10818.28</v>
      </c>
      <c r="E518">
        <v>5</v>
      </c>
      <c r="F518">
        <v>54091.4</v>
      </c>
      <c r="G518" s="1">
        <v>45495</v>
      </c>
      <c r="H518" t="s">
        <v>25</v>
      </c>
      <c r="I518">
        <v>1.6</v>
      </c>
      <c r="J518" t="s">
        <v>48</v>
      </c>
      <c r="K518">
        <v>2024</v>
      </c>
      <c r="L518">
        <v>10818.28</v>
      </c>
      <c r="M518">
        <v>18</v>
      </c>
      <c r="N518" t="s">
        <v>20</v>
      </c>
      <c r="O518" t="s">
        <v>33</v>
      </c>
    </row>
    <row r="519" spans="1:15" x14ac:dyDescent="0.3">
      <c r="A519" t="s">
        <v>587</v>
      </c>
      <c r="B519" t="s">
        <v>55</v>
      </c>
      <c r="C519" t="s">
        <v>36</v>
      </c>
      <c r="D519">
        <v>45801.19</v>
      </c>
      <c r="E519">
        <v>5</v>
      </c>
      <c r="F519">
        <v>229005.95</v>
      </c>
      <c r="G519" s="1">
        <v>45589</v>
      </c>
      <c r="H519" t="s">
        <v>71</v>
      </c>
      <c r="I519">
        <v>2.4</v>
      </c>
      <c r="J519" t="s">
        <v>45</v>
      </c>
      <c r="K519">
        <v>2024</v>
      </c>
      <c r="L519">
        <v>45801.19</v>
      </c>
      <c r="M519">
        <v>9</v>
      </c>
      <c r="N519" t="s">
        <v>20</v>
      </c>
      <c r="O519" t="s">
        <v>28</v>
      </c>
    </row>
    <row r="520" spans="1:15" x14ac:dyDescent="0.3">
      <c r="A520" t="s">
        <v>588</v>
      </c>
      <c r="B520" t="s">
        <v>30</v>
      </c>
      <c r="C520" t="s">
        <v>31</v>
      </c>
      <c r="D520">
        <v>6963.56</v>
      </c>
      <c r="E520">
        <v>2</v>
      </c>
      <c r="F520">
        <v>13927.12</v>
      </c>
      <c r="G520" s="1">
        <v>45632</v>
      </c>
      <c r="H520" t="s">
        <v>18</v>
      </c>
      <c r="I520">
        <v>3.3</v>
      </c>
      <c r="J520" t="s">
        <v>26</v>
      </c>
      <c r="K520">
        <v>2024</v>
      </c>
      <c r="L520">
        <v>2785.4240000000004</v>
      </c>
      <c r="M520">
        <v>19</v>
      </c>
      <c r="N520" t="s">
        <v>41</v>
      </c>
      <c r="O520" t="s">
        <v>33</v>
      </c>
    </row>
    <row r="521" spans="1:15" x14ac:dyDescent="0.3">
      <c r="A521" t="s">
        <v>589</v>
      </c>
      <c r="B521" t="s">
        <v>66</v>
      </c>
      <c r="C521" t="s">
        <v>36</v>
      </c>
      <c r="D521">
        <v>37082.11</v>
      </c>
      <c r="E521">
        <v>1</v>
      </c>
      <c r="F521">
        <v>37082.11</v>
      </c>
      <c r="G521" s="1">
        <v>45455</v>
      </c>
      <c r="H521" t="s">
        <v>25</v>
      </c>
      <c r="I521">
        <v>4.4000000000000004</v>
      </c>
      <c r="J521" t="s">
        <v>67</v>
      </c>
      <c r="K521">
        <v>2024</v>
      </c>
      <c r="L521">
        <v>7416.4220000000005</v>
      </c>
      <c r="M521">
        <v>21</v>
      </c>
      <c r="N521" t="s">
        <v>20</v>
      </c>
      <c r="O521" t="s">
        <v>21</v>
      </c>
    </row>
    <row r="522" spans="1:15" x14ac:dyDescent="0.3">
      <c r="A522" t="s">
        <v>590</v>
      </c>
      <c r="B522" t="s">
        <v>74</v>
      </c>
      <c r="C522" t="s">
        <v>17</v>
      </c>
      <c r="D522">
        <v>6842.69</v>
      </c>
      <c r="E522">
        <v>1</v>
      </c>
      <c r="F522">
        <v>6842.69</v>
      </c>
      <c r="G522" s="1">
        <v>45447</v>
      </c>
      <c r="H522" t="s">
        <v>25</v>
      </c>
      <c r="I522">
        <v>3.6</v>
      </c>
      <c r="J522" t="s">
        <v>67</v>
      </c>
      <c r="K522">
        <v>2024</v>
      </c>
      <c r="L522">
        <v>1368.538</v>
      </c>
      <c r="M522">
        <v>18</v>
      </c>
      <c r="N522" t="s">
        <v>20</v>
      </c>
      <c r="O522" t="s">
        <v>21</v>
      </c>
    </row>
    <row r="523" spans="1:15" x14ac:dyDescent="0.3">
      <c r="A523" t="s">
        <v>591</v>
      </c>
      <c r="B523" t="s">
        <v>58</v>
      </c>
      <c r="C523" t="s">
        <v>31</v>
      </c>
      <c r="D523">
        <v>7283.96</v>
      </c>
      <c r="E523">
        <v>1</v>
      </c>
      <c r="F523">
        <v>7283.96</v>
      </c>
      <c r="G523" s="1">
        <v>45390</v>
      </c>
      <c r="H523" t="s">
        <v>64</v>
      </c>
      <c r="I523">
        <v>2</v>
      </c>
      <c r="J523" t="s">
        <v>62</v>
      </c>
      <c r="K523">
        <v>2024</v>
      </c>
      <c r="L523">
        <v>1456.7920000000001</v>
      </c>
      <c r="M523">
        <v>24</v>
      </c>
      <c r="N523" t="s">
        <v>20</v>
      </c>
      <c r="O523" t="s">
        <v>21</v>
      </c>
    </row>
    <row r="524" spans="1:15" x14ac:dyDescent="0.3">
      <c r="A524" t="s">
        <v>592</v>
      </c>
      <c r="B524" t="s">
        <v>39</v>
      </c>
      <c r="C524" t="s">
        <v>40</v>
      </c>
      <c r="D524">
        <v>218.58</v>
      </c>
      <c r="E524">
        <v>5</v>
      </c>
      <c r="F524">
        <v>1092.9000000000001</v>
      </c>
      <c r="G524" s="1">
        <v>45402</v>
      </c>
      <c r="H524" t="s">
        <v>44</v>
      </c>
      <c r="I524">
        <v>4.8</v>
      </c>
      <c r="J524" t="s">
        <v>62</v>
      </c>
      <c r="K524">
        <v>2024</v>
      </c>
      <c r="L524">
        <v>218.58000000000004</v>
      </c>
      <c r="M524">
        <v>9</v>
      </c>
      <c r="N524" t="s">
        <v>27</v>
      </c>
      <c r="O524" t="s">
        <v>21</v>
      </c>
    </row>
    <row r="525" spans="1:15" x14ac:dyDescent="0.3">
      <c r="A525" t="s">
        <v>593</v>
      </c>
      <c r="B525" t="s">
        <v>96</v>
      </c>
      <c r="C525" t="s">
        <v>36</v>
      </c>
      <c r="D525">
        <v>38689.699999999997</v>
      </c>
      <c r="E525">
        <v>3</v>
      </c>
      <c r="F525">
        <v>116069.1</v>
      </c>
      <c r="G525" s="1">
        <v>45563</v>
      </c>
      <c r="H525" t="s">
        <v>18</v>
      </c>
      <c r="I525">
        <v>1.9</v>
      </c>
      <c r="J525" t="s">
        <v>19</v>
      </c>
      <c r="K525">
        <v>2024</v>
      </c>
      <c r="L525">
        <v>23213.820000000003</v>
      </c>
      <c r="M525">
        <v>16</v>
      </c>
      <c r="N525" t="s">
        <v>27</v>
      </c>
      <c r="O525" t="s">
        <v>33</v>
      </c>
    </row>
    <row r="526" spans="1:15" x14ac:dyDescent="0.3">
      <c r="A526" t="s">
        <v>594</v>
      </c>
      <c r="B526" t="s">
        <v>50</v>
      </c>
      <c r="C526" t="s">
        <v>40</v>
      </c>
      <c r="D526">
        <v>8863.9699999999993</v>
      </c>
      <c r="E526">
        <v>2</v>
      </c>
      <c r="F526">
        <v>17727.939999999999</v>
      </c>
      <c r="G526" s="1">
        <v>45561</v>
      </c>
      <c r="H526" t="s">
        <v>25</v>
      </c>
      <c r="I526">
        <v>4.5</v>
      </c>
      <c r="J526" t="s">
        <v>19</v>
      </c>
      <c r="K526">
        <v>2024</v>
      </c>
      <c r="L526">
        <v>3545.5879999999997</v>
      </c>
      <c r="M526">
        <v>20</v>
      </c>
      <c r="N526" t="s">
        <v>20</v>
      </c>
      <c r="O526" t="s">
        <v>68</v>
      </c>
    </row>
    <row r="527" spans="1:15" x14ac:dyDescent="0.3">
      <c r="A527" t="s">
        <v>595</v>
      </c>
      <c r="B527" t="s">
        <v>47</v>
      </c>
      <c r="C527" t="s">
        <v>24</v>
      </c>
      <c r="D527">
        <v>12472.17</v>
      </c>
      <c r="E527">
        <v>5</v>
      </c>
      <c r="F527">
        <v>62360.85</v>
      </c>
      <c r="G527" s="1">
        <v>45405</v>
      </c>
      <c r="H527" t="s">
        <v>25</v>
      </c>
      <c r="I527">
        <v>1.9</v>
      </c>
      <c r="J527" t="s">
        <v>62</v>
      </c>
      <c r="K527">
        <v>2024</v>
      </c>
      <c r="L527">
        <v>12472.17</v>
      </c>
      <c r="M527">
        <v>30</v>
      </c>
      <c r="N527" t="s">
        <v>20</v>
      </c>
      <c r="O527" t="s">
        <v>33</v>
      </c>
    </row>
    <row r="528" spans="1:15" x14ac:dyDescent="0.3">
      <c r="A528" t="s">
        <v>596</v>
      </c>
      <c r="B528" t="s">
        <v>23</v>
      </c>
      <c r="C528" t="s">
        <v>24</v>
      </c>
      <c r="D528">
        <v>8734.44</v>
      </c>
      <c r="E528">
        <v>1</v>
      </c>
      <c r="F528">
        <v>8734.44</v>
      </c>
      <c r="G528" s="1">
        <v>45591</v>
      </c>
      <c r="H528" t="s">
        <v>18</v>
      </c>
      <c r="I528">
        <v>2.5</v>
      </c>
      <c r="J528" t="s">
        <v>45</v>
      </c>
      <c r="K528">
        <v>2024</v>
      </c>
      <c r="L528">
        <v>1746.8880000000001</v>
      </c>
      <c r="M528">
        <v>30</v>
      </c>
      <c r="N528" t="s">
        <v>27</v>
      </c>
      <c r="O528" t="s">
        <v>28</v>
      </c>
    </row>
    <row r="529" spans="1:15" x14ac:dyDescent="0.3">
      <c r="A529" t="s">
        <v>597</v>
      </c>
      <c r="B529" t="s">
        <v>58</v>
      </c>
      <c r="C529" t="s">
        <v>31</v>
      </c>
      <c r="D529">
        <v>32422.04</v>
      </c>
      <c r="E529">
        <v>5</v>
      </c>
      <c r="F529">
        <v>162110.20000000001</v>
      </c>
      <c r="G529" s="1">
        <v>45340</v>
      </c>
      <c r="H529" t="s">
        <v>80</v>
      </c>
      <c r="I529">
        <v>1.9</v>
      </c>
      <c r="J529" t="s">
        <v>59</v>
      </c>
      <c r="K529">
        <v>2024</v>
      </c>
      <c r="L529">
        <v>32422.040000000005</v>
      </c>
      <c r="M529">
        <v>20</v>
      </c>
      <c r="N529" t="s">
        <v>27</v>
      </c>
      <c r="O529" t="s">
        <v>21</v>
      </c>
    </row>
    <row r="530" spans="1:15" x14ac:dyDescent="0.3">
      <c r="A530" t="s">
        <v>598</v>
      </c>
      <c r="B530" t="s">
        <v>96</v>
      </c>
      <c r="C530" t="s">
        <v>36</v>
      </c>
      <c r="D530">
        <v>45532.34</v>
      </c>
      <c r="E530">
        <v>5</v>
      </c>
      <c r="F530">
        <v>227661.7</v>
      </c>
      <c r="G530" s="1">
        <v>45410</v>
      </c>
      <c r="H530" t="s">
        <v>71</v>
      </c>
      <c r="I530">
        <v>3.6</v>
      </c>
      <c r="J530" t="s">
        <v>62</v>
      </c>
      <c r="K530">
        <v>2024</v>
      </c>
      <c r="L530">
        <v>45532.340000000004</v>
      </c>
      <c r="M530">
        <v>25</v>
      </c>
      <c r="N530" t="s">
        <v>41</v>
      </c>
      <c r="O530" t="s">
        <v>21</v>
      </c>
    </row>
    <row r="531" spans="1:15" x14ac:dyDescent="0.3">
      <c r="A531" t="s">
        <v>599</v>
      </c>
      <c r="B531" t="s">
        <v>30</v>
      </c>
      <c r="C531" t="s">
        <v>31</v>
      </c>
      <c r="D531">
        <v>22534.799999999999</v>
      </c>
      <c r="E531">
        <v>4</v>
      </c>
      <c r="F531">
        <v>90139.199999999997</v>
      </c>
      <c r="G531" s="1">
        <v>45534</v>
      </c>
      <c r="H531" t="s">
        <v>64</v>
      </c>
      <c r="I531">
        <v>1.4</v>
      </c>
      <c r="J531" t="s">
        <v>88</v>
      </c>
      <c r="K531">
        <v>2024</v>
      </c>
      <c r="L531">
        <v>18027.84</v>
      </c>
      <c r="M531">
        <v>11</v>
      </c>
      <c r="N531" t="s">
        <v>41</v>
      </c>
      <c r="O531" t="s">
        <v>28</v>
      </c>
    </row>
    <row r="532" spans="1:15" x14ac:dyDescent="0.3">
      <c r="A532" t="s">
        <v>600</v>
      </c>
      <c r="B532" t="s">
        <v>125</v>
      </c>
      <c r="C532" t="s">
        <v>17</v>
      </c>
      <c r="D532">
        <v>26058.55</v>
      </c>
      <c r="E532">
        <v>1</v>
      </c>
      <c r="F532">
        <v>26058.55</v>
      </c>
      <c r="G532" s="1">
        <v>45593</v>
      </c>
      <c r="H532" t="s">
        <v>25</v>
      </c>
      <c r="I532">
        <v>2</v>
      </c>
      <c r="J532" t="s">
        <v>45</v>
      </c>
      <c r="K532">
        <v>2024</v>
      </c>
      <c r="L532">
        <v>5211.71</v>
      </c>
      <c r="M532">
        <v>8</v>
      </c>
      <c r="N532" t="s">
        <v>27</v>
      </c>
      <c r="O532" t="s">
        <v>33</v>
      </c>
    </row>
    <row r="533" spans="1:15" x14ac:dyDescent="0.3">
      <c r="A533" t="s">
        <v>601</v>
      </c>
      <c r="B533" t="s">
        <v>84</v>
      </c>
      <c r="C533" t="s">
        <v>40</v>
      </c>
      <c r="D533">
        <v>13348.84</v>
      </c>
      <c r="E533">
        <v>2</v>
      </c>
      <c r="F533">
        <v>26697.68</v>
      </c>
      <c r="G533" s="1">
        <v>45500</v>
      </c>
      <c r="H533" t="s">
        <v>64</v>
      </c>
      <c r="I533">
        <v>4.2</v>
      </c>
      <c r="J533" t="s">
        <v>48</v>
      </c>
      <c r="K533">
        <v>2024</v>
      </c>
      <c r="L533">
        <v>5339.5360000000001</v>
      </c>
      <c r="M533">
        <v>5</v>
      </c>
      <c r="N533" t="s">
        <v>20</v>
      </c>
      <c r="O533" t="s">
        <v>68</v>
      </c>
    </row>
    <row r="534" spans="1:15" x14ac:dyDescent="0.3">
      <c r="A534" t="s">
        <v>602</v>
      </c>
      <c r="B534" t="s">
        <v>50</v>
      </c>
      <c r="C534" t="s">
        <v>40</v>
      </c>
      <c r="D534">
        <v>46792.3</v>
      </c>
      <c r="E534">
        <v>1</v>
      </c>
      <c r="F534">
        <v>46792.3</v>
      </c>
      <c r="G534" s="1">
        <v>45459</v>
      </c>
      <c r="H534" t="s">
        <v>71</v>
      </c>
      <c r="I534">
        <v>4.9000000000000004</v>
      </c>
      <c r="J534" t="s">
        <v>67</v>
      </c>
      <c r="K534">
        <v>2024</v>
      </c>
      <c r="L534">
        <v>9358.4600000000009</v>
      </c>
      <c r="M534">
        <v>9</v>
      </c>
      <c r="N534" t="s">
        <v>20</v>
      </c>
      <c r="O534" t="s">
        <v>68</v>
      </c>
    </row>
    <row r="535" spans="1:15" x14ac:dyDescent="0.3">
      <c r="A535" t="s">
        <v>603</v>
      </c>
      <c r="B535" t="s">
        <v>145</v>
      </c>
      <c r="C535" t="s">
        <v>40</v>
      </c>
      <c r="D535">
        <v>15764.25</v>
      </c>
      <c r="E535">
        <v>4</v>
      </c>
      <c r="F535">
        <v>63057</v>
      </c>
      <c r="G535" s="1">
        <v>45424</v>
      </c>
      <c r="H535" t="s">
        <v>64</v>
      </c>
      <c r="I535">
        <v>4</v>
      </c>
      <c r="J535" t="s">
        <v>32</v>
      </c>
      <c r="K535">
        <v>2024</v>
      </c>
      <c r="L535">
        <v>12611.400000000001</v>
      </c>
      <c r="M535">
        <v>27</v>
      </c>
      <c r="N535" t="s">
        <v>20</v>
      </c>
      <c r="O535" t="s">
        <v>28</v>
      </c>
    </row>
    <row r="536" spans="1:15" x14ac:dyDescent="0.3">
      <c r="A536" t="s">
        <v>604</v>
      </c>
      <c r="B536" t="s">
        <v>35</v>
      </c>
      <c r="C536" t="s">
        <v>36</v>
      </c>
      <c r="D536">
        <v>45019</v>
      </c>
      <c r="E536">
        <v>5</v>
      </c>
      <c r="F536">
        <v>225095</v>
      </c>
      <c r="G536" s="1">
        <v>45664</v>
      </c>
      <c r="H536" t="s">
        <v>64</v>
      </c>
      <c r="I536">
        <v>4.7</v>
      </c>
      <c r="J536" t="s">
        <v>53</v>
      </c>
      <c r="K536">
        <v>2025</v>
      </c>
      <c r="L536">
        <v>45019</v>
      </c>
      <c r="M536">
        <v>30</v>
      </c>
      <c r="N536" t="s">
        <v>20</v>
      </c>
      <c r="O536" t="s">
        <v>68</v>
      </c>
    </row>
    <row r="537" spans="1:15" x14ac:dyDescent="0.3">
      <c r="A537" t="s">
        <v>605</v>
      </c>
      <c r="B537" t="s">
        <v>176</v>
      </c>
      <c r="C537" t="s">
        <v>24</v>
      </c>
      <c r="D537">
        <v>42794.400000000001</v>
      </c>
      <c r="E537">
        <v>4</v>
      </c>
      <c r="F537">
        <v>171177.60000000001</v>
      </c>
      <c r="G537" s="1">
        <v>45468</v>
      </c>
      <c r="H537" t="s">
        <v>64</v>
      </c>
      <c r="I537">
        <v>4.5999999999999996</v>
      </c>
      <c r="J537" t="s">
        <v>67</v>
      </c>
      <c r="K537">
        <v>2024</v>
      </c>
      <c r="L537">
        <v>34235.520000000004</v>
      </c>
      <c r="M537">
        <v>14</v>
      </c>
      <c r="N537" t="s">
        <v>41</v>
      </c>
      <c r="O537" t="s">
        <v>33</v>
      </c>
    </row>
    <row r="538" spans="1:15" x14ac:dyDescent="0.3">
      <c r="A538" t="s">
        <v>606</v>
      </c>
      <c r="B538" t="s">
        <v>16</v>
      </c>
      <c r="C538" t="s">
        <v>17</v>
      </c>
      <c r="D538">
        <v>492.53</v>
      </c>
      <c r="E538">
        <v>1</v>
      </c>
      <c r="F538">
        <v>492.53</v>
      </c>
      <c r="G538" s="1">
        <v>45397</v>
      </c>
      <c r="H538" t="s">
        <v>71</v>
      </c>
      <c r="I538">
        <v>4.4000000000000004</v>
      </c>
      <c r="J538" t="s">
        <v>62</v>
      </c>
      <c r="K538">
        <v>2024</v>
      </c>
      <c r="L538">
        <v>98.506</v>
      </c>
      <c r="M538">
        <v>26</v>
      </c>
      <c r="N538" t="s">
        <v>27</v>
      </c>
      <c r="O538" t="s">
        <v>33</v>
      </c>
    </row>
    <row r="539" spans="1:15" x14ac:dyDescent="0.3">
      <c r="A539" t="s">
        <v>607</v>
      </c>
      <c r="B539" t="s">
        <v>145</v>
      </c>
      <c r="C539" t="s">
        <v>40</v>
      </c>
      <c r="D539">
        <v>30721.51</v>
      </c>
      <c r="E539">
        <v>4</v>
      </c>
      <c r="F539">
        <v>122886.04</v>
      </c>
      <c r="G539" s="1">
        <v>45501</v>
      </c>
      <c r="H539" t="s">
        <v>44</v>
      </c>
      <c r="I539">
        <v>3.4</v>
      </c>
      <c r="J539" t="s">
        <v>48</v>
      </c>
      <c r="K539">
        <v>2024</v>
      </c>
      <c r="L539">
        <v>24577.207999999999</v>
      </c>
      <c r="M539">
        <v>9</v>
      </c>
      <c r="N539" t="s">
        <v>20</v>
      </c>
      <c r="O539" t="s">
        <v>28</v>
      </c>
    </row>
    <row r="540" spans="1:15" x14ac:dyDescent="0.3">
      <c r="A540" t="s">
        <v>608</v>
      </c>
      <c r="B540" t="s">
        <v>39</v>
      </c>
      <c r="C540" t="s">
        <v>40</v>
      </c>
      <c r="D540">
        <v>17162.64</v>
      </c>
      <c r="E540">
        <v>3</v>
      </c>
      <c r="F540">
        <v>51487.92</v>
      </c>
      <c r="G540" s="1">
        <v>45485</v>
      </c>
      <c r="H540" t="s">
        <v>64</v>
      </c>
      <c r="I540">
        <v>4.7</v>
      </c>
      <c r="J540" t="s">
        <v>48</v>
      </c>
      <c r="K540">
        <v>2024</v>
      </c>
      <c r="L540">
        <v>10297.584000000001</v>
      </c>
      <c r="M540">
        <v>8</v>
      </c>
      <c r="N540" t="s">
        <v>41</v>
      </c>
      <c r="O540" t="s">
        <v>33</v>
      </c>
    </row>
    <row r="541" spans="1:15" x14ac:dyDescent="0.3">
      <c r="A541" t="s">
        <v>609</v>
      </c>
      <c r="B541" t="s">
        <v>74</v>
      </c>
      <c r="C541" t="s">
        <v>17</v>
      </c>
      <c r="D541">
        <v>45888.54</v>
      </c>
      <c r="E541">
        <v>3</v>
      </c>
      <c r="F541">
        <v>137665.62</v>
      </c>
      <c r="G541" s="1">
        <v>45390</v>
      </c>
      <c r="H541" t="s">
        <v>71</v>
      </c>
      <c r="I541">
        <v>2</v>
      </c>
      <c r="J541" t="s">
        <v>62</v>
      </c>
      <c r="K541">
        <v>2024</v>
      </c>
      <c r="L541">
        <v>27533.124</v>
      </c>
      <c r="M541">
        <v>6</v>
      </c>
      <c r="N541" t="s">
        <v>20</v>
      </c>
      <c r="O541" t="s">
        <v>21</v>
      </c>
    </row>
    <row r="542" spans="1:15" x14ac:dyDescent="0.3">
      <c r="A542" t="s">
        <v>610</v>
      </c>
      <c r="B542" t="s">
        <v>50</v>
      </c>
      <c r="C542" t="s">
        <v>40</v>
      </c>
      <c r="D542">
        <v>49052.43</v>
      </c>
      <c r="E542">
        <v>3</v>
      </c>
      <c r="F542">
        <v>147157.29</v>
      </c>
      <c r="G542" s="1">
        <v>45628</v>
      </c>
      <c r="H542" t="s">
        <v>18</v>
      </c>
      <c r="I542">
        <v>4.5</v>
      </c>
      <c r="J542" t="s">
        <v>26</v>
      </c>
      <c r="K542">
        <v>2024</v>
      </c>
      <c r="L542">
        <v>29431.458000000002</v>
      </c>
      <c r="M542">
        <v>24</v>
      </c>
      <c r="N542" t="s">
        <v>27</v>
      </c>
      <c r="O542" t="s">
        <v>28</v>
      </c>
    </row>
    <row r="543" spans="1:15" x14ac:dyDescent="0.3">
      <c r="A543" t="s">
        <v>611</v>
      </c>
      <c r="B543" t="s">
        <v>145</v>
      </c>
      <c r="C543" t="s">
        <v>40</v>
      </c>
      <c r="D543">
        <v>2435.9699999999998</v>
      </c>
      <c r="E543">
        <v>1</v>
      </c>
      <c r="F543">
        <v>2435.9699999999998</v>
      </c>
      <c r="G543" s="1">
        <v>45381</v>
      </c>
      <c r="H543" t="s">
        <v>71</v>
      </c>
      <c r="I543">
        <v>2.2999999999999998</v>
      </c>
      <c r="J543" t="s">
        <v>56</v>
      </c>
      <c r="K543">
        <v>2024</v>
      </c>
      <c r="L543">
        <v>487.19399999999996</v>
      </c>
      <c r="M543">
        <v>14</v>
      </c>
      <c r="N543" t="s">
        <v>41</v>
      </c>
      <c r="O543" t="s">
        <v>33</v>
      </c>
    </row>
    <row r="544" spans="1:15" x14ac:dyDescent="0.3">
      <c r="A544" t="s">
        <v>612</v>
      </c>
      <c r="B544" t="s">
        <v>50</v>
      </c>
      <c r="C544" t="s">
        <v>40</v>
      </c>
      <c r="D544">
        <v>48128.02</v>
      </c>
      <c r="E544">
        <v>4</v>
      </c>
      <c r="F544">
        <v>192512.08</v>
      </c>
      <c r="G544" s="1">
        <v>45425</v>
      </c>
      <c r="H544" t="s">
        <v>44</v>
      </c>
      <c r="I544">
        <v>3.2</v>
      </c>
      <c r="J544" t="s">
        <v>32</v>
      </c>
      <c r="K544">
        <v>2024</v>
      </c>
      <c r="L544">
        <v>38502.415999999997</v>
      </c>
      <c r="M544">
        <v>30</v>
      </c>
      <c r="N544" t="s">
        <v>27</v>
      </c>
      <c r="O544" t="s">
        <v>28</v>
      </c>
    </row>
    <row r="545" spans="1:15" x14ac:dyDescent="0.3">
      <c r="A545" t="s">
        <v>613</v>
      </c>
      <c r="B545" t="s">
        <v>58</v>
      </c>
      <c r="C545" t="s">
        <v>31</v>
      </c>
      <c r="D545">
        <v>47111.56</v>
      </c>
      <c r="E545">
        <v>5</v>
      </c>
      <c r="F545">
        <v>235557.8</v>
      </c>
      <c r="G545" s="1">
        <v>45412</v>
      </c>
      <c r="H545" t="s">
        <v>25</v>
      </c>
      <c r="I545">
        <v>2.9</v>
      </c>
      <c r="J545" t="s">
        <v>62</v>
      </c>
      <c r="K545">
        <v>2024</v>
      </c>
      <c r="L545">
        <v>47111.56</v>
      </c>
      <c r="M545">
        <v>23</v>
      </c>
      <c r="N545" t="s">
        <v>27</v>
      </c>
      <c r="O545" t="s">
        <v>68</v>
      </c>
    </row>
    <row r="546" spans="1:15" x14ac:dyDescent="0.3">
      <c r="A546" t="s">
        <v>614</v>
      </c>
      <c r="B546" t="s">
        <v>16</v>
      </c>
      <c r="C546" t="s">
        <v>17</v>
      </c>
      <c r="D546">
        <v>8091.3</v>
      </c>
      <c r="E546">
        <v>5</v>
      </c>
      <c r="F546">
        <v>40456.5</v>
      </c>
      <c r="G546" s="1">
        <v>45518</v>
      </c>
      <c r="H546" t="s">
        <v>71</v>
      </c>
      <c r="I546">
        <v>2</v>
      </c>
      <c r="J546" t="s">
        <v>88</v>
      </c>
      <c r="K546">
        <v>2024</v>
      </c>
      <c r="L546">
        <v>8091.3</v>
      </c>
      <c r="M546">
        <v>30</v>
      </c>
      <c r="N546" t="s">
        <v>41</v>
      </c>
      <c r="O546" t="s">
        <v>33</v>
      </c>
    </row>
    <row r="547" spans="1:15" x14ac:dyDescent="0.3">
      <c r="A547" t="s">
        <v>615</v>
      </c>
      <c r="B547" t="s">
        <v>84</v>
      </c>
      <c r="C547" t="s">
        <v>40</v>
      </c>
      <c r="D547">
        <v>43217.1</v>
      </c>
      <c r="E547">
        <v>5</v>
      </c>
      <c r="F547">
        <v>216085.5</v>
      </c>
      <c r="G547" s="1">
        <v>45644</v>
      </c>
      <c r="H547" t="s">
        <v>18</v>
      </c>
      <c r="I547">
        <v>2.6</v>
      </c>
      <c r="J547" t="s">
        <v>26</v>
      </c>
      <c r="K547">
        <v>2024</v>
      </c>
      <c r="L547">
        <v>43217.100000000006</v>
      </c>
      <c r="M547">
        <v>5</v>
      </c>
      <c r="N547" t="s">
        <v>41</v>
      </c>
      <c r="O547" t="s">
        <v>21</v>
      </c>
    </row>
    <row r="548" spans="1:15" x14ac:dyDescent="0.3">
      <c r="A548" t="s">
        <v>616</v>
      </c>
      <c r="B548" t="s">
        <v>52</v>
      </c>
      <c r="C548" t="s">
        <v>24</v>
      </c>
      <c r="D548">
        <v>35592.76</v>
      </c>
      <c r="E548">
        <v>2</v>
      </c>
      <c r="F548">
        <v>71185.52</v>
      </c>
      <c r="G548" s="1">
        <v>45418</v>
      </c>
      <c r="H548" t="s">
        <v>18</v>
      </c>
      <c r="I548">
        <v>4.5999999999999996</v>
      </c>
      <c r="J548" t="s">
        <v>32</v>
      </c>
      <c r="K548">
        <v>2024</v>
      </c>
      <c r="L548">
        <v>14237.104000000001</v>
      </c>
      <c r="M548">
        <v>28</v>
      </c>
      <c r="N548" t="s">
        <v>41</v>
      </c>
      <c r="O548" t="s">
        <v>33</v>
      </c>
    </row>
    <row r="549" spans="1:15" x14ac:dyDescent="0.3">
      <c r="A549" t="s">
        <v>617</v>
      </c>
      <c r="B549" t="s">
        <v>94</v>
      </c>
      <c r="C549" t="s">
        <v>31</v>
      </c>
      <c r="D549">
        <v>9534.89</v>
      </c>
      <c r="E549">
        <v>5</v>
      </c>
      <c r="F549">
        <v>47674.45</v>
      </c>
      <c r="G549" s="1">
        <v>45487</v>
      </c>
      <c r="H549" t="s">
        <v>80</v>
      </c>
      <c r="I549">
        <v>4.2</v>
      </c>
      <c r="J549" t="s">
        <v>48</v>
      </c>
      <c r="K549">
        <v>2024</v>
      </c>
      <c r="L549">
        <v>9534.89</v>
      </c>
      <c r="M549">
        <v>9</v>
      </c>
      <c r="N549" t="s">
        <v>41</v>
      </c>
      <c r="O549" t="s">
        <v>28</v>
      </c>
    </row>
    <row r="550" spans="1:15" x14ac:dyDescent="0.3">
      <c r="A550" t="s">
        <v>618</v>
      </c>
      <c r="B550" t="s">
        <v>100</v>
      </c>
      <c r="C550" t="s">
        <v>31</v>
      </c>
      <c r="D550">
        <v>46990.87</v>
      </c>
      <c r="E550">
        <v>4</v>
      </c>
      <c r="F550">
        <v>187963.48</v>
      </c>
      <c r="G550" s="1">
        <v>45384</v>
      </c>
      <c r="H550" t="s">
        <v>64</v>
      </c>
      <c r="I550">
        <v>1.7</v>
      </c>
      <c r="J550" t="s">
        <v>62</v>
      </c>
      <c r="K550">
        <v>2024</v>
      </c>
      <c r="L550">
        <v>37592.696000000004</v>
      </c>
      <c r="M550">
        <v>17</v>
      </c>
      <c r="N550" t="s">
        <v>41</v>
      </c>
      <c r="O550" t="s">
        <v>28</v>
      </c>
    </row>
    <row r="551" spans="1:15" x14ac:dyDescent="0.3">
      <c r="A551" t="s">
        <v>619</v>
      </c>
      <c r="B551" t="s">
        <v>50</v>
      </c>
      <c r="C551" t="s">
        <v>40</v>
      </c>
      <c r="D551">
        <v>31137.03</v>
      </c>
      <c r="E551">
        <v>5</v>
      </c>
      <c r="F551">
        <v>155685.15</v>
      </c>
      <c r="G551" s="1">
        <v>45655</v>
      </c>
      <c r="H551" t="s">
        <v>71</v>
      </c>
      <c r="I551">
        <v>2.6</v>
      </c>
      <c r="J551" t="s">
        <v>26</v>
      </c>
      <c r="K551">
        <v>2024</v>
      </c>
      <c r="L551">
        <v>31137.03</v>
      </c>
      <c r="M551">
        <v>8</v>
      </c>
      <c r="N551" t="s">
        <v>41</v>
      </c>
      <c r="O551" t="s">
        <v>33</v>
      </c>
    </row>
    <row r="552" spans="1:15" x14ac:dyDescent="0.3">
      <c r="A552" t="s">
        <v>620</v>
      </c>
      <c r="B552" t="s">
        <v>96</v>
      </c>
      <c r="C552" t="s">
        <v>36</v>
      </c>
      <c r="D552">
        <v>35821.160000000003</v>
      </c>
      <c r="E552">
        <v>4</v>
      </c>
      <c r="F552">
        <v>143284.64000000001</v>
      </c>
      <c r="G552" s="1">
        <v>45695</v>
      </c>
      <c r="H552" t="s">
        <v>18</v>
      </c>
      <c r="I552">
        <v>2.1</v>
      </c>
      <c r="J552" t="s">
        <v>59</v>
      </c>
      <c r="K552">
        <v>2025</v>
      </c>
      <c r="L552">
        <v>28656.928000000004</v>
      </c>
      <c r="M552">
        <v>20</v>
      </c>
      <c r="N552" t="s">
        <v>41</v>
      </c>
      <c r="O552" t="s">
        <v>21</v>
      </c>
    </row>
    <row r="553" spans="1:15" x14ac:dyDescent="0.3">
      <c r="A553" t="s">
        <v>621</v>
      </c>
      <c r="B553" t="s">
        <v>100</v>
      </c>
      <c r="C553" t="s">
        <v>31</v>
      </c>
      <c r="D553">
        <v>28156.95</v>
      </c>
      <c r="E553">
        <v>5</v>
      </c>
      <c r="F553">
        <v>140784.75</v>
      </c>
      <c r="G553" s="1">
        <v>45418</v>
      </c>
      <c r="H553" t="s">
        <v>25</v>
      </c>
      <c r="I553">
        <v>2.7</v>
      </c>
      <c r="J553" t="s">
        <v>32</v>
      </c>
      <c r="K553">
        <v>2024</v>
      </c>
      <c r="L553">
        <v>28156.95</v>
      </c>
      <c r="M553">
        <v>28</v>
      </c>
      <c r="N553" t="s">
        <v>20</v>
      </c>
      <c r="O553" t="s">
        <v>21</v>
      </c>
    </row>
    <row r="554" spans="1:15" x14ac:dyDescent="0.3">
      <c r="A554" t="s">
        <v>622</v>
      </c>
      <c r="B554" t="s">
        <v>61</v>
      </c>
      <c r="C554" t="s">
        <v>31</v>
      </c>
      <c r="D554">
        <v>9335.19</v>
      </c>
      <c r="E554">
        <v>2</v>
      </c>
      <c r="F554">
        <v>18670.38</v>
      </c>
      <c r="G554" s="1">
        <v>45624</v>
      </c>
      <c r="H554" t="s">
        <v>64</v>
      </c>
      <c r="I554">
        <v>3.9</v>
      </c>
      <c r="J554" t="s">
        <v>37</v>
      </c>
      <c r="K554">
        <v>2024</v>
      </c>
      <c r="L554">
        <v>3734.0760000000005</v>
      </c>
      <c r="M554">
        <v>20</v>
      </c>
      <c r="N554" t="s">
        <v>27</v>
      </c>
      <c r="O554" t="s">
        <v>21</v>
      </c>
    </row>
    <row r="555" spans="1:15" x14ac:dyDescent="0.3">
      <c r="A555" t="s">
        <v>623</v>
      </c>
      <c r="B555" t="s">
        <v>78</v>
      </c>
      <c r="C555" t="s">
        <v>24</v>
      </c>
      <c r="D555">
        <v>25114.77</v>
      </c>
      <c r="E555">
        <v>2</v>
      </c>
      <c r="F555">
        <v>50229.54</v>
      </c>
      <c r="G555" s="1">
        <v>45511</v>
      </c>
      <c r="H555" t="s">
        <v>64</v>
      </c>
      <c r="I555">
        <v>3.6</v>
      </c>
      <c r="J555" t="s">
        <v>88</v>
      </c>
      <c r="K555">
        <v>2024</v>
      </c>
      <c r="L555">
        <v>10045.908000000001</v>
      </c>
      <c r="M555">
        <v>27</v>
      </c>
      <c r="N555" t="s">
        <v>41</v>
      </c>
      <c r="O555" t="s">
        <v>28</v>
      </c>
    </row>
    <row r="556" spans="1:15" x14ac:dyDescent="0.3">
      <c r="A556" t="s">
        <v>624</v>
      </c>
      <c r="B556" t="s">
        <v>61</v>
      </c>
      <c r="C556" t="s">
        <v>31</v>
      </c>
      <c r="D556">
        <v>19961.03</v>
      </c>
      <c r="E556">
        <v>3</v>
      </c>
      <c r="F556">
        <v>59883.09</v>
      </c>
      <c r="G556" s="1">
        <v>45624</v>
      </c>
      <c r="H556" t="s">
        <v>71</v>
      </c>
      <c r="I556">
        <v>2.9</v>
      </c>
      <c r="J556" t="s">
        <v>37</v>
      </c>
      <c r="K556">
        <v>2024</v>
      </c>
      <c r="L556">
        <v>11976.618</v>
      </c>
      <c r="M556">
        <v>6</v>
      </c>
      <c r="N556" t="s">
        <v>20</v>
      </c>
      <c r="O556" t="s">
        <v>33</v>
      </c>
    </row>
    <row r="557" spans="1:15" x14ac:dyDescent="0.3">
      <c r="A557" t="s">
        <v>625</v>
      </c>
      <c r="B557" t="s">
        <v>96</v>
      </c>
      <c r="C557" t="s">
        <v>36</v>
      </c>
      <c r="D557">
        <v>38488.04</v>
      </c>
      <c r="E557">
        <v>2</v>
      </c>
      <c r="F557">
        <v>76976.08</v>
      </c>
      <c r="G557" s="1">
        <v>45508</v>
      </c>
      <c r="H557" t="s">
        <v>25</v>
      </c>
      <c r="I557">
        <v>1.1000000000000001</v>
      </c>
      <c r="J557" t="s">
        <v>88</v>
      </c>
      <c r="K557">
        <v>2024</v>
      </c>
      <c r="L557">
        <v>15395.216</v>
      </c>
      <c r="M557">
        <v>21</v>
      </c>
      <c r="N557" t="s">
        <v>20</v>
      </c>
      <c r="O557" t="s">
        <v>68</v>
      </c>
    </row>
    <row r="558" spans="1:15" x14ac:dyDescent="0.3">
      <c r="A558" t="s">
        <v>626</v>
      </c>
      <c r="B558" t="s">
        <v>58</v>
      </c>
      <c r="C558" t="s">
        <v>31</v>
      </c>
      <c r="D558">
        <v>20202.560000000001</v>
      </c>
      <c r="E558">
        <v>5</v>
      </c>
      <c r="F558">
        <v>101012.8</v>
      </c>
      <c r="G558" s="1">
        <v>45429</v>
      </c>
      <c r="H558" t="s">
        <v>71</v>
      </c>
      <c r="I558">
        <v>3.6</v>
      </c>
      <c r="J558" t="s">
        <v>32</v>
      </c>
      <c r="K558">
        <v>2024</v>
      </c>
      <c r="L558">
        <v>20202.560000000001</v>
      </c>
      <c r="M558">
        <v>24</v>
      </c>
      <c r="N558" t="s">
        <v>20</v>
      </c>
      <c r="O558" t="s">
        <v>28</v>
      </c>
    </row>
    <row r="559" spans="1:15" x14ac:dyDescent="0.3">
      <c r="A559" t="s">
        <v>627</v>
      </c>
      <c r="B559" t="s">
        <v>107</v>
      </c>
      <c r="C559" t="s">
        <v>36</v>
      </c>
      <c r="D559">
        <v>39008.370000000003</v>
      </c>
      <c r="E559">
        <v>3</v>
      </c>
      <c r="F559">
        <v>117025.11</v>
      </c>
      <c r="G559" s="1">
        <v>45556</v>
      </c>
      <c r="H559" t="s">
        <v>80</v>
      </c>
      <c r="I559">
        <v>2.2000000000000002</v>
      </c>
      <c r="J559" t="s">
        <v>19</v>
      </c>
      <c r="K559">
        <v>2024</v>
      </c>
      <c r="L559">
        <v>23405.022000000001</v>
      </c>
      <c r="M559">
        <v>28</v>
      </c>
      <c r="N559" t="s">
        <v>27</v>
      </c>
      <c r="O559" t="s">
        <v>21</v>
      </c>
    </row>
    <row r="560" spans="1:15" x14ac:dyDescent="0.3">
      <c r="A560" t="s">
        <v>628</v>
      </c>
      <c r="B560" t="s">
        <v>58</v>
      </c>
      <c r="C560" t="s">
        <v>31</v>
      </c>
      <c r="D560">
        <v>9946.27</v>
      </c>
      <c r="E560">
        <v>1</v>
      </c>
      <c r="F560">
        <v>9946.27</v>
      </c>
      <c r="G560" s="1">
        <v>45645</v>
      </c>
      <c r="H560" t="s">
        <v>71</v>
      </c>
      <c r="I560">
        <v>1.1000000000000001</v>
      </c>
      <c r="J560" t="s">
        <v>26</v>
      </c>
      <c r="K560">
        <v>2024</v>
      </c>
      <c r="L560">
        <v>1989.2540000000001</v>
      </c>
      <c r="M560">
        <v>16</v>
      </c>
      <c r="N560" t="s">
        <v>41</v>
      </c>
      <c r="O560" t="s">
        <v>33</v>
      </c>
    </row>
    <row r="561" spans="1:15" x14ac:dyDescent="0.3">
      <c r="A561" t="s">
        <v>629</v>
      </c>
      <c r="B561" t="s">
        <v>78</v>
      </c>
      <c r="C561" t="s">
        <v>24</v>
      </c>
      <c r="D561">
        <v>7994.76</v>
      </c>
      <c r="E561">
        <v>5</v>
      </c>
      <c r="F561">
        <v>39973.800000000003</v>
      </c>
      <c r="G561" s="1">
        <v>45558</v>
      </c>
      <c r="H561" t="s">
        <v>18</v>
      </c>
      <c r="I561">
        <v>1.5</v>
      </c>
      <c r="J561" t="s">
        <v>19</v>
      </c>
      <c r="K561">
        <v>2024</v>
      </c>
      <c r="L561">
        <v>7994.7600000000011</v>
      </c>
      <c r="M561">
        <v>22</v>
      </c>
      <c r="N561" t="s">
        <v>20</v>
      </c>
      <c r="O561" t="s">
        <v>21</v>
      </c>
    </row>
    <row r="562" spans="1:15" x14ac:dyDescent="0.3">
      <c r="A562" t="s">
        <v>630</v>
      </c>
      <c r="B562" t="s">
        <v>39</v>
      </c>
      <c r="C562" t="s">
        <v>40</v>
      </c>
      <c r="D562">
        <v>6341.62</v>
      </c>
      <c r="E562">
        <v>3</v>
      </c>
      <c r="F562">
        <v>19024.86</v>
      </c>
      <c r="G562" s="1">
        <v>45632</v>
      </c>
      <c r="H562" t="s">
        <v>71</v>
      </c>
      <c r="I562">
        <v>4.4000000000000004</v>
      </c>
      <c r="J562" t="s">
        <v>26</v>
      </c>
      <c r="K562">
        <v>2024</v>
      </c>
      <c r="L562">
        <v>3804.9720000000002</v>
      </c>
      <c r="M562">
        <v>7</v>
      </c>
      <c r="N562" t="s">
        <v>27</v>
      </c>
      <c r="O562" t="s">
        <v>68</v>
      </c>
    </row>
    <row r="563" spans="1:15" x14ac:dyDescent="0.3">
      <c r="A563" t="s">
        <v>631</v>
      </c>
      <c r="B563" t="s">
        <v>23</v>
      </c>
      <c r="C563" t="s">
        <v>24</v>
      </c>
      <c r="D563">
        <v>37503.57</v>
      </c>
      <c r="E563">
        <v>4</v>
      </c>
      <c r="F563">
        <v>150014.28</v>
      </c>
      <c r="G563" s="1">
        <v>45385</v>
      </c>
      <c r="H563" t="s">
        <v>64</v>
      </c>
      <c r="I563">
        <v>1.8</v>
      </c>
      <c r="J563" t="s">
        <v>62</v>
      </c>
      <c r="K563">
        <v>2024</v>
      </c>
      <c r="L563">
        <v>30002.856</v>
      </c>
      <c r="M563">
        <v>5</v>
      </c>
      <c r="N563" t="s">
        <v>27</v>
      </c>
      <c r="O563" t="s">
        <v>21</v>
      </c>
    </row>
    <row r="564" spans="1:15" x14ac:dyDescent="0.3">
      <c r="A564" t="s">
        <v>632</v>
      </c>
      <c r="B564" t="s">
        <v>118</v>
      </c>
      <c r="C564" t="s">
        <v>17</v>
      </c>
      <c r="D564">
        <v>36760.35</v>
      </c>
      <c r="E564">
        <v>1</v>
      </c>
      <c r="F564">
        <v>36760.35</v>
      </c>
      <c r="G564" s="1">
        <v>45531</v>
      </c>
      <c r="H564" t="s">
        <v>71</v>
      </c>
      <c r="I564">
        <v>1.5</v>
      </c>
      <c r="J564" t="s">
        <v>88</v>
      </c>
      <c r="K564">
        <v>2024</v>
      </c>
      <c r="L564">
        <v>7352.07</v>
      </c>
      <c r="M564">
        <v>5</v>
      </c>
      <c r="N564" t="s">
        <v>27</v>
      </c>
      <c r="O564" t="s">
        <v>21</v>
      </c>
    </row>
    <row r="565" spans="1:15" x14ac:dyDescent="0.3">
      <c r="A565" t="s">
        <v>633</v>
      </c>
      <c r="B565" t="s">
        <v>52</v>
      </c>
      <c r="C565" t="s">
        <v>24</v>
      </c>
      <c r="D565">
        <v>38023.86</v>
      </c>
      <c r="E565">
        <v>5</v>
      </c>
      <c r="F565">
        <v>190119.3</v>
      </c>
      <c r="G565" s="1">
        <v>45495</v>
      </c>
      <c r="H565" t="s">
        <v>71</v>
      </c>
      <c r="I565">
        <v>2.1</v>
      </c>
      <c r="J565" t="s">
        <v>48</v>
      </c>
      <c r="K565">
        <v>2024</v>
      </c>
      <c r="L565">
        <v>38023.86</v>
      </c>
      <c r="M565">
        <v>23</v>
      </c>
      <c r="N565" t="s">
        <v>20</v>
      </c>
      <c r="O565" t="s">
        <v>68</v>
      </c>
    </row>
    <row r="566" spans="1:15" x14ac:dyDescent="0.3">
      <c r="A566" t="s">
        <v>634</v>
      </c>
      <c r="B566" t="s">
        <v>176</v>
      </c>
      <c r="C566" t="s">
        <v>24</v>
      </c>
      <c r="D566">
        <v>17983.34</v>
      </c>
      <c r="E566">
        <v>1</v>
      </c>
      <c r="F566">
        <v>17983.34</v>
      </c>
      <c r="G566" s="1">
        <v>45342</v>
      </c>
      <c r="H566" t="s">
        <v>64</v>
      </c>
      <c r="I566">
        <v>1.5</v>
      </c>
      <c r="J566" t="s">
        <v>59</v>
      </c>
      <c r="K566">
        <v>2024</v>
      </c>
      <c r="L566">
        <v>3596.6680000000001</v>
      </c>
      <c r="M566">
        <v>15</v>
      </c>
      <c r="N566" t="s">
        <v>41</v>
      </c>
      <c r="O566" t="s">
        <v>33</v>
      </c>
    </row>
    <row r="567" spans="1:15" x14ac:dyDescent="0.3">
      <c r="A567" t="s">
        <v>635</v>
      </c>
      <c r="B567" t="s">
        <v>84</v>
      </c>
      <c r="C567" t="s">
        <v>40</v>
      </c>
      <c r="D567">
        <v>25457.34</v>
      </c>
      <c r="E567">
        <v>5</v>
      </c>
      <c r="F567">
        <v>127286.7</v>
      </c>
      <c r="G567" s="1">
        <v>45423</v>
      </c>
      <c r="H567" t="s">
        <v>25</v>
      </c>
      <c r="I567">
        <v>4.3</v>
      </c>
      <c r="J567" t="s">
        <v>32</v>
      </c>
      <c r="K567">
        <v>2024</v>
      </c>
      <c r="L567">
        <v>25457.34</v>
      </c>
      <c r="M567">
        <v>9</v>
      </c>
      <c r="N567" t="s">
        <v>20</v>
      </c>
      <c r="O567" t="s">
        <v>28</v>
      </c>
    </row>
    <row r="568" spans="1:15" x14ac:dyDescent="0.3">
      <c r="A568" t="s">
        <v>636</v>
      </c>
      <c r="B568" t="s">
        <v>125</v>
      </c>
      <c r="C568" t="s">
        <v>17</v>
      </c>
      <c r="D568">
        <v>26220.67</v>
      </c>
      <c r="E568">
        <v>4</v>
      </c>
      <c r="F568">
        <v>104882.68</v>
      </c>
      <c r="G568" s="1">
        <v>45412</v>
      </c>
      <c r="H568" t="s">
        <v>80</v>
      </c>
      <c r="I568">
        <v>3.3</v>
      </c>
      <c r="J568" t="s">
        <v>62</v>
      </c>
      <c r="K568">
        <v>2024</v>
      </c>
      <c r="L568">
        <v>20976.536</v>
      </c>
      <c r="M568">
        <v>16</v>
      </c>
      <c r="N568" t="s">
        <v>20</v>
      </c>
      <c r="O568" t="s">
        <v>33</v>
      </c>
    </row>
    <row r="569" spans="1:15" x14ac:dyDescent="0.3">
      <c r="A569" t="s">
        <v>637</v>
      </c>
      <c r="B569" t="s">
        <v>16</v>
      </c>
      <c r="C569" t="s">
        <v>17</v>
      </c>
      <c r="D569">
        <v>48670.07</v>
      </c>
      <c r="E569">
        <v>1</v>
      </c>
      <c r="F569">
        <v>48670.07</v>
      </c>
      <c r="G569" s="1">
        <v>45689</v>
      </c>
      <c r="H569" t="s">
        <v>25</v>
      </c>
      <c r="I569">
        <v>4.2</v>
      </c>
      <c r="J569" t="s">
        <v>59</v>
      </c>
      <c r="K569">
        <v>2025</v>
      </c>
      <c r="L569">
        <v>9734.014000000001</v>
      </c>
      <c r="M569">
        <v>7</v>
      </c>
      <c r="N569" t="s">
        <v>41</v>
      </c>
      <c r="O569" t="s">
        <v>68</v>
      </c>
    </row>
    <row r="570" spans="1:15" x14ac:dyDescent="0.3">
      <c r="A570" t="s">
        <v>638</v>
      </c>
      <c r="B570" t="s">
        <v>66</v>
      </c>
      <c r="C570" t="s">
        <v>36</v>
      </c>
      <c r="D570">
        <v>12197.36</v>
      </c>
      <c r="E570">
        <v>5</v>
      </c>
      <c r="F570">
        <v>60986.8</v>
      </c>
      <c r="G570" s="1">
        <v>45667</v>
      </c>
      <c r="H570" t="s">
        <v>18</v>
      </c>
      <c r="I570">
        <v>3.5</v>
      </c>
      <c r="J570" t="s">
        <v>53</v>
      </c>
      <c r="K570">
        <v>2025</v>
      </c>
      <c r="L570">
        <v>12197.36</v>
      </c>
      <c r="M570">
        <v>5</v>
      </c>
      <c r="N570" t="s">
        <v>41</v>
      </c>
      <c r="O570" t="s">
        <v>21</v>
      </c>
    </row>
    <row r="571" spans="1:15" x14ac:dyDescent="0.3">
      <c r="A571" t="s">
        <v>639</v>
      </c>
      <c r="B571" t="s">
        <v>55</v>
      </c>
      <c r="C571" t="s">
        <v>36</v>
      </c>
      <c r="D571">
        <v>14488.22</v>
      </c>
      <c r="E571">
        <v>4</v>
      </c>
      <c r="F571">
        <v>57952.88</v>
      </c>
      <c r="G571" s="1">
        <v>45651</v>
      </c>
      <c r="H571" t="s">
        <v>80</v>
      </c>
      <c r="I571">
        <v>2.7</v>
      </c>
      <c r="J571" t="s">
        <v>26</v>
      </c>
      <c r="K571">
        <v>2024</v>
      </c>
      <c r="L571">
        <v>11590.576000000001</v>
      </c>
      <c r="M571">
        <v>5</v>
      </c>
      <c r="N571" t="s">
        <v>41</v>
      </c>
      <c r="O571" t="s">
        <v>33</v>
      </c>
    </row>
    <row r="572" spans="1:15" x14ac:dyDescent="0.3">
      <c r="A572" t="s">
        <v>640</v>
      </c>
      <c r="B572" t="s">
        <v>50</v>
      </c>
      <c r="C572" t="s">
        <v>40</v>
      </c>
      <c r="D572">
        <v>33547.94</v>
      </c>
      <c r="E572">
        <v>2</v>
      </c>
      <c r="F572">
        <v>67095.88</v>
      </c>
      <c r="G572" s="1">
        <v>45672</v>
      </c>
      <c r="H572" t="s">
        <v>80</v>
      </c>
      <c r="I572">
        <v>1.1000000000000001</v>
      </c>
      <c r="J572" t="s">
        <v>53</v>
      </c>
      <c r="K572">
        <v>2025</v>
      </c>
      <c r="L572">
        <v>13419.176000000001</v>
      </c>
      <c r="M572">
        <v>12</v>
      </c>
      <c r="N572" t="s">
        <v>27</v>
      </c>
      <c r="O572" t="s">
        <v>28</v>
      </c>
    </row>
    <row r="573" spans="1:15" x14ac:dyDescent="0.3">
      <c r="A573" t="s">
        <v>641</v>
      </c>
      <c r="B573" t="s">
        <v>47</v>
      </c>
      <c r="C573" t="s">
        <v>24</v>
      </c>
      <c r="D573">
        <v>4800.26</v>
      </c>
      <c r="E573">
        <v>5</v>
      </c>
      <c r="F573">
        <v>24001.3</v>
      </c>
      <c r="G573" s="1">
        <v>45374</v>
      </c>
      <c r="H573" t="s">
        <v>25</v>
      </c>
      <c r="I573">
        <v>2.2000000000000002</v>
      </c>
      <c r="J573" t="s">
        <v>56</v>
      </c>
      <c r="K573">
        <v>2024</v>
      </c>
      <c r="L573">
        <v>4800.26</v>
      </c>
      <c r="M573">
        <v>14</v>
      </c>
      <c r="N573" t="s">
        <v>41</v>
      </c>
      <c r="O573" t="s">
        <v>68</v>
      </c>
    </row>
    <row r="574" spans="1:15" x14ac:dyDescent="0.3">
      <c r="A574" t="s">
        <v>642</v>
      </c>
      <c r="B574" t="s">
        <v>39</v>
      </c>
      <c r="C574" t="s">
        <v>40</v>
      </c>
      <c r="D574">
        <v>36429.57</v>
      </c>
      <c r="E574">
        <v>4</v>
      </c>
      <c r="F574">
        <v>145718.28</v>
      </c>
      <c r="G574" s="1">
        <v>45390</v>
      </c>
      <c r="H574" t="s">
        <v>71</v>
      </c>
      <c r="I574">
        <v>4.5999999999999996</v>
      </c>
      <c r="J574" t="s">
        <v>62</v>
      </c>
      <c r="K574">
        <v>2024</v>
      </c>
      <c r="L574">
        <v>29143.656000000003</v>
      </c>
      <c r="M574">
        <v>15</v>
      </c>
      <c r="N574" t="s">
        <v>20</v>
      </c>
      <c r="O574" t="s">
        <v>33</v>
      </c>
    </row>
    <row r="575" spans="1:15" x14ac:dyDescent="0.3">
      <c r="A575" t="s">
        <v>643</v>
      </c>
      <c r="B575" t="s">
        <v>55</v>
      </c>
      <c r="C575" t="s">
        <v>36</v>
      </c>
      <c r="D575">
        <v>29775.43</v>
      </c>
      <c r="E575">
        <v>4</v>
      </c>
      <c r="F575">
        <v>119101.72</v>
      </c>
      <c r="G575" s="1">
        <v>45339</v>
      </c>
      <c r="H575" t="s">
        <v>18</v>
      </c>
      <c r="I575">
        <v>4.5999999999999996</v>
      </c>
      <c r="J575" t="s">
        <v>59</v>
      </c>
      <c r="K575">
        <v>2024</v>
      </c>
      <c r="L575">
        <v>23820.344000000001</v>
      </c>
      <c r="M575">
        <v>16</v>
      </c>
      <c r="N575" t="s">
        <v>41</v>
      </c>
      <c r="O575" t="s">
        <v>28</v>
      </c>
    </row>
    <row r="576" spans="1:15" x14ac:dyDescent="0.3">
      <c r="A576" t="s">
        <v>644</v>
      </c>
      <c r="B576" t="s">
        <v>58</v>
      </c>
      <c r="C576" t="s">
        <v>31</v>
      </c>
      <c r="D576">
        <v>10736.32</v>
      </c>
      <c r="E576">
        <v>3</v>
      </c>
      <c r="F576">
        <v>32208.959999999999</v>
      </c>
      <c r="G576" s="1">
        <v>45488</v>
      </c>
      <c r="H576" t="s">
        <v>25</v>
      </c>
      <c r="I576">
        <v>3.7</v>
      </c>
      <c r="J576" t="s">
        <v>48</v>
      </c>
      <c r="K576">
        <v>2024</v>
      </c>
      <c r="L576">
        <v>6441.7920000000004</v>
      </c>
      <c r="M576">
        <v>17</v>
      </c>
      <c r="N576" t="s">
        <v>20</v>
      </c>
      <c r="O576" t="s">
        <v>68</v>
      </c>
    </row>
    <row r="577" spans="1:15" x14ac:dyDescent="0.3">
      <c r="A577" t="s">
        <v>645</v>
      </c>
      <c r="B577" t="s">
        <v>125</v>
      </c>
      <c r="C577" t="s">
        <v>17</v>
      </c>
      <c r="D577">
        <v>8005.02</v>
      </c>
      <c r="E577">
        <v>5</v>
      </c>
      <c r="F577">
        <v>40025.1</v>
      </c>
      <c r="G577" s="1">
        <v>45422</v>
      </c>
      <c r="H577" t="s">
        <v>25</v>
      </c>
      <c r="I577">
        <v>2.5</v>
      </c>
      <c r="J577" t="s">
        <v>32</v>
      </c>
      <c r="K577">
        <v>2024</v>
      </c>
      <c r="L577">
        <v>8005.02</v>
      </c>
      <c r="M577">
        <v>16</v>
      </c>
      <c r="N577" t="s">
        <v>27</v>
      </c>
      <c r="O577" t="s">
        <v>28</v>
      </c>
    </row>
    <row r="578" spans="1:15" x14ac:dyDescent="0.3">
      <c r="A578" t="s">
        <v>646</v>
      </c>
      <c r="B578" t="s">
        <v>58</v>
      </c>
      <c r="C578" t="s">
        <v>31</v>
      </c>
      <c r="D578">
        <v>32078.48</v>
      </c>
      <c r="E578">
        <v>3</v>
      </c>
      <c r="F578">
        <v>96235.44</v>
      </c>
      <c r="G578" s="1">
        <v>45378</v>
      </c>
      <c r="H578" t="s">
        <v>71</v>
      </c>
      <c r="I578">
        <v>4.5</v>
      </c>
      <c r="J578" t="s">
        <v>56</v>
      </c>
      <c r="K578">
        <v>2024</v>
      </c>
      <c r="L578">
        <v>19247.088</v>
      </c>
      <c r="M578">
        <v>18</v>
      </c>
      <c r="N578" t="s">
        <v>20</v>
      </c>
      <c r="O578" t="s">
        <v>68</v>
      </c>
    </row>
    <row r="579" spans="1:15" x14ac:dyDescent="0.3">
      <c r="A579" t="s">
        <v>647</v>
      </c>
      <c r="B579" t="s">
        <v>35</v>
      </c>
      <c r="C579" t="s">
        <v>36</v>
      </c>
      <c r="D579">
        <v>31277.18</v>
      </c>
      <c r="E579">
        <v>1</v>
      </c>
      <c r="F579">
        <v>31277.18</v>
      </c>
      <c r="G579" s="1">
        <v>45545</v>
      </c>
      <c r="H579" t="s">
        <v>18</v>
      </c>
      <c r="I579">
        <v>3</v>
      </c>
      <c r="J579" t="s">
        <v>19</v>
      </c>
      <c r="K579">
        <v>2024</v>
      </c>
      <c r="L579">
        <v>6255.4360000000006</v>
      </c>
      <c r="M579">
        <v>6</v>
      </c>
      <c r="N579" t="s">
        <v>20</v>
      </c>
      <c r="O579" t="s">
        <v>21</v>
      </c>
    </row>
    <row r="580" spans="1:15" x14ac:dyDescent="0.3">
      <c r="A580" t="s">
        <v>648</v>
      </c>
      <c r="B580" t="s">
        <v>107</v>
      </c>
      <c r="C580" t="s">
        <v>36</v>
      </c>
      <c r="D580">
        <v>31094.13</v>
      </c>
      <c r="E580">
        <v>1</v>
      </c>
      <c r="F580">
        <v>31094.13</v>
      </c>
      <c r="G580" s="1">
        <v>45599</v>
      </c>
      <c r="H580" t="s">
        <v>25</v>
      </c>
      <c r="I580">
        <v>2.7</v>
      </c>
      <c r="J580" t="s">
        <v>37</v>
      </c>
      <c r="K580">
        <v>2024</v>
      </c>
      <c r="L580">
        <v>6218.8260000000009</v>
      </c>
      <c r="M580">
        <v>23</v>
      </c>
      <c r="N580" t="s">
        <v>41</v>
      </c>
      <c r="O580" t="s">
        <v>33</v>
      </c>
    </row>
    <row r="581" spans="1:15" x14ac:dyDescent="0.3">
      <c r="A581" t="s">
        <v>649</v>
      </c>
      <c r="B581" t="s">
        <v>70</v>
      </c>
      <c r="C581" t="s">
        <v>17</v>
      </c>
      <c r="D581">
        <v>15881.67</v>
      </c>
      <c r="E581">
        <v>4</v>
      </c>
      <c r="F581">
        <v>63526.68</v>
      </c>
      <c r="G581" s="1">
        <v>45676</v>
      </c>
      <c r="H581" t="s">
        <v>44</v>
      </c>
      <c r="I581">
        <v>4.3</v>
      </c>
      <c r="J581" t="s">
        <v>53</v>
      </c>
      <c r="K581">
        <v>2025</v>
      </c>
      <c r="L581">
        <v>12705.336000000001</v>
      </c>
      <c r="M581">
        <v>22</v>
      </c>
      <c r="N581" t="s">
        <v>41</v>
      </c>
      <c r="O581" t="s">
        <v>28</v>
      </c>
    </row>
    <row r="582" spans="1:15" x14ac:dyDescent="0.3">
      <c r="A582" t="s">
        <v>650</v>
      </c>
      <c r="B582" t="s">
        <v>52</v>
      </c>
      <c r="C582" t="s">
        <v>24</v>
      </c>
      <c r="D582">
        <v>16129.77</v>
      </c>
      <c r="E582">
        <v>4</v>
      </c>
      <c r="F582">
        <v>64519.08</v>
      </c>
      <c r="G582" s="1">
        <v>45462</v>
      </c>
      <c r="H582" t="s">
        <v>18</v>
      </c>
      <c r="I582">
        <v>1</v>
      </c>
      <c r="J582" t="s">
        <v>67</v>
      </c>
      <c r="K582">
        <v>2024</v>
      </c>
      <c r="L582">
        <v>12903.816000000001</v>
      </c>
      <c r="M582">
        <v>7</v>
      </c>
      <c r="N582" t="s">
        <v>20</v>
      </c>
      <c r="O582" t="s">
        <v>68</v>
      </c>
    </row>
    <row r="583" spans="1:15" x14ac:dyDescent="0.3">
      <c r="A583" t="s">
        <v>651</v>
      </c>
      <c r="B583" t="s">
        <v>94</v>
      </c>
      <c r="C583" t="s">
        <v>31</v>
      </c>
      <c r="D583">
        <v>39478.69</v>
      </c>
      <c r="E583">
        <v>5</v>
      </c>
      <c r="F583">
        <v>197393.45</v>
      </c>
      <c r="G583" s="1">
        <v>45620</v>
      </c>
      <c r="H583" t="s">
        <v>71</v>
      </c>
      <c r="I583">
        <v>2.7</v>
      </c>
      <c r="J583" t="s">
        <v>37</v>
      </c>
      <c r="K583">
        <v>2024</v>
      </c>
      <c r="L583">
        <v>39478.69</v>
      </c>
      <c r="M583">
        <v>27</v>
      </c>
      <c r="N583" t="s">
        <v>41</v>
      </c>
      <c r="O583" t="s">
        <v>28</v>
      </c>
    </row>
    <row r="584" spans="1:15" x14ac:dyDescent="0.3">
      <c r="A584" t="s">
        <v>652</v>
      </c>
      <c r="B584" t="s">
        <v>70</v>
      </c>
      <c r="C584" t="s">
        <v>17</v>
      </c>
      <c r="D584">
        <v>29635.8</v>
      </c>
      <c r="E584">
        <v>3</v>
      </c>
      <c r="F584">
        <v>88907.4</v>
      </c>
      <c r="G584" s="1">
        <v>45673</v>
      </c>
      <c r="H584" t="s">
        <v>71</v>
      </c>
      <c r="I584">
        <v>1.2</v>
      </c>
      <c r="J584" t="s">
        <v>53</v>
      </c>
      <c r="K584">
        <v>2025</v>
      </c>
      <c r="L584">
        <v>17781.48</v>
      </c>
      <c r="M584">
        <v>21</v>
      </c>
      <c r="N584" t="s">
        <v>27</v>
      </c>
      <c r="O584" t="s">
        <v>28</v>
      </c>
    </row>
    <row r="585" spans="1:15" x14ac:dyDescent="0.3">
      <c r="A585" t="s">
        <v>653</v>
      </c>
      <c r="B585" t="s">
        <v>35</v>
      </c>
      <c r="C585" t="s">
        <v>36</v>
      </c>
      <c r="D585">
        <v>7892.27</v>
      </c>
      <c r="E585">
        <v>2</v>
      </c>
      <c r="F585">
        <v>15784.54</v>
      </c>
      <c r="G585" s="1">
        <v>45414</v>
      </c>
      <c r="H585" t="s">
        <v>80</v>
      </c>
      <c r="I585">
        <v>1.1000000000000001</v>
      </c>
      <c r="J585" t="s">
        <v>32</v>
      </c>
      <c r="K585">
        <v>2024</v>
      </c>
      <c r="L585">
        <v>3156.9080000000004</v>
      </c>
      <c r="M585">
        <v>30</v>
      </c>
      <c r="N585" t="s">
        <v>27</v>
      </c>
      <c r="O585" t="s">
        <v>33</v>
      </c>
    </row>
    <row r="586" spans="1:15" x14ac:dyDescent="0.3">
      <c r="A586" t="s">
        <v>654</v>
      </c>
      <c r="B586" t="s">
        <v>55</v>
      </c>
      <c r="C586" t="s">
        <v>36</v>
      </c>
      <c r="D586">
        <v>45112.24</v>
      </c>
      <c r="E586">
        <v>3</v>
      </c>
      <c r="F586">
        <v>135336.72</v>
      </c>
      <c r="G586" s="1">
        <v>45609</v>
      </c>
      <c r="H586" t="s">
        <v>44</v>
      </c>
      <c r="I586">
        <v>4.7</v>
      </c>
      <c r="J586" t="s">
        <v>37</v>
      </c>
      <c r="K586">
        <v>2024</v>
      </c>
      <c r="L586">
        <v>27067.344000000001</v>
      </c>
      <c r="M586">
        <v>12</v>
      </c>
      <c r="N586" t="s">
        <v>41</v>
      </c>
      <c r="O586" t="s">
        <v>21</v>
      </c>
    </row>
    <row r="587" spans="1:15" x14ac:dyDescent="0.3">
      <c r="A587" t="s">
        <v>655</v>
      </c>
      <c r="B587" t="s">
        <v>23</v>
      </c>
      <c r="C587" t="s">
        <v>24</v>
      </c>
      <c r="D587">
        <v>26527.78</v>
      </c>
      <c r="E587">
        <v>4</v>
      </c>
      <c r="F587">
        <v>106111.12</v>
      </c>
      <c r="G587" s="1">
        <v>45337</v>
      </c>
      <c r="H587" t="s">
        <v>80</v>
      </c>
      <c r="I587">
        <v>3.7</v>
      </c>
      <c r="J587" t="s">
        <v>59</v>
      </c>
      <c r="K587">
        <v>2024</v>
      </c>
      <c r="L587">
        <v>21222.224000000002</v>
      </c>
      <c r="M587">
        <v>30</v>
      </c>
      <c r="N587" t="s">
        <v>27</v>
      </c>
      <c r="O587" t="s">
        <v>28</v>
      </c>
    </row>
    <row r="588" spans="1:15" x14ac:dyDescent="0.3">
      <c r="A588" t="s">
        <v>656</v>
      </c>
      <c r="B588" t="s">
        <v>39</v>
      </c>
      <c r="C588" t="s">
        <v>40</v>
      </c>
      <c r="D588">
        <v>37170.400000000001</v>
      </c>
      <c r="E588">
        <v>5</v>
      </c>
      <c r="F588">
        <v>185852</v>
      </c>
      <c r="G588" s="1">
        <v>45420</v>
      </c>
      <c r="H588" t="s">
        <v>18</v>
      </c>
      <c r="I588">
        <v>3.7</v>
      </c>
      <c r="J588" t="s">
        <v>32</v>
      </c>
      <c r="K588">
        <v>2024</v>
      </c>
      <c r="L588">
        <v>37170.400000000001</v>
      </c>
      <c r="M588">
        <v>14</v>
      </c>
      <c r="N588" t="s">
        <v>41</v>
      </c>
      <c r="O588" t="s">
        <v>68</v>
      </c>
    </row>
    <row r="589" spans="1:15" x14ac:dyDescent="0.3">
      <c r="A589" t="s">
        <v>657</v>
      </c>
      <c r="B589" t="s">
        <v>23</v>
      </c>
      <c r="C589" t="s">
        <v>24</v>
      </c>
      <c r="D589">
        <v>47535.79</v>
      </c>
      <c r="E589">
        <v>5</v>
      </c>
      <c r="F589">
        <v>237678.95</v>
      </c>
      <c r="G589" s="1">
        <v>45337</v>
      </c>
      <c r="H589" t="s">
        <v>18</v>
      </c>
      <c r="I589">
        <v>1.8</v>
      </c>
      <c r="J589" t="s">
        <v>59</v>
      </c>
      <c r="K589">
        <v>2024</v>
      </c>
      <c r="L589">
        <v>47535.790000000008</v>
      </c>
      <c r="M589">
        <v>30</v>
      </c>
      <c r="N589" t="s">
        <v>20</v>
      </c>
      <c r="O589" t="s">
        <v>68</v>
      </c>
    </row>
    <row r="590" spans="1:15" x14ac:dyDescent="0.3">
      <c r="A590" t="s">
        <v>658</v>
      </c>
      <c r="B590" t="s">
        <v>84</v>
      </c>
      <c r="C590" t="s">
        <v>40</v>
      </c>
      <c r="D590">
        <v>30252.89</v>
      </c>
      <c r="E590">
        <v>4</v>
      </c>
      <c r="F590">
        <v>121011.56</v>
      </c>
      <c r="G590" s="1">
        <v>45642</v>
      </c>
      <c r="H590" t="s">
        <v>44</v>
      </c>
      <c r="I590">
        <v>4.0999999999999996</v>
      </c>
      <c r="J590" t="s">
        <v>26</v>
      </c>
      <c r="K590">
        <v>2024</v>
      </c>
      <c r="L590">
        <v>24202.312000000002</v>
      </c>
      <c r="M590">
        <v>6</v>
      </c>
      <c r="N590" t="s">
        <v>20</v>
      </c>
      <c r="O590" t="s">
        <v>21</v>
      </c>
    </row>
    <row r="591" spans="1:15" x14ac:dyDescent="0.3">
      <c r="A591" t="s">
        <v>659</v>
      </c>
      <c r="B591" t="s">
        <v>47</v>
      </c>
      <c r="C591" t="s">
        <v>24</v>
      </c>
      <c r="D591">
        <v>3126.9</v>
      </c>
      <c r="E591">
        <v>3</v>
      </c>
      <c r="F591">
        <v>9380.7000000000007</v>
      </c>
      <c r="G591" s="1">
        <v>45595</v>
      </c>
      <c r="H591" t="s">
        <v>64</v>
      </c>
      <c r="I591">
        <v>1.9</v>
      </c>
      <c r="J591" t="s">
        <v>45</v>
      </c>
      <c r="K591">
        <v>2024</v>
      </c>
      <c r="L591">
        <v>1876.1400000000003</v>
      </c>
      <c r="M591">
        <v>23</v>
      </c>
      <c r="N591" t="s">
        <v>27</v>
      </c>
      <c r="O591" t="s">
        <v>68</v>
      </c>
    </row>
    <row r="592" spans="1:15" x14ac:dyDescent="0.3">
      <c r="A592" t="s">
        <v>660</v>
      </c>
      <c r="B592" t="s">
        <v>125</v>
      </c>
      <c r="C592" t="s">
        <v>17</v>
      </c>
      <c r="D592">
        <v>40295.47</v>
      </c>
      <c r="E592">
        <v>3</v>
      </c>
      <c r="F592">
        <v>120886.41</v>
      </c>
      <c r="G592" s="1">
        <v>45411</v>
      </c>
      <c r="H592" t="s">
        <v>25</v>
      </c>
      <c r="I592">
        <v>2.8</v>
      </c>
      <c r="J592" t="s">
        <v>62</v>
      </c>
      <c r="K592">
        <v>2024</v>
      </c>
      <c r="L592">
        <v>24177.282000000003</v>
      </c>
      <c r="M592">
        <v>13</v>
      </c>
      <c r="N592" t="s">
        <v>41</v>
      </c>
      <c r="O592" t="s">
        <v>21</v>
      </c>
    </row>
    <row r="593" spans="1:15" x14ac:dyDescent="0.3">
      <c r="A593" t="s">
        <v>661</v>
      </c>
      <c r="B593" t="s">
        <v>58</v>
      </c>
      <c r="C593" t="s">
        <v>31</v>
      </c>
      <c r="D593">
        <v>462</v>
      </c>
      <c r="E593">
        <v>4</v>
      </c>
      <c r="F593">
        <v>1848</v>
      </c>
      <c r="G593" s="1">
        <v>45461</v>
      </c>
      <c r="H593" t="s">
        <v>64</v>
      </c>
      <c r="I593">
        <v>3.4</v>
      </c>
      <c r="J593" t="s">
        <v>67</v>
      </c>
      <c r="K593">
        <v>2024</v>
      </c>
      <c r="L593">
        <v>369.6</v>
      </c>
      <c r="M593">
        <v>11</v>
      </c>
      <c r="N593" t="s">
        <v>41</v>
      </c>
      <c r="O593" t="s">
        <v>68</v>
      </c>
    </row>
    <row r="594" spans="1:15" x14ac:dyDescent="0.3">
      <c r="A594" t="s">
        <v>662</v>
      </c>
      <c r="B594" t="s">
        <v>61</v>
      </c>
      <c r="C594" t="s">
        <v>31</v>
      </c>
      <c r="D594">
        <v>22475.54</v>
      </c>
      <c r="E594">
        <v>3</v>
      </c>
      <c r="F594">
        <v>67426.62</v>
      </c>
      <c r="G594" s="1">
        <v>45366</v>
      </c>
      <c r="H594" t="s">
        <v>25</v>
      </c>
      <c r="I594">
        <v>1.6</v>
      </c>
      <c r="J594" t="s">
        <v>56</v>
      </c>
      <c r="K594">
        <v>2024</v>
      </c>
      <c r="L594">
        <v>13485.324000000001</v>
      </c>
      <c r="M594">
        <v>8</v>
      </c>
      <c r="N594" t="s">
        <v>27</v>
      </c>
      <c r="O594" t="s">
        <v>33</v>
      </c>
    </row>
    <row r="595" spans="1:15" x14ac:dyDescent="0.3">
      <c r="A595" t="s">
        <v>663</v>
      </c>
      <c r="B595" t="s">
        <v>107</v>
      </c>
      <c r="C595" t="s">
        <v>36</v>
      </c>
      <c r="D595">
        <v>19218.55</v>
      </c>
      <c r="E595">
        <v>2</v>
      </c>
      <c r="F595">
        <v>38437.1</v>
      </c>
      <c r="G595" s="1">
        <v>45555</v>
      </c>
      <c r="H595" t="s">
        <v>44</v>
      </c>
      <c r="I595">
        <v>4.5</v>
      </c>
      <c r="J595" t="s">
        <v>19</v>
      </c>
      <c r="K595">
        <v>2024</v>
      </c>
      <c r="L595">
        <v>7687.42</v>
      </c>
      <c r="M595">
        <v>30</v>
      </c>
      <c r="N595" t="s">
        <v>20</v>
      </c>
      <c r="O595" t="s">
        <v>28</v>
      </c>
    </row>
    <row r="596" spans="1:15" x14ac:dyDescent="0.3">
      <c r="A596" t="s">
        <v>664</v>
      </c>
      <c r="B596" t="s">
        <v>35</v>
      </c>
      <c r="C596" t="s">
        <v>36</v>
      </c>
      <c r="D596">
        <v>31162.39</v>
      </c>
      <c r="E596">
        <v>5</v>
      </c>
      <c r="F596">
        <v>155811.95000000001</v>
      </c>
      <c r="G596" s="1">
        <v>45398</v>
      </c>
      <c r="H596" t="s">
        <v>71</v>
      </c>
      <c r="I596">
        <v>3.4</v>
      </c>
      <c r="J596" t="s">
        <v>62</v>
      </c>
      <c r="K596">
        <v>2024</v>
      </c>
      <c r="L596">
        <v>31162.390000000003</v>
      </c>
      <c r="M596">
        <v>25</v>
      </c>
      <c r="N596" t="s">
        <v>27</v>
      </c>
      <c r="O596" t="s">
        <v>33</v>
      </c>
    </row>
    <row r="597" spans="1:15" x14ac:dyDescent="0.3">
      <c r="A597" t="s">
        <v>665</v>
      </c>
      <c r="B597" t="s">
        <v>94</v>
      </c>
      <c r="C597" t="s">
        <v>31</v>
      </c>
      <c r="D597">
        <v>16017.54</v>
      </c>
      <c r="E597">
        <v>1</v>
      </c>
      <c r="F597">
        <v>16017.54</v>
      </c>
      <c r="G597" s="1">
        <v>45458</v>
      </c>
      <c r="H597" t="s">
        <v>25</v>
      </c>
      <c r="I597">
        <v>3.5</v>
      </c>
      <c r="J597" t="s">
        <v>67</v>
      </c>
      <c r="K597">
        <v>2024</v>
      </c>
      <c r="L597">
        <v>3203.5080000000003</v>
      </c>
      <c r="M597">
        <v>22</v>
      </c>
      <c r="N597" t="s">
        <v>20</v>
      </c>
      <c r="O597" t="s">
        <v>28</v>
      </c>
    </row>
    <row r="598" spans="1:15" x14ac:dyDescent="0.3">
      <c r="A598" t="s">
        <v>666</v>
      </c>
      <c r="B598" t="s">
        <v>39</v>
      </c>
      <c r="C598" t="s">
        <v>40</v>
      </c>
      <c r="D598">
        <v>19008.810000000001</v>
      </c>
      <c r="E598">
        <v>4</v>
      </c>
      <c r="F598">
        <v>76035.240000000005</v>
      </c>
      <c r="G598" s="1">
        <v>45478</v>
      </c>
      <c r="H598" t="s">
        <v>64</v>
      </c>
      <c r="I598">
        <v>4.2</v>
      </c>
      <c r="J598" t="s">
        <v>48</v>
      </c>
      <c r="K598">
        <v>2024</v>
      </c>
      <c r="L598">
        <v>15207.048000000003</v>
      </c>
      <c r="M598">
        <v>17</v>
      </c>
      <c r="N598" t="s">
        <v>41</v>
      </c>
      <c r="O598" t="s">
        <v>28</v>
      </c>
    </row>
    <row r="599" spans="1:15" x14ac:dyDescent="0.3">
      <c r="A599" t="s">
        <v>667</v>
      </c>
      <c r="B599" t="s">
        <v>107</v>
      </c>
      <c r="C599" t="s">
        <v>36</v>
      </c>
      <c r="D599">
        <v>22353.43</v>
      </c>
      <c r="E599">
        <v>3</v>
      </c>
      <c r="F599">
        <v>67060.289999999994</v>
      </c>
      <c r="G599" s="1">
        <v>45628</v>
      </c>
      <c r="H599" t="s">
        <v>18</v>
      </c>
      <c r="I599">
        <v>1.3</v>
      </c>
      <c r="J599" t="s">
        <v>26</v>
      </c>
      <c r="K599">
        <v>2024</v>
      </c>
      <c r="L599">
        <v>13412.057999999999</v>
      </c>
      <c r="M599">
        <v>15</v>
      </c>
      <c r="N599" t="s">
        <v>20</v>
      </c>
      <c r="O599" t="s">
        <v>28</v>
      </c>
    </row>
    <row r="600" spans="1:15" x14ac:dyDescent="0.3">
      <c r="A600" t="s">
        <v>668</v>
      </c>
      <c r="B600" t="s">
        <v>43</v>
      </c>
      <c r="C600" t="s">
        <v>40</v>
      </c>
      <c r="D600">
        <v>30122.28</v>
      </c>
      <c r="E600">
        <v>5</v>
      </c>
      <c r="F600">
        <v>150611.4</v>
      </c>
      <c r="G600" s="1">
        <v>45687</v>
      </c>
      <c r="H600" t="s">
        <v>25</v>
      </c>
      <c r="I600">
        <v>4.8</v>
      </c>
      <c r="J600" t="s">
        <v>53</v>
      </c>
      <c r="K600">
        <v>2025</v>
      </c>
      <c r="L600">
        <v>30122.28</v>
      </c>
      <c r="M600">
        <v>28</v>
      </c>
      <c r="N600" t="s">
        <v>27</v>
      </c>
      <c r="O600" t="s">
        <v>33</v>
      </c>
    </row>
    <row r="601" spans="1:15" x14ac:dyDescent="0.3">
      <c r="A601" t="s">
        <v>669</v>
      </c>
      <c r="B601" t="s">
        <v>55</v>
      </c>
      <c r="C601" t="s">
        <v>36</v>
      </c>
      <c r="D601">
        <v>7289.72</v>
      </c>
      <c r="E601">
        <v>5</v>
      </c>
      <c r="F601">
        <v>36448.6</v>
      </c>
      <c r="G601" s="1">
        <v>45441</v>
      </c>
      <c r="H601" t="s">
        <v>44</v>
      </c>
      <c r="I601">
        <v>1.9</v>
      </c>
      <c r="J601" t="s">
        <v>32</v>
      </c>
      <c r="K601">
        <v>2024</v>
      </c>
      <c r="L601">
        <v>7289.72</v>
      </c>
      <c r="M601">
        <v>8</v>
      </c>
      <c r="N601" t="s">
        <v>41</v>
      </c>
      <c r="O601" t="s">
        <v>28</v>
      </c>
    </row>
    <row r="602" spans="1:15" x14ac:dyDescent="0.3">
      <c r="A602" t="s">
        <v>670</v>
      </c>
      <c r="B602" t="s">
        <v>35</v>
      </c>
      <c r="C602" t="s">
        <v>36</v>
      </c>
      <c r="D602">
        <v>32122.43</v>
      </c>
      <c r="E602">
        <v>4</v>
      </c>
      <c r="F602">
        <v>128489.72</v>
      </c>
      <c r="G602" s="1">
        <v>45344</v>
      </c>
      <c r="H602" t="s">
        <v>64</v>
      </c>
      <c r="I602">
        <v>2.8</v>
      </c>
      <c r="J602" t="s">
        <v>59</v>
      </c>
      <c r="K602">
        <v>2024</v>
      </c>
      <c r="L602">
        <v>25697.944000000003</v>
      </c>
      <c r="M602">
        <v>29</v>
      </c>
      <c r="N602" t="s">
        <v>27</v>
      </c>
      <c r="O602" t="s">
        <v>33</v>
      </c>
    </row>
    <row r="603" spans="1:15" x14ac:dyDescent="0.3">
      <c r="A603" t="s">
        <v>671</v>
      </c>
      <c r="B603" t="s">
        <v>47</v>
      </c>
      <c r="C603" t="s">
        <v>24</v>
      </c>
      <c r="D603">
        <v>43852.34</v>
      </c>
      <c r="E603">
        <v>3</v>
      </c>
      <c r="F603">
        <v>131557.01999999999</v>
      </c>
      <c r="G603" s="1">
        <v>45406</v>
      </c>
      <c r="H603" t="s">
        <v>80</v>
      </c>
      <c r="I603">
        <v>4.2</v>
      </c>
      <c r="J603" t="s">
        <v>62</v>
      </c>
      <c r="K603">
        <v>2024</v>
      </c>
      <c r="L603">
        <v>26311.403999999999</v>
      </c>
      <c r="M603">
        <v>25</v>
      </c>
      <c r="N603" t="s">
        <v>27</v>
      </c>
      <c r="O603" t="s">
        <v>21</v>
      </c>
    </row>
    <row r="604" spans="1:15" x14ac:dyDescent="0.3">
      <c r="A604" t="s">
        <v>672</v>
      </c>
      <c r="B604" t="s">
        <v>84</v>
      </c>
      <c r="C604" t="s">
        <v>40</v>
      </c>
      <c r="D604">
        <v>23005.86</v>
      </c>
      <c r="E604">
        <v>1</v>
      </c>
      <c r="F604">
        <v>23005.86</v>
      </c>
      <c r="G604" s="1">
        <v>45491</v>
      </c>
      <c r="H604" t="s">
        <v>71</v>
      </c>
      <c r="I604">
        <v>4.8</v>
      </c>
      <c r="J604" t="s">
        <v>48</v>
      </c>
      <c r="K604">
        <v>2024</v>
      </c>
      <c r="L604">
        <v>4601.1720000000005</v>
      </c>
      <c r="M604">
        <v>29</v>
      </c>
      <c r="N604" t="s">
        <v>20</v>
      </c>
      <c r="O604" t="s">
        <v>68</v>
      </c>
    </row>
    <row r="605" spans="1:15" x14ac:dyDescent="0.3">
      <c r="A605" t="s">
        <v>673</v>
      </c>
      <c r="B605" t="s">
        <v>47</v>
      </c>
      <c r="C605" t="s">
        <v>24</v>
      </c>
      <c r="D605">
        <v>48580.6</v>
      </c>
      <c r="E605">
        <v>1</v>
      </c>
      <c r="F605">
        <v>48580.6</v>
      </c>
      <c r="G605" s="1">
        <v>45574</v>
      </c>
      <c r="H605" t="s">
        <v>25</v>
      </c>
      <c r="I605">
        <v>3</v>
      </c>
      <c r="J605" t="s">
        <v>45</v>
      </c>
      <c r="K605">
        <v>2024</v>
      </c>
      <c r="L605">
        <v>9716.1200000000008</v>
      </c>
      <c r="M605">
        <v>8</v>
      </c>
      <c r="N605" t="s">
        <v>27</v>
      </c>
      <c r="O605" t="s">
        <v>68</v>
      </c>
    </row>
    <row r="606" spans="1:15" x14ac:dyDescent="0.3">
      <c r="A606" t="s">
        <v>674</v>
      </c>
      <c r="B606" t="s">
        <v>30</v>
      </c>
      <c r="C606" t="s">
        <v>31</v>
      </c>
      <c r="D606">
        <v>10320.870000000001</v>
      </c>
      <c r="E606">
        <v>5</v>
      </c>
      <c r="F606">
        <v>51604.35</v>
      </c>
      <c r="G606" s="1">
        <v>45693</v>
      </c>
      <c r="H606" t="s">
        <v>44</v>
      </c>
      <c r="I606">
        <v>2.8</v>
      </c>
      <c r="J606" t="s">
        <v>59</v>
      </c>
      <c r="K606">
        <v>2025</v>
      </c>
      <c r="L606">
        <v>10320.870000000001</v>
      </c>
      <c r="M606">
        <v>14</v>
      </c>
      <c r="N606" t="s">
        <v>20</v>
      </c>
      <c r="O606" t="s">
        <v>28</v>
      </c>
    </row>
    <row r="607" spans="1:15" x14ac:dyDescent="0.3">
      <c r="A607" t="s">
        <v>675</v>
      </c>
      <c r="B607" t="s">
        <v>39</v>
      </c>
      <c r="C607" t="s">
        <v>40</v>
      </c>
      <c r="D607">
        <v>43149.24</v>
      </c>
      <c r="E607">
        <v>1</v>
      </c>
      <c r="F607">
        <v>43149.24</v>
      </c>
      <c r="G607" s="1">
        <v>45479</v>
      </c>
      <c r="H607" t="s">
        <v>25</v>
      </c>
      <c r="I607">
        <v>1.9</v>
      </c>
      <c r="J607" t="s">
        <v>48</v>
      </c>
      <c r="K607">
        <v>2024</v>
      </c>
      <c r="L607">
        <v>8629.848</v>
      </c>
      <c r="M607">
        <v>9</v>
      </c>
      <c r="N607" t="s">
        <v>41</v>
      </c>
      <c r="O607" t="s">
        <v>33</v>
      </c>
    </row>
    <row r="608" spans="1:15" x14ac:dyDescent="0.3">
      <c r="A608" t="s">
        <v>676</v>
      </c>
      <c r="B608" t="s">
        <v>125</v>
      </c>
      <c r="C608" t="s">
        <v>17</v>
      </c>
      <c r="D608">
        <v>567.80999999999995</v>
      </c>
      <c r="E608">
        <v>4</v>
      </c>
      <c r="F608">
        <v>2271.2399999999998</v>
      </c>
      <c r="G608" s="1">
        <v>45674</v>
      </c>
      <c r="H608" t="s">
        <v>44</v>
      </c>
      <c r="I608">
        <v>4.5</v>
      </c>
      <c r="J608" t="s">
        <v>53</v>
      </c>
      <c r="K608">
        <v>2025</v>
      </c>
      <c r="L608">
        <v>454.24799999999999</v>
      </c>
      <c r="M608">
        <v>13</v>
      </c>
      <c r="N608" t="s">
        <v>20</v>
      </c>
      <c r="O608" t="s">
        <v>68</v>
      </c>
    </row>
    <row r="609" spans="1:15" x14ac:dyDescent="0.3">
      <c r="A609" t="s">
        <v>677</v>
      </c>
      <c r="B609" t="s">
        <v>70</v>
      </c>
      <c r="C609" t="s">
        <v>17</v>
      </c>
      <c r="D609">
        <v>6705.43</v>
      </c>
      <c r="E609">
        <v>5</v>
      </c>
      <c r="F609">
        <v>33527.15</v>
      </c>
      <c r="G609" s="1">
        <v>45536</v>
      </c>
      <c r="H609" t="s">
        <v>44</v>
      </c>
      <c r="I609">
        <v>4.5</v>
      </c>
      <c r="J609" t="s">
        <v>19</v>
      </c>
      <c r="K609">
        <v>2024</v>
      </c>
      <c r="L609">
        <v>6705.43</v>
      </c>
      <c r="M609">
        <v>28</v>
      </c>
      <c r="N609" t="s">
        <v>41</v>
      </c>
      <c r="O609" t="s">
        <v>33</v>
      </c>
    </row>
    <row r="610" spans="1:15" x14ac:dyDescent="0.3">
      <c r="A610" t="s">
        <v>678</v>
      </c>
      <c r="B610" t="s">
        <v>78</v>
      </c>
      <c r="C610" t="s">
        <v>24</v>
      </c>
      <c r="D610">
        <v>29974.35</v>
      </c>
      <c r="E610">
        <v>5</v>
      </c>
      <c r="F610">
        <v>149871.75</v>
      </c>
      <c r="G610" s="1">
        <v>45658</v>
      </c>
      <c r="H610" t="s">
        <v>44</v>
      </c>
      <c r="I610">
        <v>3.1</v>
      </c>
      <c r="J610" t="s">
        <v>53</v>
      </c>
      <c r="K610">
        <v>2025</v>
      </c>
      <c r="L610">
        <v>29974.350000000002</v>
      </c>
      <c r="M610">
        <v>7</v>
      </c>
      <c r="N610" t="s">
        <v>20</v>
      </c>
      <c r="O610" t="s">
        <v>33</v>
      </c>
    </row>
    <row r="611" spans="1:15" x14ac:dyDescent="0.3">
      <c r="A611" t="s">
        <v>679</v>
      </c>
      <c r="B611" t="s">
        <v>55</v>
      </c>
      <c r="C611" t="s">
        <v>36</v>
      </c>
      <c r="D611">
        <v>5739.3</v>
      </c>
      <c r="E611">
        <v>4</v>
      </c>
      <c r="F611">
        <v>22957.200000000001</v>
      </c>
      <c r="G611" s="1">
        <v>45488</v>
      </c>
      <c r="H611" t="s">
        <v>71</v>
      </c>
      <c r="I611">
        <v>4.5999999999999996</v>
      </c>
      <c r="J611" t="s">
        <v>48</v>
      </c>
      <c r="K611">
        <v>2024</v>
      </c>
      <c r="L611">
        <v>4591.4400000000005</v>
      </c>
      <c r="M611">
        <v>21</v>
      </c>
      <c r="N611" t="s">
        <v>27</v>
      </c>
      <c r="O611" t="s">
        <v>28</v>
      </c>
    </row>
    <row r="612" spans="1:15" x14ac:dyDescent="0.3">
      <c r="A612" t="s">
        <v>680</v>
      </c>
      <c r="B612" t="s">
        <v>23</v>
      </c>
      <c r="C612" t="s">
        <v>24</v>
      </c>
      <c r="D612">
        <v>21417.72</v>
      </c>
      <c r="E612">
        <v>4</v>
      </c>
      <c r="F612">
        <v>85670.88</v>
      </c>
      <c r="G612" s="1">
        <v>45493</v>
      </c>
      <c r="H612" t="s">
        <v>18</v>
      </c>
      <c r="I612">
        <v>4.5</v>
      </c>
      <c r="J612" t="s">
        <v>48</v>
      </c>
      <c r="K612">
        <v>2024</v>
      </c>
      <c r="L612">
        <v>17134.176000000003</v>
      </c>
      <c r="M612">
        <v>7</v>
      </c>
      <c r="N612" t="s">
        <v>20</v>
      </c>
      <c r="O612" t="s">
        <v>68</v>
      </c>
    </row>
    <row r="613" spans="1:15" x14ac:dyDescent="0.3">
      <c r="A613" t="s">
        <v>681</v>
      </c>
      <c r="B613" t="s">
        <v>50</v>
      </c>
      <c r="C613" t="s">
        <v>40</v>
      </c>
      <c r="D613">
        <v>25404.68</v>
      </c>
      <c r="E613">
        <v>4</v>
      </c>
      <c r="F613">
        <v>101618.72</v>
      </c>
      <c r="G613" s="1">
        <v>45668</v>
      </c>
      <c r="H613" t="s">
        <v>71</v>
      </c>
      <c r="I613">
        <v>4.5999999999999996</v>
      </c>
      <c r="J613" t="s">
        <v>53</v>
      </c>
      <c r="K613">
        <v>2025</v>
      </c>
      <c r="L613">
        <v>20323.744000000002</v>
      </c>
      <c r="M613">
        <v>20</v>
      </c>
      <c r="N613" t="s">
        <v>20</v>
      </c>
      <c r="O613" t="s">
        <v>28</v>
      </c>
    </row>
    <row r="614" spans="1:15" x14ac:dyDescent="0.3">
      <c r="A614" t="s">
        <v>682</v>
      </c>
      <c r="B614" t="s">
        <v>43</v>
      </c>
      <c r="C614" t="s">
        <v>40</v>
      </c>
      <c r="D614">
        <v>27582.01</v>
      </c>
      <c r="E614">
        <v>2</v>
      </c>
      <c r="F614">
        <v>55164.02</v>
      </c>
      <c r="G614" s="1">
        <v>45335</v>
      </c>
      <c r="H614" t="s">
        <v>18</v>
      </c>
      <c r="I614">
        <v>1.5</v>
      </c>
      <c r="J614" t="s">
        <v>59</v>
      </c>
      <c r="K614">
        <v>2024</v>
      </c>
      <c r="L614">
        <v>11032.804</v>
      </c>
      <c r="M614">
        <v>8</v>
      </c>
      <c r="N614" t="s">
        <v>41</v>
      </c>
      <c r="O614" t="s">
        <v>28</v>
      </c>
    </row>
    <row r="615" spans="1:15" x14ac:dyDescent="0.3">
      <c r="A615" t="s">
        <v>683</v>
      </c>
      <c r="B615" t="s">
        <v>84</v>
      </c>
      <c r="C615" t="s">
        <v>40</v>
      </c>
      <c r="D615">
        <v>23584.89</v>
      </c>
      <c r="E615">
        <v>3</v>
      </c>
      <c r="F615">
        <v>70754.67</v>
      </c>
      <c r="G615" s="1">
        <v>45480</v>
      </c>
      <c r="H615" t="s">
        <v>44</v>
      </c>
      <c r="I615">
        <v>4.0999999999999996</v>
      </c>
      <c r="J615" t="s">
        <v>48</v>
      </c>
      <c r="K615">
        <v>2024</v>
      </c>
      <c r="L615">
        <v>14150.934000000001</v>
      </c>
      <c r="M615">
        <v>22</v>
      </c>
      <c r="N615" t="s">
        <v>27</v>
      </c>
      <c r="O615" t="s">
        <v>68</v>
      </c>
    </row>
    <row r="616" spans="1:15" x14ac:dyDescent="0.3">
      <c r="A616" t="s">
        <v>684</v>
      </c>
      <c r="B616" t="s">
        <v>16</v>
      </c>
      <c r="C616" t="s">
        <v>17</v>
      </c>
      <c r="D616">
        <v>24444.89</v>
      </c>
      <c r="E616">
        <v>3</v>
      </c>
      <c r="F616">
        <v>73334.67</v>
      </c>
      <c r="G616" s="1">
        <v>45533</v>
      </c>
      <c r="H616" t="s">
        <v>44</v>
      </c>
      <c r="I616">
        <v>1.2</v>
      </c>
      <c r="J616" t="s">
        <v>88</v>
      </c>
      <c r="K616">
        <v>2024</v>
      </c>
      <c r="L616">
        <v>14666.934000000001</v>
      </c>
      <c r="M616">
        <v>21</v>
      </c>
      <c r="N616" t="s">
        <v>20</v>
      </c>
      <c r="O616" t="s">
        <v>68</v>
      </c>
    </row>
    <row r="617" spans="1:15" x14ac:dyDescent="0.3">
      <c r="A617" t="s">
        <v>685</v>
      </c>
      <c r="B617" t="s">
        <v>176</v>
      </c>
      <c r="C617" t="s">
        <v>24</v>
      </c>
      <c r="D617">
        <v>8080.22</v>
      </c>
      <c r="E617">
        <v>2</v>
      </c>
      <c r="F617">
        <v>16160.44</v>
      </c>
      <c r="G617" s="1">
        <v>45358</v>
      </c>
      <c r="H617" t="s">
        <v>18</v>
      </c>
      <c r="I617">
        <v>3.6</v>
      </c>
      <c r="J617" t="s">
        <v>56</v>
      </c>
      <c r="K617">
        <v>2024</v>
      </c>
      <c r="L617">
        <v>3232.0880000000002</v>
      </c>
      <c r="M617">
        <v>11</v>
      </c>
      <c r="N617" t="s">
        <v>27</v>
      </c>
      <c r="O617" t="s">
        <v>21</v>
      </c>
    </row>
    <row r="618" spans="1:15" x14ac:dyDescent="0.3">
      <c r="A618" t="s">
        <v>686</v>
      </c>
      <c r="B618" t="s">
        <v>61</v>
      </c>
      <c r="C618" t="s">
        <v>31</v>
      </c>
      <c r="D618">
        <v>27860.799999999999</v>
      </c>
      <c r="E618">
        <v>2</v>
      </c>
      <c r="F618">
        <v>55721.599999999999</v>
      </c>
      <c r="G618" s="1">
        <v>45487</v>
      </c>
      <c r="H618" t="s">
        <v>71</v>
      </c>
      <c r="I618">
        <v>2.6</v>
      </c>
      <c r="J618" t="s">
        <v>48</v>
      </c>
      <c r="K618">
        <v>2024</v>
      </c>
      <c r="L618">
        <v>11144.32</v>
      </c>
      <c r="M618">
        <v>28</v>
      </c>
      <c r="N618" t="s">
        <v>20</v>
      </c>
      <c r="O618" t="s">
        <v>21</v>
      </c>
    </row>
    <row r="619" spans="1:15" x14ac:dyDescent="0.3">
      <c r="A619" t="s">
        <v>687</v>
      </c>
      <c r="B619" t="s">
        <v>118</v>
      </c>
      <c r="C619" t="s">
        <v>17</v>
      </c>
      <c r="D619">
        <v>30468.47</v>
      </c>
      <c r="E619">
        <v>3</v>
      </c>
      <c r="F619">
        <v>91405.41</v>
      </c>
      <c r="G619" s="1">
        <v>45470</v>
      </c>
      <c r="H619" t="s">
        <v>71</v>
      </c>
      <c r="I619">
        <v>1.7</v>
      </c>
      <c r="J619" t="s">
        <v>67</v>
      </c>
      <c r="K619">
        <v>2024</v>
      </c>
      <c r="L619">
        <v>18281.082000000002</v>
      </c>
      <c r="M619">
        <v>27</v>
      </c>
      <c r="N619" t="s">
        <v>20</v>
      </c>
      <c r="O619" t="s">
        <v>33</v>
      </c>
    </row>
    <row r="620" spans="1:15" x14ac:dyDescent="0.3">
      <c r="A620" t="s">
        <v>688</v>
      </c>
      <c r="B620" t="s">
        <v>61</v>
      </c>
      <c r="C620" t="s">
        <v>31</v>
      </c>
      <c r="D620">
        <v>7718.78</v>
      </c>
      <c r="E620">
        <v>1</v>
      </c>
      <c r="F620">
        <v>7718.78</v>
      </c>
      <c r="G620" s="1">
        <v>45654</v>
      </c>
      <c r="H620" t="s">
        <v>18</v>
      </c>
      <c r="I620">
        <v>1.1000000000000001</v>
      </c>
      <c r="J620" t="s">
        <v>26</v>
      </c>
      <c r="K620">
        <v>2024</v>
      </c>
      <c r="L620">
        <v>1543.7560000000001</v>
      </c>
      <c r="M620">
        <v>9</v>
      </c>
      <c r="N620" t="s">
        <v>27</v>
      </c>
      <c r="O620" t="s">
        <v>68</v>
      </c>
    </row>
    <row r="621" spans="1:15" x14ac:dyDescent="0.3">
      <c r="A621" t="s">
        <v>689</v>
      </c>
      <c r="B621" t="s">
        <v>30</v>
      </c>
      <c r="C621" t="s">
        <v>31</v>
      </c>
      <c r="D621">
        <v>34866.42</v>
      </c>
      <c r="E621">
        <v>1</v>
      </c>
      <c r="F621">
        <v>34866.42</v>
      </c>
      <c r="G621" s="1">
        <v>45644</v>
      </c>
      <c r="H621" t="s">
        <v>64</v>
      </c>
      <c r="I621">
        <v>3.6</v>
      </c>
      <c r="J621" t="s">
        <v>26</v>
      </c>
      <c r="K621">
        <v>2024</v>
      </c>
      <c r="L621">
        <v>6973.2839999999997</v>
      </c>
      <c r="M621">
        <v>16</v>
      </c>
      <c r="N621" t="s">
        <v>20</v>
      </c>
      <c r="O621" t="s">
        <v>21</v>
      </c>
    </row>
    <row r="622" spans="1:15" x14ac:dyDescent="0.3">
      <c r="A622" t="s">
        <v>690</v>
      </c>
      <c r="B622" t="s">
        <v>47</v>
      </c>
      <c r="C622" t="s">
        <v>24</v>
      </c>
      <c r="D622">
        <v>5369.5</v>
      </c>
      <c r="E622">
        <v>1</v>
      </c>
      <c r="F622">
        <v>5369.5</v>
      </c>
      <c r="G622" s="1">
        <v>45574</v>
      </c>
      <c r="H622" t="s">
        <v>64</v>
      </c>
      <c r="I622">
        <v>3.2</v>
      </c>
      <c r="J622" t="s">
        <v>45</v>
      </c>
      <c r="K622">
        <v>2024</v>
      </c>
      <c r="L622">
        <v>1073.9000000000001</v>
      </c>
      <c r="M622">
        <v>21</v>
      </c>
      <c r="N622" t="s">
        <v>27</v>
      </c>
      <c r="O622" t="s">
        <v>33</v>
      </c>
    </row>
    <row r="623" spans="1:15" x14ac:dyDescent="0.3">
      <c r="A623" t="s">
        <v>691</v>
      </c>
      <c r="B623" t="s">
        <v>58</v>
      </c>
      <c r="C623" t="s">
        <v>31</v>
      </c>
      <c r="D623">
        <v>18338.759999999998</v>
      </c>
      <c r="E623">
        <v>5</v>
      </c>
      <c r="F623">
        <v>91693.8</v>
      </c>
      <c r="G623" s="1">
        <v>45337</v>
      </c>
      <c r="H623" t="s">
        <v>44</v>
      </c>
      <c r="I623">
        <v>4</v>
      </c>
      <c r="J623" t="s">
        <v>59</v>
      </c>
      <c r="K623">
        <v>2024</v>
      </c>
      <c r="L623">
        <v>18338.760000000002</v>
      </c>
      <c r="M623">
        <v>27</v>
      </c>
      <c r="N623" t="s">
        <v>20</v>
      </c>
      <c r="O623" t="s">
        <v>33</v>
      </c>
    </row>
    <row r="624" spans="1:15" x14ac:dyDescent="0.3">
      <c r="A624" t="s">
        <v>692</v>
      </c>
      <c r="B624" t="s">
        <v>107</v>
      </c>
      <c r="C624" t="s">
        <v>36</v>
      </c>
      <c r="D624">
        <v>48287.49</v>
      </c>
      <c r="E624">
        <v>4</v>
      </c>
      <c r="F624">
        <v>193149.96</v>
      </c>
      <c r="G624" s="1">
        <v>45624</v>
      </c>
      <c r="H624" t="s">
        <v>25</v>
      </c>
      <c r="I624">
        <v>1.1000000000000001</v>
      </c>
      <c r="J624" t="s">
        <v>37</v>
      </c>
      <c r="K624">
        <v>2024</v>
      </c>
      <c r="L624">
        <v>38629.991999999998</v>
      </c>
      <c r="M624">
        <v>17</v>
      </c>
      <c r="N624" t="s">
        <v>41</v>
      </c>
      <c r="O624" t="s">
        <v>33</v>
      </c>
    </row>
    <row r="625" spans="1:15" x14ac:dyDescent="0.3">
      <c r="A625" t="s">
        <v>693</v>
      </c>
      <c r="B625" t="s">
        <v>78</v>
      </c>
      <c r="C625" t="s">
        <v>24</v>
      </c>
      <c r="D625">
        <v>18161.009999999998</v>
      </c>
      <c r="E625">
        <v>4</v>
      </c>
      <c r="F625">
        <v>72644.039999999994</v>
      </c>
      <c r="G625" s="1">
        <v>45486</v>
      </c>
      <c r="H625" t="s">
        <v>71</v>
      </c>
      <c r="I625">
        <v>2.2999999999999998</v>
      </c>
      <c r="J625" t="s">
        <v>48</v>
      </c>
      <c r="K625">
        <v>2024</v>
      </c>
      <c r="L625">
        <v>14528.807999999999</v>
      </c>
      <c r="M625">
        <v>27</v>
      </c>
      <c r="N625" t="s">
        <v>27</v>
      </c>
      <c r="O625" t="s">
        <v>21</v>
      </c>
    </row>
    <row r="626" spans="1:15" x14ac:dyDescent="0.3">
      <c r="A626" t="s">
        <v>694</v>
      </c>
      <c r="B626" t="s">
        <v>23</v>
      </c>
      <c r="C626" t="s">
        <v>24</v>
      </c>
      <c r="D626">
        <v>21064.01</v>
      </c>
      <c r="E626">
        <v>3</v>
      </c>
      <c r="F626">
        <v>63192.03</v>
      </c>
      <c r="G626" s="1">
        <v>45487</v>
      </c>
      <c r="H626" t="s">
        <v>80</v>
      </c>
      <c r="I626">
        <v>1.9</v>
      </c>
      <c r="J626" t="s">
        <v>48</v>
      </c>
      <c r="K626">
        <v>2024</v>
      </c>
      <c r="L626">
        <v>12638.406000000001</v>
      </c>
      <c r="M626">
        <v>29</v>
      </c>
      <c r="N626" t="s">
        <v>20</v>
      </c>
      <c r="O626" t="s">
        <v>68</v>
      </c>
    </row>
    <row r="627" spans="1:15" x14ac:dyDescent="0.3">
      <c r="A627" t="s">
        <v>695</v>
      </c>
      <c r="B627" t="s">
        <v>118</v>
      </c>
      <c r="C627" t="s">
        <v>17</v>
      </c>
      <c r="D627">
        <v>8598.2199999999993</v>
      </c>
      <c r="E627">
        <v>5</v>
      </c>
      <c r="F627">
        <v>42991.1</v>
      </c>
      <c r="G627" s="1">
        <v>45695</v>
      </c>
      <c r="H627" t="s">
        <v>25</v>
      </c>
      <c r="I627">
        <v>1.4</v>
      </c>
      <c r="J627" t="s">
        <v>59</v>
      </c>
      <c r="K627">
        <v>2025</v>
      </c>
      <c r="L627">
        <v>8598.2199999999993</v>
      </c>
      <c r="M627">
        <v>7</v>
      </c>
      <c r="N627" t="s">
        <v>20</v>
      </c>
      <c r="O627" t="s">
        <v>28</v>
      </c>
    </row>
    <row r="628" spans="1:15" x14ac:dyDescent="0.3">
      <c r="A628" t="s">
        <v>696</v>
      </c>
      <c r="B628" t="s">
        <v>35</v>
      </c>
      <c r="C628" t="s">
        <v>36</v>
      </c>
      <c r="D628">
        <v>27897.4</v>
      </c>
      <c r="E628">
        <v>2</v>
      </c>
      <c r="F628">
        <v>55794.8</v>
      </c>
      <c r="G628" s="1">
        <v>45601</v>
      </c>
      <c r="H628" t="s">
        <v>64</v>
      </c>
      <c r="I628">
        <v>1.8</v>
      </c>
      <c r="J628" t="s">
        <v>37</v>
      </c>
      <c r="K628">
        <v>2024</v>
      </c>
      <c r="L628">
        <v>11158.960000000001</v>
      </c>
      <c r="M628">
        <v>13</v>
      </c>
      <c r="N628" t="s">
        <v>41</v>
      </c>
      <c r="O628" t="s">
        <v>33</v>
      </c>
    </row>
    <row r="629" spans="1:15" x14ac:dyDescent="0.3">
      <c r="A629" t="s">
        <v>697</v>
      </c>
      <c r="B629" t="s">
        <v>61</v>
      </c>
      <c r="C629" t="s">
        <v>31</v>
      </c>
      <c r="D629">
        <v>3153.16</v>
      </c>
      <c r="E629">
        <v>2</v>
      </c>
      <c r="F629">
        <v>6306.32</v>
      </c>
      <c r="G629" s="1">
        <v>45531</v>
      </c>
      <c r="H629" t="s">
        <v>80</v>
      </c>
      <c r="I629">
        <v>4.4000000000000004</v>
      </c>
      <c r="J629" t="s">
        <v>88</v>
      </c>
      <c r="K629">
        <v>2024</v>
      </c>
      <c r="L629">
        <v>1261.2640000000001</v>
      </c>
      <c r="M629">
        <v>21</v>
      </c>
      <c r="N629" t="s">
        <v>27</v>
      </c>
      <c r="O629" t="s">
        <v>21</v>
      </c>
    </row>
    <row r="630" spans="1:15" x14ac:dyDescent="0.3">
      <c r="A630" t="s">
        <v>698</v>
      </c>
      <c r="B630" t="s">
        <v>107</v>
      </c>
      <c r="C630" t="s">
        <v>36</v>
      </c>
      <c r="D630">
        <v>25634.9</v>
      </c>
      <c r="E630">
        <v>1</v>
      </c>
      <c r="F630">
        <v>25634.9</v>
      </c>
      <c r="G630" s="1">
        <v>45566</v>
      </c>
      <c r="H630" t="s">
        <v>80</v>
      </c>
      <c r="I630">
        <v>4.3</v>
      </c>
      <c r="J630" t="s">
        <v>45</v>
      </c>
      <c r="K630">
        <v>2024</v>
      </c>
      <c r="L630">
        <v>5126.9800000000005</v>
      </c>
      <c r="M630">
        <v>21</v>
      </c>
      <c r="N630" t="s">
        <v>20</v>
      </c>
      <c r="O630" t="s">
        <v>21</v>
      </c>
    </row>
    <row r="631" spans="1:15" x14ac:dyDescent="0.3">
      <c r="A631" t="s">
        <v>699</v>
      </c>
      <c r="B631" t="s">
        <v>66</v>
      </c>
      <c r="C631" t="s">
        <v>36</v>
      </c>
      <c r="D631">
        <v>9427.83</v>
      </c>
      <c r="E631">
        <v>3</v>
      </c>
      <c r="F631">
        <v>28283.49</v>
      </c>
      <c r="G631" s="1">
        <v>45457</v>
      </c>
      <c r="H631" t="s">
        <v>80</v>
      </c>
      <c r="I631">
        <v>4.2</v>
      </c>
      <c r="J631" t="s">
        <v>67</v>
      </c>
      <c r="K631">
        <v>2024</v>
      </c>
      <c r="L631">
        <v>5656.6980000000003</v>
      </c>
      <c r="M631">
        <v>24</v>
      </c>
      <c r="N631" t="s">
        <v>41</v>
      </c>
      <c r="O631" t="s">
        <v>28</v>
      </c>
    </row>
    <row r="632" spans="1:15" x14ac:dyDescent="0.3">
      <c r="A632" t="s">
        <v>700</v>
      </c>
      <c r="B632" t="s">
        <v>100</v>
      </c>
      <c r="C632" t="s">
        <v>31</v>
      </c>
      <c r="D632">
        <v>22564.13</v>
      </c>
      <c r="E632">
        <v>1</v>
      </c>
      <c r="F632">
        <v>22564.13</v>
      </c>
      <c r="G632" s="1">
        <v>45575</v>
      </c>
      <c r="H632" t="s">
        <v>44</v>
      </c>
      <c r="I632">
        <v>3.2</v>
      </c>
      <c r="J632" t="s">
        <v>45</v>
      </c>
      <c r="K632">
        <v>2024</v>
      </c>
      <c r="L632">
        <v>4512.826</v>
      </c>
      <c r="M632">
        <v>20</v>
      </c>
      <c r="N632" t="s">
        <v>20</v>
      </c>
      <c r="O632" t="s">
        <v>28</v>
      </c>
    </row>
    <row r="633" spans="1:15" x14ac:dyDescent="0.3">
      <c r="A633" t="s">
        <v>701</v>
      </c>
      <c r="B633" t="s">
        <v>47</v>
      </c>
      <c r="C633" t="s">
        <v>24</v>
      </c>
      <c r="D633">
        <v>47288.95</v>
      </c>
      <c r="E633">
        <v>1</v>
      </c>
      <c r="F633">
        <v>47288.95</v>
      </c>
      <c r="G633" s="1">
        <v>45667</v>
      </c>
      <c r="H633" t="s">
        <v>44</v>
      </c>
      <c r="I633">
        <v>3.1</v>
      </c>
      <c r="J633" t="s">
        <v>53</v>
      </c>
      <c r="K633">
        <v>2025</v>
      </c>
      <c r="L633">
        <v>9457.7899999999991</v>
      </c>
      <c r="M633">
        <v>29</v>
      </c>
      <c r="N633" t="s">
        <v>27</v>
      </c>
      <c r="O633" t="s">
        <v>21</v>
      </c>
    </row>
    <row r="634" spans="1:15" x14ac:dyDescent="0.3">
      <c r="A634" t="s">
        <v>702</v>
      </c>
      <c r="B634" t="s">
        <v>16</v>
      </c>
      <c r="C634" t="s">
        <v>17</v>
      </c>
      <c r="D634">
        <v>24537.79</v>
      </c>
      <c r="E634">
        <v>3</v>
      </c>
      <c r="F634">
        <v>73613.37</v>
      </c>
      <c r="G634" s="1">
        <v>45574</v>
      </c>
      <c r="H634" t="s">
        <v>71</v>
      </c>
      <c r="I634">
        <v>1.6</v>
      </c>
      <c r="J634" t="s">
        <v>45</v>
      </c>
      <c r="K634">
        <v>2024</v>
      </c>
      <c r="L634">
        <v>14722.673999999999</v>
      </c>
      <c r="M634">
        <v>26</v>
      </c>
      <c r="N634" t="s">
        <v>20</v>
      </c>
      <c r="O634" t="s">
        <v>68</v>
      </c>
    </row>
    <row r="635" spans="1:15" x14ac:dyDescent="0.3">
      <c r="A635" t="s">
        <v>703</v>
      </c>
      <c r="B635" t="s">
        <v>35</v>
      </c>
      <c r="C635" t="s">
        <v>36</v>
      </c>
      <c r="D635">
        <v>22226.76</v>
      </c>
      <c r="E635">
        <v>5</v>
      </c>
      <c r="F635">
        <v>111133.8</v>
      </c>
      <c r="G635" s="1">
        <v>45458</v>
      </c>
      <c r="H635" t="s">
        <v>18</v>
      </c>
      <c r="I635">
        <v>4.7</v>
      </c>
      <c r="J635" t="s">
        <v>67</v>
      </c>
      <c r="K635">
        <v>2024</v>
      </c>
      <c r="L635">
        <v>22226.760000000002</v>
      </c>
      <c r="M635">
        <v>17</v>
      </c>
      <c r="N635" t="s">
        <v>20</v>
      </c>
      <c r="O635" t="s">
        <v>28</v>
      </c>
    </row>
    <row r="636" spans="1:15" x14ac:dyDescent="0.3">
      <c r="A636" t="s">
        <v>704</v>
      </c>
      <c r="B636" t="s">
        <v>94</v>
      </c>
      <c r="C636" t="s">
        <v>31</v>
      </c>
      <c r="D636">
        <v>14103.34</v>
      </c>
      <c r="E636">
        <v>2</v>
      </c>
      <c r="F636">
        <v>28206.68</v>
      </c>
      <c r="G636" s="1">
        <v>45466</v>
      </c>
      <c r="H636" t="s">
        <v>64</v>
      </c>
      <c r="I636">
        <v>1.6</v>
      </c>
      <c r="J636" t="s">
        <v>67</v>
      </c>
      <c r="K636">
        <v>2024</v>
      </c>
      <c r="L636">
        <v>5641.3360000000002</v>
      </c>
      <c r="M636">
        <v>23</v>
      </c>
      <c r="N636" t="s">
        <v>20</v>
      </c>
      <c r="O636" t="s">
        <v>21</v>
      </c>
    </row>
    <row r="637" spans="1:15" x14ac:dyDescent="0.3">
      <c r="A637" t="s">
        <v>705</v>
      </c>
      <c r="B637" t="s">
        <v>145</v>
      </c>
      <c r="C637" t="s">
        <v>40</v>
      </c>
      <c r="D637">
        <v>19376.32</v>
      </c>
      <c r="E637">
        <v>1</v>
      </c>
      <c r="F637">
        <v>19376.32</v>
      </c>
      <c r="G637" s="1">
        <v>45557</v>
      </c>
      <c r="H637" t="s">
        <v>25</v>
      </c>
      <c r="I637">
        <v>4.5</v>
      </c>
      <c r="J637" t="s">
        <v>19</v>
      </c>
      <c r="K637">
        <v>2024</v>
      </c>
      <c r="L637">
        <v>3875.2640000000001</v>
      </c>
      <c r="M637">
        <v>21</v>
      </c>
      <c r="N637" t="s">
        <v>20</v>
      </c>
      <c r="O637" t="s">
        <v>28</v>
      </c>
    </row>
    <row r="638" spans="1:15" x14ac:dyDescent="0.3">
      <c r="A638" t="s">
        <v>706</v>
      </c>
      <c r="B638" t="s">
        <v>16</v>
      </c>
      <c r="C638" t="s">
        <v>17</v>
      </c>
      <c r="D638">
        <v>41619.15</v>
      </c>
      <c r="E638">
        <v>1</v>
      </c>
      <c r="F638">
        <v>41619.15</v>
      </c>
      <c r="G638" s="1">
        <v>45423</v>
      </c>
      <c r="H638" t="s">
        <v>18</v>
      </c>
      <c r="I638">
        <v>4.9000000000000004</v>
      </c>
      <c r="J638" t="s">
        <v>32</v>
      </c>
      <c r="K638">
        <v>2024</v>
      </c>
      <c r="L638">
        <v>8323.83</v>
      </c>
      <c r="M638">
        <v>8</v>
      </c>
      <c r="N638" t="s">
        <v>41</v>
      </c>
      <c r="O638" t="s">
        <v>68</v>
      </c>
    </row>
    <row r="639" spans="1:15" x14ac:dyDescent="0.3">
      <c r="A639" t="s">
        <v>707</v>
      </c>
      <c r="B639" t="s">
        <v>39</v>
      </c>
      <c r="C639" t="s">
        <v>40</v>
      </c>
      <c r="D639">
        <v>14084.61</v>
      </c>
      <c r="E639">
        <v>3</v>
      </c>
      <c r="F639">
        <v>42253.83</v>
      </c>
      <c r="G639" s="1">
        <v>45550</v>
      </c>
      <c r="H639" t="s">
        <v>44</v>
      </c>
      <c r="I639">
        <v>4.9000000000000004</v>
      </c>
      <c r="J639" t="s">
        <v>19</v>
      </c>
      <c r="K639">
        <v>2024</v>
      </c>
      <c r="L639">
        <v>8450.7660000000014</v>
      </c>
      <c r="M639">
        <v>16</v>
      </c>
      <c r="N639" t="s">
        <v>41</v>
      </c>
      <c r="O639" t="s">
        <v>33</v>
      </c>
    </row>
    <row r="640" spans="1:15" x14ac:dyDescent="0.3">
      <c r="A640" t="s">
        <v>708</v>
      </c>
      <c r="B640" t="s">
        <v>35</v>
      </c>
      <c r="C640" t="s">
        <v>36</v>
      </c>
      <c r="D640">
        <v>25935.66</v>
      </c>
      <c r="E640">
        <v>5</v>
      </c>
      <c r="F640">
        <v>129678.3</v>
      </c>
      <c r="G640" s="1">
        <v>45649</v>
      </c>
      <c r="H640" t="s">
        <v>18</v>
      </c>
      <c r="I640">
        <v>3.7</v>
      </c>
      <c r="J640" t="s">
        <v>26</v>
      </c>
      <c r="K640">
        <v>2024</v>
      </c>
      <c r="L640">
        <v>25935.660000000003</v>
      </c>
      <c r="M640">
        <v>13</v>
      </c>
      <c r="N640" t="s">
        <v>27</v>
      </c>
      <c r="O640" t="s">
        <v>28</v>
      </c>
    </row>
    <row r="641" spans="1:15" x14ac:dyDescent="0.3">
      <c r="A641" t="s">
        <v>709</v>
      </c>
      <c r="B641" t="s">
        <v>35</v>
      </c>
      <c r="C641" t="s">
        <v>36</v>
      </c>
      <c r="D641">
        <v>30657.64</v>
      </c>
      <c r="E641">
        <v>5</v>
      </c>
      <c r="F641">
        <v>153288.20000000001</v>
      </c>
      <c r="G641" s="1">
        <v>45636</v>
      </c>
      <c r="H641" t="s">
        <v>80</v>
      </c>
      <c r="I641">
        <v>4.8</v>
      </c>
      <c r="J641" t="s">
        <v>26</v>
      </c>
      <c r="K641">
        <v>2024</v>
      </c>
      <c r="L641">
        <v>30657.640000000003</v>
      </c>
      <c r="M641">
        <v>23</v>
      </c>
      <c r="N641" t="s">
        <v>41</v>
      </c>
      <c r="O641" t="s">
        <v>68</v>
      </c>
    </row>
    <row r="642" spans="1:15" x14ac:dyDescent="0.3">
      <c r="A642" t="s">
        <v>710</v>
      </c>
      <c r="B642" t="s">
        <v>176</v>
      </c>
      <c r="C642" t="s">
        <v>24</v>
      </c>
      <c r="D642">
        <v>13596.18</v>
      </c>
      <c r="E642">
        <v>3</v>
      </c>
      <c r="F642">
        <v>40788.54</v>
      </c>
      <c r="G642" s="1">
        <v>45479</v>
      </c>
      <c r="H642" t="s">
        <v>71</v>
      </c>
      <c r="I642">
        <v>2.9</v>
      </c>
      <c r="J642" t="s">
        <v>48</v>
      </c>
      <c r="K642">
        <v>2024</v>
      </c>
      <c r="L642">
        <v>8157.7080000000005</v>
      </c>
      <c r="M642">
        <v>16</v>
      </c>
      <c r="N642" t="s">
        <v>41</v>
      </c>
      <c r="O642" t="s">
        <v>21</v>
      </c>
    </row>
    <row r="643" spans="1:15" x14ac:dyDescent="0.3">
      <c r="A643" t="s">
        <v>711</v>
      </c>
      <c r="B643" t="s">
        <v>94</v>
      </c>
      <c r="C643" t="s">
        <v>31</v>
      </c>
      <c r="D643">
        <v>28379.75</v>
      </c>
      <c r="E643">
        <v>5</v>
      </c>
      <c r="F643">
        <v>141898.75</v>
      </c>
      <c r="G643" s="1">
        <v>45629</v>
      </c>
      <c r="H643" t="s">
        <v>64</v>
      </c>
      <c r="I643">
        <v>4.4000000000000004</v>
      </c>
      <c r="J643" t="s">
        <v>26</v>
      </c>
      <c r="K643">
        <v>2024</v>
      </c>
      <c r="L643">
        <v>28379.75</v>
      </c>
      <c r="M643">
        <v>13</v>
      </c>
      <c r="N643" t="s">
        <v>27</v>
      </c>
      <c r="O643" t="s">
        <v>28</v>
      </c>
    </row>
    <row r="644" spans="1:15" x14ac:dyDescent="0.3">
      <c r="A644" t="s">
        <v>712</v>
      </c>
      <c r="B644" t="s">
        <v>176</v>
      </c>
      <c r="C644" t="s">
        <v>24</v>
      </c>
      <c r="D644">
        <v>12422.09</v>
      </c>
      <c r="E644">
        <v>2</v>
      </c>
      <c r="F644">
        <v>24844.18</v>
      </c>
      <c r="G644" s="1">
        <v>45387</v>
      </c>
      <c r="H644" t="s">
        <v>64</v>
      </c>
      <c r="I644">
        <v>3.4</v>
      </c>
      <c r="J644" t="s">
        <v>62</v>
      </c>
      <c r="K644">
        <v>2024</v>
      </c>
      <c r="L644">
        <v>4968.8360000000002</v>
      </c>
      <c r="M644">
        <v>11</v>
      </c>
      <c r="N644" t="s">
        <v>41</v>
      </c>
      <c r="O644" t="s">
        <v>28</v>
      </c>
    </row>
    <row r="645" spans="1:15" x14ac:dyDescent="0.3">
      <c r="A645" t="s">
        <v>713</v>
      </c>
      <c r="B645" t="s">
        <v>100</v>
      </c>
      <c r="C645" t="s">
        <v>31</v>
      </c>
      <c r="D645">
        <v>18747.939999999999</v>
      </c>
      <c r="E645">
        <v>1</v>
      </c>
      <c r="F645">
        <v>18747.939999999999</v>
      </c>
      <c r="G645" s="1">
        <v>45596</v>
      </c>
      <c r="H645" t="s">
        <v>80</v>
      </c>
      <c r="I645">
        <v>2.2000000000000002</v>
      </c>
      <c r="J645" t="s">
        <v>45</v>
      </c>
      <c r="K645">
        <v>2024</v>
      </c>
      <c r="L645">
        <v>3749.5879999999997</v>
      </c>
      <c r="M645">
        <v>18</v>
      </c>
      <c r="N645" t="s">
        <v>41</v>
      </c>
      <c r="O645" t="s">
        <v>21</v>
      </c>
    </row>
    <row r="646" spans="1:15" x14ac:dyDescent="0.3">
      <c r="A646" t="s">
        <v>714</v>
      </c>
      <c r="B646" t="s">
        <v>35</v>
      </c>
      <c r="C646" t="s">
        <v>36</v>
      </c>
      <c r="D646">
        <v>35524.559999999998</v>
      </c>
      <c r="E646">
        <v>1</v>
      </c>
      <c r="F646">
        <v>35524.559999999998</v>
      </c>
      <c r="G646" s="1">
        <v>45512</v>
      </c>
      <c r="H646" t="s">
        <v>25</v>
      </c>
      <c r="I646">
        <v>2</v>
      </c>
      <c r="J646" t="s">
        <v>88</v>
      </c>
      <c r="K646">
        <v>2024</v>
      </c>
      <c r="L646">
        <v>7104.9120000000003</v>
      </c>
      <c r="M646">
        <v>24</v>
      </c>
      <c r="N646" t="s">
        <v>27</v>
      </c>
      <c r="O646" t="s">
        <v>33</v>
      </c>
    </row>
    <row r="647" spans="1:15" x14ac:dyDescent="0.3">
      <c r="A647" t="s">
        <v>715</v>
      </c>
      <c r="B647" t="s">
        <v>78</v>
      </c>
      <c r="C647" t="s">
        <v>24</v>
      </c>
      <c r="D647">
        <v>36454.629999999997</v>
      </c>
      <c r="E647">
        <v>1</v>
      </c>
      <c r="F647">
        <v>36454.629999999997</v>
      </c>
      <c r="G647" s="1">
        <v>45464</v>
      </c>
      <c r="H647" t="s">
        <v>25</v>
      </c>
      <c r="I647">
        <v>4.3</v>
      </c>
      <c r="J647" t="s">
        <v>67</v>
      </c>
      <c r="K647">
        <v>2024</v>
      </c>
      <c r="L647">
        <v>7290.9259999999995</v>
      </c>
      <c r="M647">
        <v>23</v>
      </c>
      <c r="N647" t="s">
        <v>27</v>
      </c>
      <c r="O647" t="s">
        <v>21</v>
      </c>
    </row>
    <row r="648" spans="1:15" x14ac:dyDescent="0.3">
      <c r="A648" t="s">
        <v>716</v>
      </c>
      <c r="B648" t="s">
        <v>96</v>
      </c>
      <c r="C648" t="s">
        <v>36</v>
      </c>
      <c r="D648">
        <v>23249.27</v>
      </c>
      <c r="E648">
        <v>3</v>
      </c>
      <c r="F648">
        <v>69747.81</v>
      </c>
      <c r="G648" s="1">
        <v>45563</v>
      </c>
      <c r="H648" t="s">
        <v>71</v>
      </c>
      <c r="I648">
        <v>2.2000000000000002</v>
      </c>
      <c r="J648" t="s">
        <v>19</v>
      </c>
      <c r="K648">
        <v>2024</v>
      </c>
      <c r="L648">
        <v>13949.562</v>
      </c>
      <c r="M648">
        <v>30</v>
      </c>
      <c r="N648" t="s">
        <v>27</v>
      </c>
      <c r="O648" t="s">
        <v>28</v>
      </c>
    </row>
    <row r="649" spans="1:15" x14ac:dyDescent="0.3">
      <c r="A649" t="s">
        <v>717</v>
      </c>
      <c r="B649" t="s">
        <v>100</v>
      </c>
      <c r="C649" t="s">
        <v>31</v>
      </c>
      <c r="D649">
        <v>48842.53</v>
      </c>
      <c r="E649">
        <v>1</v>
      </c>
      <c r="F649">
        <v>48842.53</v>
      </c>
      <c r="G649" s="1">
        <v>45424</v>
      </c>
      <c r="H649" t="s">
        <v>80</v>
      </c>
      <c r="I649">
        <v>2.7</v>
      </c>
      <c r="J649" t="s">
        <v>32</v>
      </c>
      <c r="K649">
        <v>2024</v>
      </c>
      <c r="L649">
        <v>9768.5059999999994</v>
      </c>
      <c r="M649">
        <v>19</v>
      </c>
      <c r="N649" t="s">
        <v>20</v>
      </c>
      <c r="O649" t="s">
        <v>21</v>
      </c>
    </row>
    <row r="650" spans="1:15" x14ac:dyDescent="0.3">
      <c r="A650" t="s">
        <v>718</v>
      </c>
      <c r="B650" t="s">
        <v>55</v>
      </c>
      <c r="C650" t="s">
        <v>36</v>
      </c>
      <c r="D650">
        <v>21881.01</v>
      </c>
      <c r="E650">
        <v>1</v>
      </c>
      <c r="F650">
        <v>21881.01</v>
      </c>
      <c r="G650" s="1">
        <v>45423</v>
      </c>
      <c r="H650" t="s">
        <v>44</v>
      </c>
      <c r="I650">
        <v>3.5</v>
      </c>
      <c r="J650" t="s">
        <v>32</v>
      </c>
      <c r="K650">
        <v>2024</v>
      </c>
      <c r="L650">
        <v>4376.2020000000002</v>
      </c>
      <c r="M650">
        <v>20</v>
      </c>
      <c r="N650" t="s">
        <v>20</v>
      </c>
      <c r="O650" t="s">
        <v>68</v>
      </c>
    </row>
    <row r="651" spans="1:15" x14ac:dyDescent="0.3">
      <c r="A651" t="s">
        <v>719</v>
      </c>
      <c r="B651" t="s">
        <v>16</v>
      </c>
      <c r="C651" t="s">
        <v>17</v>
      </c>
      <c r="D651">
        <v>38964.36</v>
      </c>
      <c r="E651">
        <v>5</v>
      </c>
      <c r="F651">
        <v>194821.8</v>
      </c>
      <c r="G651" s="1">
        <v>45594</v>
      </c>
      <c r="H651" t="s">
        <v>44</v>
      </c>
      <c r="I651">
        <v>3.9</v>
      </c>
      <c r="J651" t="s">
        <v>45</v>
      </c>
      <c r="K651">
        <v>2024</v>
      </c>
      <c r="L651">
        <v>38964.36</v>
      </c>
      <c r="M651">
        <v>25</v>
      </c>
      <c r="N651" t="s">
        <v>27</v>
      </c>
      <c r="O651" t="s">
        <v>21</v>
      </c>
    </row>
    <row r="652" spans="1:15" x14ac:dyDescent="0.3">
      <c r="A652" t="s">
        <v>720</v>
      </c>
      <c r="B652" t="s">
        <v>145</v>
      </c>
      <c r="C652" t="s">
        <v>40</v>
      </c>
      <c r="D652">
        <v>1435.38</v>
      </c>
      <c r="E652">
        <v>4</v>
      </c>
      <c r="F652">
        <v>5741.52</v>
      </c>
      <c r="G652" s="1">
        <v>45375</v>
      </c>
      <c r="H652" t="s">
        <v>25</v>
      </c>
      <c r="I652">
        <v>2</v>
      </c>
      <c r="J652" t="s">
        <v>56</v>
      </c>
      <c r="K652">
        <v>2024</v>
      </c>
      <c r="L652">
        <v>1148.3040000000001</v>
      </c>
      <c r="M652">
        <v>9</v>
      </c>
      <c r="N652" t="s">
        <v>27</v>
      </c>
      <c r="O652" t="s">
        <v>28</v>
      </c>
    </row>
    <row r="653" spans="1:15" x14ac:dyDescent="0.3">
      <c r="A653" t="s">
        <v>721</v>
      </c>
      <c r="B653" t="s">
        <v>96</v>
      </c>
      <c r="C653" t="s">
        <v>36</v>
      </c>
      <c r="D653">
        <v>2536.16</v>
      </c>
      <c r="E653">
        <v>5</v>
      </c>
      <c r="F653">
        <v>12680.8</v>
      </c>
      <c r="G653" s="1">
        <v>45430</v>
      </c>
      <c r="H653" t="s">
        <v>64</v>
      </c>
      <c r="I653">
        <v>1.8</v>
      </c>
      <c r="J653" t="s">
        <v>32</v>
      </c>
      <c r="K653">
        <v>2024</v>
      </c>
      <c r="L653">
        <v>2536.16</v>
      </c>
      <c r="M653">
        <v>7</v>
      </c>
      <c r="N653" t="s">
        <v>27</v>
      </c>
      <c r="O653" t="s">
        <v>21</v>
      </c>
    </row>
    <row r="654" spans="1:15" x14ac:dyDescent="0.3">
      <c r="A654" t="s">
        <v>722</v>
      </c>
      <c r="B654" t="s">
        <v>107</v>
      </c>
      <c r="C654" t="s">
        <v>36</v>
      </c>
      <c r="D654">
        <v>21992.38</v>
      </c>
      <c r="E654">
        <v>5</v>
      </c>
      <c r="F654">
        <v>109961.9</v>
      </c>
      <c r="G654" s="1">
        <v>45501</v>
      </c>
      <c r="H654" t="s">
        <v>18</v>
      </c>
      <c r="I654">
        <v>3.9</v>
      </c>
      <c r="J654" t="s">
        <v>48</v>
      </c>
      <c r="K654">
        <v>2024</v>
      </c>
      <c r="L654">
        <v>21992.38</v>
      </c>
      <c r="M654">
        <v>16</v>
      </c>
      <c r="N654" t="s">
        <v>20</v>
      </c>
      <c r="O654" t="s">
        <v>33</v>
      </c>
    </row>
    <row r="655" spans="1:15" x14ac:dyDescent="0.3">
      <c r="A655" t="s">
        <v>723</v>
      </c>
      <c r="B655" t="s">
        <v>61</v>
      </c>
      <c r="C655" t="s">
        <v>31</v>
      </c>
      <c r="D655">
        <v>20194.2</v>
      </c>
      <c r="E655">
        <v>2</v>
      </c>
      <c r="F655">
        <v>40388.400000000001</v>
      </c>
      <c r="G655" s="1">
        <v>45581</v>
      </c>
      <c r="H655" t="s">
        <v>18</v>
      </c>
      <c r="I655">
        <v>3.1</v>
      </c>
      <c r="J655" t="s">
        <v>45</v>
      </c>
      <c r="K655">
        <v>2024</v>
      </c>
      <c r="L655">
        <v>8077.68</v>
      </c>
      <c r="M655">
        <v>29</v>
      </c>
      <c r="N655" t="s">
        <v>20</v>
      </c>
      <c r="O655" t="s">
        <v>21</v>
      </c>
    </row>
    <row r="656" spans="1:15" x14ac:dyDescent="0.3">
      <c r="A656" t="s">
        <v>724</v>
      </c>
      <c r="B656" t="s">
        <v>52</v>
      </c>
      <c r="C656" t="s">
        <v>24</v>
      </c>
      <c r="D656">
        <v>18789.810000000001</v>
      </c>
      <c r="E656">
        <v>3</v>
      </c>
      <c r="F656">
        <v>56369.43</v>
      </c>
      <c r="G656" s="1">
        <v>45407</v>
      </c>
      <c r="H656" t="s">
        <v>18</v>
      </c>
      <c r="I656">
        <v>2</v>
      </c>
      <c r="J656" t="s">
        <v>62</v>
      </c>
      <c r="K656">
        <v>2024</v>
      </c>
      <c r="L656">
        <v>11273.886</v>
      </c>
      <c r="M656">
        <v>24</v>
      </c>
      <c r="N656" t="s">
        <v>41</v>
      </c>
      <c r="O656" t="s">
        <v>33</v>
      </c>
    </row>
    <row r="657" spans="1:15" x14ac:dyDescent="0.3">
      <c r="A657" t="s">
        <v>725</v>
      </c>
      <c r="B657" t="s">
        <v>96</v>
      </c>
      <c r="C657" t="s">
        <v>36</v>
      </c>
      <c r="D657">
        <v>33027.629999999997</v>
      </c>
      <c r="E657">
        <v>2</v>
      </c>
      <c r="F657">
        <v>66055.259999999995</v>
      </c>
      <c r="G657" s="1">
        <v>45535</v>
      </c>
      <c r="H657" t="s">
        <v>64</v>
      </c>
      <c r="I657">
        <v>1.5</v>
      </c>
      <c r="J657" t="s">
        <v>88</v>
      </c>
      <c r="K657">
        <v>2024</v>
      </c>
      <c r="L657">
        <v>13211.052</v>
      </c>
      <c r="M657">
        <v>25</v>
      </c>
      <c r="N657" t="s">
        <v>41</v>
      </c>
      <c r="O657" t="s">
        <v>68</v>
      </c>
    </row>
    <row r="658" spans="1:15" x14ac:dyDescent="0.3">
      <c r="A658" t="s">
        <v>726</v>
      </c>
      <c r="B658" t="s">
        <v>100</v>
      </c>
      <c r="C658" t="s">
        <v>31</v>
      </c>
      <c r="D658">
        <v>44953.24</v>
      </c>
      <c r="E658">
        <v>5</v>
      </c>
      <c r="F658">
        <v>224766.2</v>
      </c>
      <c r="G658" s="1">
        <v>45500</v>
      </c>
      <c r="H658" t="s">
        <v>44</v>
      </c>
      <c r="I658">
        <v>1.1000000000000001</v>
      </c>
      <c r="J658" t="s">
        <v>48</v>
      </c>
      <c r="K658">
        <v>2024</v>
      </c>
      <c r="L658">
        <v>44953.240000000005</v>
      </c>
      <c r="M658">
        <v>8</v>
      </c>
      <c r="N658" t="s">
        <v>27</v>
      </c>
      <c r="O658" t="s">
        <v>33</v>
      </c>
    </row>
    <row r="659" spans="1:15" x14ac:dyDescent="0.3">
      <c r="A659" t="s">
        <v>727</v>
      </c>
      <c r="B659" t="s">
        <v>52</v>
      </c>
      <c r="C659" t="s">
        <v>24</v>
      </c>
      <c r="D659">
        <v>47047.23</v>
      </c>
      <c r="E659">
        <v>5</v>
      </c>
      <c r="F659">
        <v>235236.15</v>
      </c>
      <c r="G659" s="1">
        <v>45613</v>
      </c>
      <c r="H659" t="s">
        <v>44</v>
      </c>
      <c r="I659">
        <v>3</v>
      </c>
      <c r="J659" t="s">
        <v>37</v>
      </c>
      <c r="K659">
        <v>2024</v>
      </c>
      <c r="L659">
        <v>47047.23</v>
      </c>
      <c r="M659">
        <v>25</v>
      </c>
      <c r="N659" t="s">
        <v>20</v>
      </c>
      <c r="O659" t="s">
        <v>21</v>
      </c>
    </row>
    <row r="660" spans="1:15" x14ac:dyDescent="0.3">
      <c r="A660" t="s">
        <v>728</v>
      </c>
      <c r="B660" t="s">
        <v>107</v>
      </c>
      <c r="C660" t="s">
        <v>36</v>
      </c>
      <c r="D660">
        <v>34358.78</v>
      </c>
      <c r="E660">
        <v>3</v>
      </c>
      <c r="F660">
        <v>103076.34</v>
      </c>
      <c r="G660" s="1">
        <v>45563</v>
      </c>
      <c r="H660" t="s">
        <v>80</v>
      </c>
      <c r="I660">
        <v>2.4</v>
      </c>
      <c r="J660" t="s">
        <v>19</v>
      </c>
      <c r="K660">
        <v>2024</v>
      </c>
      <c r="L660">
        <v>20615.268</v>
      </c>
      <c r="M660">
        <v>27</v>
      </c>
      <c r="N660" t="s">
        <v>20</v>
      </c>
      <c r="O660" t="s">
        <v>28</v>
      </c>
    </row>
    <row r="661" spans="1:15" x14ac:dyDescent="0.3">
      <c r="A661" t="s">
        <v>729</v>
      </c>
      <c r="B661" t="s">
        <v>61</v>
      </c>
      <c r="C661" t="s">
        <v>31</v>
      </c>
      <c r="D661">
        <v>12779.59</v>
      </c>
      <c r="E661">
        <v>5</v>
      </c>
      <c r="F661">
        <v>63897.95</v>
      </c>
      <c r="G661" s="1">
        <v>45620</v>
      </c>
      <c r="H661" t="s">
        <v>71</v>
      </c>
      <c r="I661">
        <v>2.8</v>
      </c>
      <c r="J661" t="s">
        <v>37</v>
      </c>
      <c r="K661">
        <v>2024</v>
      </c>
      <c r="L661">
        <v>12779.59</v>
      </c>
      <c r="M661">
        <v>20</v>
      </c>
      <c r="N661" t="s">
        <v>20</v>
      </c>
      <c r="O661" t="s">
        <v>33</v>
      </c>
    </row>
    <row r="662" spans="1:15" x14ac:dyDescent="0.3">
      <c r="A662" t="s">
        <v>730</v>
      </c>
      <c r="B662" t="s">
        <v>74</v>
      </c>
      <c r="C662" t="s">
        <v>17</v>
      </c>
      <c r="D662">
        <v>30878.47</v>
      </c>
      <c r="E662">
        <v>5</v>
      </c>
      <c r="F662">
        <v>154392.35</v>
      </c>
      <c r="G662" s="1">
        <v>45484</v>
      </c>
      <c r="H662" t="s">
        <v>25</v>
      </c>
      <c r="I662">
        <v>2.5</v>
      </c>
      <c r="J662" t="s">
        <v>48</v>
      </c>
      <c r="K662">
        <v>2024</v>
      </c>
      <c r="L662">
        <v>30878.47</v>
      </c>
      <c r="M662">
        <v>29</v>
      </c>
      <c r="N662" t="s">
        <v>27</v>
      </c>
      <c r="O662" t="s">
        <v>68</v>
      </c>
    </row>
    <row r="663" spans="1:15" x14ac:dyDescent="0.3">
      <c r="A663" t="s">
        <v>731</v>
      </c>
      <c r="B663" t="s">
        <v>30</v>
      </c>
      <c r="C663" t="s">
        <v>31</v>
      </c>
      <c r="D663">
        <v>24227.24</v>
      </c>
      <c r="E663">
        <v>1</v>
      </c>
      <c r="F663">
        <v>24227.24</v>
      </c>
      <c r="G663" s="1">
        <v>45352</v>
      </c>
      <c r="H663" t="s">
        <v>18</v>
      </c>
      <c r="I663">
        <v>2.7</v>
      </c>
      <c r="J663" t="s">
        <v>56</v>
      </c>
      <c r="K663">
        <v>2024</v>
      </c>
      <c r="L663">
        <v>4845.4480000000003</v>
      </c>
      <c r="M663">
        <v>11</v>
      </c>
      <c r="N663" t="s">
        <v>41</v>
      </c>
      <c r="O663" t="s">
        <v>33</v>
      </c>
    </row>
    <row r="664" spans="1:15" x14ac:dyDescent="0.3">
      <c r="A664" t="s">
        <v>732</v>
      </c>
      <c r="B664" t="s">
        <v>23</v>
      </c>
      <c r="C664" t="s">
        <v>24</v>
      </c>
      <c r="D664">
        <v>15282.31</v>
      </c>
      <c r="E664">
        <v>4</v>
      </c>
      <c r="F664">
        <v>61129.24</v>
      </c>
      <c r="G664" s="1">
        <v>45460</v>
      </c>
      <c r="H664" t="s">
        <v>80</v>
      </c>
      <c r="I664">
        <v>2.1</v>
      </c>
      <c r="J664" t="s">
        <v>67</v>
      </c>
      <c r="K664">
        <v>2024</v>
      </c>
      <c r="L664">
        <v>12225.848</v>
      </c>
      <c r="M664">
        <v>17</v>
      </c>
      <c r="N664" t="s">
        <v>27</v>
      </c>
      <c r="O664" t="s">
        <v>33</v>
      </c>
    </row>
    <row r="665" spans="1:15" x14ac:dyDescent="0.3">
      <c r="A665" t="s">
        <v>733</v>
      </c>
      <c r="B665" t="s">
        <v>61</v>
      </c>
      <c r="C665" t="s">
        <v>31</v>
      </c>
      <c r="D665">
        <v>46933.96</v>
      </c>
      <c r="E665">
        <v>1</v>
      </c>
      <c r="F665">
        <v>46933.96</v>
      </c>
      <c r="G665" s="1">
        <v>45446</v>
      </c>
      <c r="H665" t="s">
        <v>18</v>
      </c>
      <c r="I665">
        <v>2.5</v>
      </c>
      <c r="J665" t="s">
        <v>67</v>
      </c>
      <c r="K665">
        <v>2024</v>
      </c>
      <c r="L665">
        <v>9386.7919999999995</v>
      </c>
      <c r="M665">
        <v>25</v>
      </c>
      <c r="N665" t="s">
        <v>41</v>
      </c>
      <c r="O665" t="s">
        <v>33</v>
      </c>
    </row>
    <row r="666" spans="1:15" x14ac:dyDescent="0.3">
      <c r="A666" t="s">
        <v>734</v>
      </c>
      <c r="B666" t="s">
        <v>58</v>
      </c>
      <c r="C666" t="s">
        <v>31</v>
      </c>
      <c r="D666">
        <v>14622.12</v>
      </c>
      <c r="E666">
        <v>1</v>
      </c>
      <c r="F666">
        <v>14622.12</v>
      </c>
      <c r="G666" s="1">
        <v>45659</v>
      </c>
      <c r="H666" t="s">
        <v>71</v>
      </c>
      <c r="I666">
        <v>4.9000000000000004</v>
      </c>
      <c r="J666" t="s">
        <v>53</v>
      </c>
      <c r="K666">
        <v>2025</v>
      </c>
      <c r="L666">
        <v>2924.4240000000004</v>
      </c>
      <c r="M666">
        <v>14</v>
      </c>
      <c r="N666" t="s">
        <v>41</v>
      </c>
      <c r="O666" t="s">
        <v>68</v>
      </c>
    </row>
    <row r="667" spans="1:15" x14ac:dyDescent="0.3">
      <c r="A667" t="s">
        <v>735</v>
      </c>
      <c r="B667" t="s">
        <v>74</v>
      </c>
      <c r="C667" t="s">
        <v>17</v>
      </c>
      <c r="D667">
        <v>34830.28</v>
      </c>
      <c r="E667">
        <v>4</v>
      </c>
      <c r="F667">
        <v>139321.12</v>
      </c>
      <c r="G667" s="1">
        <v>45609</v>
      </c>
      <c r="H667" t="s">
        <v>71</v>
      </c>
      <c r="I667">
        <v>2.9</v>
      </c>
      <c r="J667" t="s">
        <v>37</v>
      </c>
      <c r="K667">
        <v>2024</v>
      </c>
      <c r="L667">
        <v>27864.224000000002</v>
      </c>
      <c r="M667">
        <v>30</v>
      </c>
      <c r="N667" t="s">
        <v>27</v>
      </c>
      <c r="O667" t="s">
        <v>21</v>
      </c>
    </row>
    <row r="668" spans="1:15" x14ac:dyDescent="0.3">
      <c r="A668" t="s">
        <v>736</v>
      </c>
      <c r="B668" t="s">
        <v>58</v>
      </c>
      <c r="C668" t="s">
        <v>31</v>
      </c>
      <c r="D668">
        <v>43118.19</v>
      </c>
      <c r="E668">
        <v>5</v>
      </c>
      <c r="F668">
        <v>215590.95</v>
      </c>
      <c r="G668" s="1">
        <v>45674</v>
      </c>
      <c r="H668" t="s">
        <v>80</v>
      </c>
      <c r="I668">
        <v>4</v>
      </c>
      <c r="J668" t="s">
        <v>53</v>
      </c>
      <c r="K668">
        <v>2025</v>
      </c>
      <c r="L668">
        <v>43118.19</v>
      </c>
      <c r="M668">
        <v>11</v>
      </c>
      <c r="N668" t="s">
        <v>41</v>
      </c>
      <c r="O668" t="s">
        <v>33</v>
      </c>
    </row>
    <row r="669" spans="1:15" x14ac:dyDescent="0.3">
      <c r="A669" t="s">
        <v>737</v>
      </c>
      <c r="B669" t="s">
        <v>74</v>
      </c>
      <c r="C669" t="s">
        <v>17</v>
      </c>
      <c r="D669">
        <v>29885.360000000001</v>
      </c>
      <c r="E669">
        <v>3</v>
      </c>
      <c r="F669">
        <v>89656.08</v>
      </c>
      <c r="G669" s="1">
        <v>45416</v>
      </c>
      <c r="H669" t="s">
        <v>18</v>
      </c>
      <c r="I669">
        <v>4.0999999999999996</v>
      </c>
      <c r="J669" t="s">
        <v>32</v>
      </c>
      <c r="K669">
        <v>2024</v>
      </c>
      <c r="L669">
        <v>17931.216</v>
      </c>
      <c r="M669">
        <v>18</v>
      </c>
      <c r="N669" t="s">
        <v>41</v>
      </c>
      <c r="O669" t="s">
        <v>33</v>
      </c>
    </row>
    <row r="670" spans="1:15" x14ac:dyDescent="0.3">
      <c r="A670" t="s">
        <v>738</v>
      </c>
      <c r="B670" t="s">
        <v>16</v>
      </c>
      <c r="C670" t="s">
        <v>17</v>
      </c>
      <c r="D670">
        <v>7728.33</v>
      </c>
      <c r="E670">
        <v>5</v>
      </c>
      <c r="F670">
        <v>38641.65</v>
      </c>
      <c r="G670" s="1">
        <v>45471</v>
      </c>
      <c r="H670" t="s">
        <v>64</v>
      </c>
      <c r="I670">
        <v>3.9</v>
      </c>
      <c r="J670" t="s">
        <v>67</v>
      </c>
      <c r="K670">
        <v>2024</v>
      </c>
      <c r="L670">
        <v>7728.3300000000008</v>
      </c>
      <c r="M670">
        <v>30</v>
      </c>
      <c r="N670" t="s">
        <v>20</v>
      </c>
      <c r="O670" t="s">
        <v>28</v>
      </c>
    </row>
    <row r="671" spans="1:15" x14ac:dyDescent="0.3">
      <c r="A671" t="s">
        <v>739</v>
      </c>
      <c r="B671" t="s">
        <v>39</v>
      </c>
      <c r="C671" t="s">
        <v>40</v>
      </c>
      <c r="D671">
        <v>36096.74</v>
      </c>
      <c r="E671">
        <v>5</v>
      </c>
      <c r="F671">
        <v>180483.7</v>
      </c>
      <c r="G671" s="1">
        <v>45679</v>
      </c>
      <c r="H671" t="s">
        <v>80</v>
      </c>
      <c r="I671">
        <v>1.8</v>
      </c>
      <c r="J671" t="s">
        <v>53</v>
      </c>
      <c r="K671">
        <v>2025</v>
      </c>
      <c r="L671">
        <v>36096.740000000005</v>
      </c>
      <c r="M671">
        <v>9</v>
      </c>
      <c r="N671" t="s">
        <v>41</v>
      </c>
      <c r="O671" t="s">
        <v>68</v>
      </c>
    </row>
    <row r="672" spans="1:15" x14ac:dyDescent="0.3">
      <c r="A672" t="s">
        <v>740</v>
      </c>
      <c r="B672" t="s">
        <v>78</v>
      </c>
      <c r="C672" t="s">
        <v>24</v>
      </c>
      <c r="D672">
        <v>19275.66</v>
      </c>
      <c r="E672">
        <v>4</v>
      </c>
      <c r="F672">
        <v>77102.64</v>
      </c>
      <c r="G672" s="1">
        <v>45399</v>
      </c>
      <c r="H672" t="s">
        <v>80</v>
      </c>
      <c r="I672">
        <v>1.8</v>
      </c>
      <c r="J672" t="s">
        <v>62</v>
      </c>
      <c r="K672">
        <v>2024</v>
      </c>
      <c r="L672">
        <v>15420.528</v>
      </c>
      <c r="M672">
        <v>7</v>
      </c>
      <c r="N672" t="s">
        <v>27</v>
      </c>
      <c r="O672" t="s">
        <v>33</v>
      </c>
    </row>
    <row r="673" spans="1:15" x14ac:dyDescent="0.3">
      <c r="A673" t="s">
        <v>741</v>
      </c>
      <c r="B673" t="s">
        <v>145</v>
      </c>
      <c r="C673" t="s">
        <v>40</v>
      </c>
      <c r="D673">
        <v>15387.59</v>
      </c>
      <c r="E673">
        <v>4</v>
      </c>
      <c r="F673">
        <v>61550.36</v>
      </c>
      <c r="G673" s="1">
        <v>45558</v>
      </c>
      <c r="H673" t="s">
        <v>44</v>
      </c>
      <c r="I673">
        <v>1</v>
      </c>
      <c r="J673" t="s">
        <v>19</v>
      </c>
      <c r="K673">
        <v>2024</v>
      </c>
      <c r="L673">
        <v>12310.072</v>
      </c>
      <c r="M673">
        <v>27</v>
      </c>
      <c r="N673" t="s">
        <v>27</v>
      </c>
      <c r="O673" t="s">
        <v>68</v>
      </c>
    </row>
    <row r="674" spans="1:15" x14ac:dyDescent="0.3">
      <c r="A674" t="s">
        <v>742</v>
      </c>
      <c r="B674" t="s">
        <v>66</v>
      </c>
      <c r="C674" t="s">
        <v>36</v>
      </c>
      <c r="D674">
        <v>23806.639999999999</v>
      </c>
      <c r="E674">
        <v>1</v>
      </c>
      <c r="F674">
        <v>23806.639999999999</v>
      </c>
      <c r="G674" s="1">
        <v>45353</v>
      </c>
      <c r="H674" t="s">
        <v>18</v>
      </c>
      <c r="I674">
        <v>2.5</v>
      </c>
      <c r="J674" t="s">
        <v>56</v>
      </c>
      <c r="K674">
        <v>2024</v>
      </c>
      <c r="L674">
        <v>4761.3280000000004</v>
      </c>
      <c r="M674">
        <v>15</v>
      </c>
      <c r="N674" t="s">
        <v>41</v>
      </c>
      <c r="O674" t="s">
        <v>33</v>
      </c>
    </row>
    <row r="675" spans="1:15" x14ac:dyDescent="0.3">
      <c r="A675" t="s">
        <v>743</v>
      </c>
      <c r="B675" t="s">
        <v>94</v>
      </c>
      <c r="C675" t="s">
        <v>31</v>
      </c>
      <c r="D675">
        <v>28568.97</v>
      </c>
      <c r="E675">
        <v>1</v>
      </c>
      <c r="F675">
        <v>28568.97</v>
      </c>
      <c r="G675" s="1">
        <v>45475</v>
      </c>
      <c r="H675" t="s">
        <v>18</v>
      </c>
      <c r="I675">
        <v>1</v>
      </c>
      <c r="J675" t="s">
        <v>48</v>
      </c>
      <c r="K675">
        <v>2024</v>
      </c>
      <c r="L675">
        <v>5713.7940000000008</v>
      </c>
      <c r="M675">
        <v>15</v>
      </c>
      <c r="N675" t="s">
        <v>20</v>
      </c>
      <c r="O675" t="s">
        <v>21</v>
      </c>
    </row>
    <row r="676" spans="1:15" x14ac:dyDescent="0.3">
      <c r="A676" t="s">
        <v>744</v>
      </c>
      <c r="B676" t="s">
        <v>96</v>
      </c>
      <c r="C676" t="s">
        <v>36</v>
      </c>
      <c r="D676">
        <v>40753.519999999997</v>
      </c>
      <c r="E676">
        <v>1</v>
      </c>
      <c r="F676">
        <v>40753.519999999997</v>
      </c>
      <c r="G676" s="1">
        <v>45352</v>
      </c>
      <c r="H676" t="s">
        <v>18</v>
      </c>
      <c r="I676">
        <v>4.2</v>
      </c>
      <c r="J676" t="s">
        <v>56</v>
      </c>
      <c r="K676">
        <v>2024</v>
      </c>
      <c r="L676">
        <v>8150.7039999999997</v>
      </c>
      <c r="M676">
        <v>22</v>
      </c>
      <c r="N676" t="s">
        <v>20</v>
      </c>
      <c r="O676" t="s">
        <v>21</v>
      </c>
    </row>
    <row r="677" spans="1:15" x14ac:dyDescent="0.3">
      <c r="A677" t="s">
        <v>745</v>
      </c>
      <c r="B677" t="s">
        <v>55</v>
      </c>
      <c r="C677" t="s">
        <v>36</v>
      </c>
      <c r="D677">
        <v>38571.81</v>
      </c>
      <c r="E677">
        <v>4</v>
      </c>
      <c r="F677">
        <v>154287.24</v>
      </c>
      <c r="G677" s="1">
        <v>45367</v>
      </c>
      <c r="H677" t="s">
        <v>64</v>
      </c>
      <c r="I677">
        <v>1.2</v>
      </c>
      <c r="J677" t="s">
        <v>56</v>
      </c>
      <c r="K677">
        <v>2024</v>
      </c>
      <c r="L677">
        <v>30857.448</v>
      </c>
      <c r="M677">
        <v>19</v>
      </c>
      <c r="N677" t="s">
        <v>41</v>
      </c>
      <c r="O677" t="s">
        <v>33</v>
      </c>
    </row>
    <row r="678" spans="1:15" x14ac:dyDescent="0.3">
      <c r="A678" t="s">
        <v>746</v>
      </c>
      <c r="B678" t="s">
        <v>66</v>
      </c>
      <c r="C678" t="s">
        <v>36</v>
      </c>
      <c r="D678">
        <v>25161.91</v>
      </c>
      <c r="E678">
        <v>5</v>
      </c>
      <c r="F678">
        <v>125809.55</v>
      </c>
      <c r="G678" s="1">
        <v>45416</v>
      </c>
      <c r="H678" t="s">
        <v>44</v>
      </c>
      <c r="I678">
        <v>3.4</v>
      </c>
      <c r="J678" t="s">
        <v>32</v>
      </c>
      <c r="K678">
        <v>2024</v>
      </c>
      <c r="L678">
        <v>25161.910000000003</v>
      </c>
      <c r="M678">
        <v>16</v>
      </c>
      <c r="N678" t="s">
        <v>41</v>
      </c>
      <c r="O678" t="s">
        <v>21</v>
      </c>
    </row>
    <row r="679" spans="1:15" x14ac:dyDescent="0.3">
      <c r="A679" t="s">
        <v>747</v>
      </c>
      <c r="B679" t="s">
        <v>58</v>
      </c>
      <c r="C679" t="s">
        <v>31</v>
      </c>
      <c r="D679">
        <v>12124.19</v>
      </c>
      <c r="E679">
        <v>3</v>
      </c>
      <c r="F679">
        <v>36372.57</v>
      </c>
      <c r="G679" s="1">
        <v>45617</v>
      </c>
      <c r="H679" t="s">
        <v>18</v>
      </c>
      <c r="I679">
        <v>4.7</v>
      </c>
      <c r="J679" t="s">
        <v>37</v>
      </c>
      <c r="K679">
        <v>2024</v>
      </c>
      <c r="L679">
        <v>7274.5140000000001</v>
      </c>
      <c r="M679">
        <v>13</v>
      </c>
      <c r="N679" t="s">
        <v>27</v>
      </c>
      <c r="O679" t="s">
        <v>33</v>
      </c>
    </row>
    <row r="680" spans="1:15" x14ac:dyDescent="0.3">
      <c r="A680" t="s">
        <v>748</v>
      </c>
      <c r="B680" t="s">
        <v>16</v>
      </c>
      <c r="C680" t="s">
        <v>17</v>
      </c>
      <c r="D680">
        <v>2013.64</v>
      </c>
      <c r="E680">
        <v>3</v>
      </c>
      <c r="F680">
        <v>6040.92</v>
      </c>
      <c r="G680" s="1">
        <v>45364</v>
      </c>
      <c r="H680" t="s">
        <v>25</v>
      </c>
      <c r="I680">
        <v>3.8</v>
      </c>
      <c r="J680" t="s">
        <v>56</v>
      </c>
      <c r="K680">
        <v>2024</v>
      </c>
      <c r="L680">
        <v>1208.184</v>
      </c>
      <c r="M680">
        <v>14</v>
      </c>
      <c r="N680" t="s">
        <v>41</v>
      </c>
      <c r="O680" t="s">
        <v>21</v>
      </c>
    </row>
    <row r="681" spans="1:15" x14ac:dyDescent="0.3">
      <c r="A681" t="s">
        <v>749</v>
      </c>
      <c r="B681" t="s">
        <v>84</v>
      </c>
      <c r="C681" t="s">
        <v>40</v>
      </c>
      <c r="D681">
        <v>6002.25</v>
      </c>
      <c r="E681">
        <v>3</v>
      </c>
      <c r="F681">
        <v>18006.75</v>
      </c>
      <c r="G681" s="1">
        <v>45569</v>
      </c>
      <c r="H681" t="s">
        <v>64</v>
      </c>
      <c r="I681">
        <v>3.5</v>
      </c>
      <c r="J681" t="s">
        <v>45</v>
      </c>
      <c r="K681">
        <v>2024</v>
      </c>
      <c r="L681">
        <v>3601.3500000000004</v>
      </c>
      <c r="M681">
        <v>30</v>
      </c>
      <c r="N681" t="s">
        <v>20</v>
      </c>
      <c r="O681" t="s">
        <v>28</v>
      </c>
    </row>
    <row r="682" spans="1:15" x14ac:dyDescent="0.3">
      <c r="A682" t="s">
        <v>750</v>
      </c>
      <c r="B682" t="s">
        <v>125</v>
      </c>
      <c r="C682" t="s">
        <v>17</v>
      </c>
      <c r="D682">
        <v>31332.42</v>
      </c>
      <c r="E682">
        <v>4</v>
      </c>
      <c r="F682">
        <v>125329.68</v>
      </c>
      <c r="G682" s="1">
        <v>45543</v>
      </c>
      <c r="H682" t="s">
        <v>71</v>
      </c>
      <c r="I682">
        <v>1.4</v>
      </c>
      <c r="J682" t="s">
        <v>19</v>
      </c>
      <c r="K682">
        <v>2024</v>
      </c>
      <c r="L682">
        <v>25065.936000000002</v>
      </c>
      <c r="M682">
        <v>16</v>
      </c>
      <c r="N682" t="s">
        <v>41</v>
      </c>
      <c r="O682" t="s">
        <v>28</v>
      </c>
    </row>
    <row r="683" spans="1:15" x14ac:dyDescent="0.3">
      <c r="A683" t="s">
        <v>751</v>
      </c>
      <c r="B683" t="s">
        <v>84</v>
      </c>
      <c r="C683" t="s">
        <v>40</v>
      </c>
      <c r="D683">
        <v>17539.189999999999</v>
      </c>
      <c r="E683">
        <v>1</v>
      </c>
      <c r="F683">
        <v>17539.189999999999</v>
      </c>
      <c r="G683" s="1">
        <v>45480</v>
      </c>
      <c r="H683" t="s">
        <v>44</v>
      </c>
      <c r="I683">
        <v>3.9</v>
      </c>
      <c r="J683" t="s">
        <v>48</v>
      </c>
      <c r="K683">
        <v>2024</v>
      </c>
      <c r="L683">
        <v>3507.8379999999997</v>
      </c>
      <c r="M683">
        <v>21</v>
      </c>
      <c r="N683" t="s">
        <v>27</v>
      </c>
      <c r="O683" t="s">
        <v>28</v>
      </c>
    </row>
    <row r="684" spans="1:15" x14ac:dyDescent="0.3">
      <c r="A684" t="s">
        <v>752</v>
      </c>
      <c r="B684" t="s">
        <v>118</v>
      </c>
      <c r="C684" t="s">
        <v>17</v>
      </c>
      <c r="D684">
        <v>14865.47</v>
      </c>
      <c r="E684">
        <v>2</v>
      </c>
      <c r="F684">
        <v>29730.94</v>
      </c>
      <c r="G684" s="1">
        <v>45527</v>
      </c>
      <c r="H684" t="s">
        <v>25</v>
      </c>
      <c r="I684">
        <v>1.6</v>
      </c>
      <c r="J684" t="s">
        <v>88</v>
      </c>
      <c r="K684">
        <v>2024</v>
      </c>
      <c r="L684">
        <v>5946.1880000000001</v>
      </c>
      <c r="M684">
        <v>10</v>
      </c>
      <c r="N684" t="s">
        <v>27</v>
      </c>
      <c r="O684" t="s">
        <v>68</v>
      </c>
    </row>
    <row r="685" spans="1:15" x14ac:dyDescent="0.3">
      <c r="A685" t="s">
        <v>753</v>
      </c>
      <c r="B685" t="s">
        <v>176</v>
      </c>
      <c r="C685" t="s">
        <v>24</v>
      </c>
      <c r="D685">
        <v>48130.6</v>
      </c>
      <c r="E685">
        <v>5</v>
      </c>
      <c r="F685">
        <v>240653</v>
      </c>
      <c r="G685" s="1">
        <v>45619</v>
      </c>
      <c r="H685" t="s">
        <v>25</v>
      </c>
      <c r="I685">
        <v>4</v>
      </c>
      <c r="J685" t="s">
        <v>37</v>
      </c>
      <c r="K685">
        <v>2024</v>
      </c>
      <c r="L685">
        <v>48130.600000000006</v>
      </c>
      <c r="M685">
        <v>11</v>
      </c>
      <c r="N685" t="s">
        <v>27</v>
      </c>
      <c r="O685" t="s">
        <v>68</v>
      </c>
    </row>
    <row r="686" spans="1:15" x14ac:dyDescent="0.3">
      <c r="A686" t="s">
        <v>754</v>
      </c>
      <c r="B686" t="s">
        <v>16</v>
      </c>
      <c r="C686" t="s">
        <v>17</v>
      </c>
      <c r="D686">
        <v>8970.27</v>
      </c>
      <c r="E686">
        <v>3</v>
      </c>
      <c r="F686">
        <v>26910.81</v>
      </c>
      <c r="G686" s="1">
        <v>45464</v>
      </c>
      <c r="H686" t="s">
        <v>64</v>
      </c>
      <c r="I686">
        <v>1.1000000000000001</v>
      </c>
      <c r="J686" t="s">
        <v>67</v>
      </c>
      <c r="K686">
        <v>2024</v>
      </c>
      <c r="L686">
        <v>5382.1620000000003</v>
      </c>
      <c r="M686">
        <v>18</v>
      </c>
      <c r="N686" t="s">
        <v>27</v>
      </c>
      <c r="O686" t="s">
        <v>28</v>
      </c>
    </row>
    <row r="687" spans="1:15" x14ac:dyDescent="0.3">
      <c r="A687" t="s">
        <v>755</v>
      </c>
      <c r="B687" t="s">
        <v>107</v>
      </c>
      <c r="C687" t="s">
        <v>36</v>
      </c>
      <c r="D687">
        <v>14359.73</v>
      </c>
      <c r="E687">
        <v>2</v>
      </c>
      <c r="F687">
        <v>28719.46</v>
      </c>
      <c r="G687" s="1">
        <v>45465</v>
      </c>
      <c r="H687" t="s">
        <v>25</v>
      </c>
      <c r="I687">
        <v>4.4000000000000004</v>
      </c>
      <c r="J687" t="s">
        <v>67</v>
      </c>
      <c r="K687">
        <v>2024</v>
      </c>
      <c r="L687">
        <v>5743.8919999999998</v>
      </c>
      <c r="M687">
        <v>17</v>
      </c>
      <c r="N687" t="s">
        <v>27</v>
      </c>
      <c r="O687" t="s">
        <v>68</v>
      </c>
    </row>
    <row r="688" spans="1:15" x14ac:dyDescent="0.3">
      <c r="A688" t="s">
        <v>756</v>
      </c>
      <c r="B688" t="s">
        <v>58</v>
      </c>
      <c r="C688" t="s">
        <v>31</v>
      </c>
      <c r="D688">
        <v>17009.73</v>
      </c>
      <c r="E688">
        <v>4</v>
      </c>
      <c r="F688">
        <v>68038.92</v>
      </c>
      <c r="G688" s="1">
        <v>45608</v>
      </c>
      <c r="H688" t="s">
        <v>18</v>
      </c>
      <c r="I688">
        <v>3.7</v>
      </c>
      <c r="J688" t="s">
        <v>37</v>
      </c>
      <c r="K688">
        <v>2024</v>
      </c>
      <c r="L688">
        <v>13607.784</v>
      </c>
      <c r="M688">
        <v>12</v>
      </c>
      <c r="N688" t="s">
        <v>41</v>
      </c>
      <c r="O688" t="s">
        <v>21</v>
      </c>
    </row>
    <row r="689" spans="1:15" x14ac:dyDescent="0.3">
      <c r="A689" t="s">
        <v>757</v>
      </c>
      <c r="B689" t="s">
        <v>78</v>
      </c>
      <c r="C689" t="s">
        <v>24</v>
      </c>
      <c r="D689">
        <v>10385.24</v>
      </c>
      <c r="E689">
        <v>2</v>
      </c>
      <c r="F689">
        <v>20770.48</v>
      </c>
      <c r="G689" s="1">
        <v>45373</v>
      </c>
      <c r="H689" t="s">
        <v>25</v>
      </c>
      <c r="I689">
        <v>4.7</v>
      </c>
      <c r="J689" t="s">
        <v>56</v>
      </c>
      <c r="K689">
        <v>2024</v>
      </c>
      <c r="L689">
        <v>4154.0960000000005</v>
      </c>
      <c r="M689">
        <v>14</v>
      </c>
      <c r="N689" t="s">
        <v>41</v>
      </c>
      <c r="O689" t="s">
        <v>33</v>
      </c>
    </row>
    <row r="690" spans="1:15" x14ac:dyDescent="0.3">
      <c r="A690" t="s">
        <v>758</v>
      </c>
      <c r="B690" t="s">
        <v>55</v>
      </c>
      <c r="C690" t="s">
        <v>36</v>
      </c>
      <c r="D690">
        <v>28261.1</v>
      </c>
      <c r="E690">
        <v>2</v>
      </c>
      <c r="F690">
        <v>56522.2</v>
      </c>
      <c r="G690" s="1">
        <v>45683</v>
      </c>
      <c r="H690" t="s">
        <v>44</v>
      </c>
      <c r="I690">
        <v>4.3</v>
      </c>
      <c r="J690" t="s">
        <v>53</v>
      </c>
      <c r="K690">
        <v>2025</v>
      </c>
      <c r="L690">
        <v>11304.44</v>
      </c>
      <c r="M690">
        <v>13</v>
      </c>
      <c r="N690" t="s">
        <v>41</v>
      </c>
      <c r="O690" t="s">
        <v>33</v>
      </c>
    </row>
    <row r="691" spans="1:15" x14ac:dyDescent="0.3">
      <c r="A691" t="s">
        <v>759</v>
      </c>
      <c r="B691" t="s">
        <v>23</v>
      </c>
      <c r="C691" t="s">
        <v>24</v>
      </c>
      <c r="D691">
        <v>23320.94</v>
      </c>
      <c r="E691">
        <v>2</v>
      </c>
      <c r="F691">
        <v>46641.88</v>
      </c>
      <c r="G691" s="1">
        <v>45414</v>
      </c>
      <c r="H691" t="s">
        <v>44</v>
      </c>
      <c r="I691">
        <v>3.2</v>
      </c>
      <c r="J691" t="s">
        <v>32</v>
      </c>
      <c r="K691">
        <v>2024</v>
      </c>
      <c r="L691">
        <v>9328.3760000000002</v>
      </c>
      <c r="M691">
        <v>22</v>
      </c>
      <c r="N691" t="s">
        <v>41</v>
      </c>
      <c r="O691" t="s">
        <v>33</v>
      </c>
    </row>
    <row r="692" spans="1:15" x14ac:dyDescent="0.3">
      <c r="A692" t="s">
        <v>760</v>
      </c>
      <c r="B692" t="s">
        <v>78</v>
      </c>
      <c r="C692" t="s">
        <v>24</v>
      </c>
      <c r="D692">
        <v>16038</v>
      </c>
      <c r="E692">
        <v>5</v>
      </c>
      <c r="F692">
        <v>80190</v>
      </c>
      <c r="G692" s="1">
        <v>45646</v>
      </c>
      <c r="H692" t="s">
        <v>71</v>
      </c>
      <c r="I692">
        <v>2.2999999999999998</v>
      </c>
      <c r="J692" t="s">
        <v>26</v>
      </c>
      <c r="K692">
        <v>2024</v>
      </c>
      <c r="L692">
        <v>16038</v>
      </c>
      <c r="M692">
        <v>30</v>
      </c>
      <c r="N692" t="s">
        <v>27</v>
      </c>
      <c r="O692" t="s">
        <v>28</v>
      </c>
    </row>
    <row r="693" spans="1:15" x14ac:dyDescent="0.3">
      <c r="A693" t="s">
        <v>761</v>
      </c>
      <c r="B693" t="s">
        <v>47</v>
      </c>
      <c r="C693" t="s">
        <v>24</v>
      </c>
      <c r="D693">
        <v>43719.71</v>
      </c>
      <c r="E693">
        <v>5</v>
      </c>
      <c r="F693">
        <v>218598.55</v>
      </c>
      <c r="G693" s="1">
        <v>45608</v>
      </c>
      <c r="H693" t="s">
        <v>25</v>
      </c>
      <c r="I693">
        <v>3.4</v>
      </c>
      <c r="J693" t="s">
        <v>37</v>
      </c>
      <c r="K693">
        <v>2024</v>
      </c>
      <c r="L693">
        <v>43719.71</v>
      </c>
      <c r="M693">
        <v>6</v>
      </c>
      <c r="N693" t="s">
        <v>20</v>
      </c>
      <c r="O693" t="s">
        <v>68</v>
      </c>
    </row>
    <row r="694" spans="1:15" x14ac:dyDescent="0.3">
      <c r="A694" t="s">
        <v>762</v>
      </c>
      <c r="B694" t="s">
        <v>74</v>
      </c>
      <c r="C694" t="s">
        <v>17</v>
      </c>
      <c r="D694">
        <v>19669.48</v>
      </c>
      <c r="E694">
        <v>2</v>
      </c>
      <c r="F694">
        <v>39338.959999999999</v>
      </c>
      <c r="G694" s="1">
        <v>45429</v>
      </c>
      <c r="H694" t="s">
        <v>44</v>
      </c>
      <c r="I694">
        <v>2</v>
      </c>
      <c r="J694" t="s">
        <v>32</v>
      </c>
      <c r="K694">
        <v>2024</v>
      </c>
      <c r="L694">
        <v>7867.7920000000004</v>
      </c>
      <c r="M694">
        <v>9</v>
      </c>
      <c r="N694" t="s">
        <v>41</v>
      </c>
      <c r="O694" t="s">
        <v>21</v>
      </c>
    </row>
    <row r="695" spans="1:15" x14ac:dyDescent="0.3">
      <c r="A695" t="s">
        <v>763</v>
      </c>
      <c r="B695" t="s">
        <v>61</v>
      </c>
      <c r="C695" t="s">
        <v>31</v>
      </c>
      <c r="D695">
        <v>27396.01</v>
      </c>
      <c r="E695">
        <v>1</v>
      </c>
      <c r="F695">
        <v>27396.01</v>
      </c>
      <c r="G695" s="1">
        <v>45371</v>
      </c>
      <c r="H695" t="s">
        <v>64</v>
      </c>
      <c r="I695">
        <v>4.9000000000000004</v>
      </c>
      <c r="J695" t="s">
        <v>56</v>
      </c>
      <c r="K695">
        <v>2024</v>
      </c>
      <c r="L695">
        <v>5479.2020000000002</v>
      </c>
      <c r="M695">
        <v>9</v>
      </c>
      <c r="N695" t="s">
        <v>20</v>
      </c>
      <c r="O695" t="s">
        <v>21</v>
      </c>
    </row>
    <row r="696" spans="1:15" x14ac:dyDescent="0.3">
      <c r="A696" t="s">
        <v>764</v>
      </c>
      <c r="B696" t="s">
        <v>52</v>
      </c>
      <c r="C696" t="s">
        <v>24</v>
      </c>
      <c r="D696">
        <v>13763.17</v>
      </c>
      <c r="E696">
        <v>5</v>
      </c>
      <c r="F696">
        <v>68815.850000000006</v>
      </c>
      <c r="G696" s="1">
        <v>45434</v>
      </c>
      <c r="H696" t="s">
        <v>44</v>
      </c>
      <c r="I696">
        <v>3.6</v>
      </c>
      <c r="J696" t="s">
        <v>32</v>
      </c>
      <c r="K696">
        <v>2024</v>
      </c>
      <c r="L696">
        <v>13763.170000000002</v>
      </c>
      <c r="M696">
        <v>10</v>
      </c>
      <c r="N696" t="s">
        <v>41</v>
      </c>
      <c r="O696" t="s">
        <v>28</v>
      </c>
    </row>
    <row r="697" spans="1:15" x14ac:dyDescent="0.3">
      <c r="A697" t="s">
        <v>765</v>
      </c>
      <c r="B697" t="s">
        <v>39</v>
      </c>
      <c r="C697" t="s">
        <v>40</v>
      </c>
      <c r="D697">
        <v>6421.63</v>
      </c>
      <c r="E697">
        <v>2</v>
      </c>
      <c r="F697">
        <v>12843.26</v>
      </c>
      <c r="G697" s="1">
        <v>45356</v>
      </c>
      <c r="H697" t="s">
        <v>80</v>
      </c>
      <c r="I697">
        <v>1.5</v>
      </c>
      <c r="J697" t="s">
        <v>56</v>
      </c>
      <c r="K697">
        <v>2024</v>
      </c>
      <c r="L697">
        <v>2568.652</v>
      </c>
      <c r="M697">
        <v>23</v>
      </c>
      <c r="N697" t="s">
        <v>41</v>
      </c>
      <c r="O697" t="s">
        <v>21</v>
      </c>
    </row>
    <row r="698" spans="1:15" x14ac:dyDescent="0.3">
      <c r="A698" t="s">
        <v>766</v>
      </c>
      <c r="B698" t="s">
        <v>125</v>
      </c>
      <c r="C698" t="s">
        <v>17</v>
      </c>
      <c r="D698">
        <v>4617.2</v>
      </c>
      <c r="E698">
        <v>4</v>
      </c>
      <c r="F698">
        <v>18468.8</v>
      </c>
      <c r="G698" s="1">
        <v>45370</v>
      </c>
      <c r="H698" t="s">
        <v>25</v>
      </c>
      <c r="I698">
        <v>3.8</v>
      </c>
      <c r="J698" t="s">
        <v>56</v>
      </c>
      <c r="K698">
        <v>2024</v>
      </c>
      <c r="L698">
        <v>3693.76</v>
      </c>
      <c r="M698">
        <v>12</v>
      </c>
      <c r="N698" t="s">
        <v>20</v>
      </c>
      <c r="O698" t="s">
        <v>21</v>
      </c>
    </row>
    <row r="699" spans="1:15" x14ac:dyDescent="0.3">
      <c r="A699" t="s">
        <v>767</v>
      </c>
      <c r="B699" t="s">
        <v>78</v>
      </c>
      <c r="C699" t="s">
        <v>24</v>
      </c>
      <c r="D699">
        <v>6022.31</v>
      </c>
      <c r="E699">
        <v>5</v>
      </c>
      <c r="F699">
        <v>30111.55</v>
      </c>
      <c r="G699" s="1">
        <v>45513</v>
      </c>
      <c r="H699" t="s">
        <v>71</v>
      </c>
      <c r="I699">
        <v>3.5</v>
      </c>
      <c r="J699" t="s">
        <v>88</v>
      </c>
      <c r="K699">
        <v>2024</v>
      </c>
      <c r="L699">
        <v>6022.31</v>
      </c>
      <c r="M699">
        <v>20</v>
      </c>
      <c r="N699" t="s">
        <v>27</v>
      </c>
      <c r="O699" t="s">
        <v>21</v>
      </c>
    </row>
    <row r="700" spans="1:15" x14ac:dyDescent="0.3">
      <c r="A700" t="s">
        <v>768</v>
      </c>
      <c r="B700" t="s">
        <v>30</v>
      </c>
      <c r="C700" t="s">
        <v>31</v>
      </c>
      <c r="D700">
        <v>38968.519999999997</v>
      </c>
      <c r="E700">
        <v>4</v>
      </c>
      <c r="F700">
        <v>155874.07999999999</v>
      </c>
      <c r="G700" s="1">
        <v>45600</v>
      </c>
      <c r="H700" t="s">
        <v>80</v>
      </c>
      <c r="I700">
        <v>3.9</v>
      </c>
      <c r="J700" t="s">
        <v>37</v>
      </c>
      <c r="K700">
        <v>2024</v>
      </c>
      <c r="L700">
        <v>31174.815999999999</v>
      </c>
      <c r="M700">
        <v>17</v>
      </c>
      <c r="N700" t="s">
        <v>41</v>
      </c>
      <c r="O700" t="s">
        <v>21</v>
      </c>
    </row>
    <row r="701" spans="1:15" x14ac:dyDescent="0.3">
      <c r="A701" t="s">
        <v>769</v>
      </c>
      <c r="B701" t="s">
        <v>96</v>
      </c>
      <c r="C701" t="s">
        <v>36</v>
      </c>
      <c r="D701">
        <v>20435.34</v>
      </c>
      <c r="E701">
        <v>5</v>
      </c>
      <c r="F701">
        <v>102176.7</v>
      </c>
      <c r="G701" s="1">
        <v>45582</v>
      </c>
      <c r="H701" t="s">
        <v>71</v>
      </c>
      <c r="I701">
        <v>3.8</v>
      </c>
      <c r="J701" t="s">
        <v>45</v>
      </c>
      <c r="K701">
        <v>2024</v>
      </c>
      <c r="L701">
        <v>20435.34</v>
      </c>
      <c r="M701">
        <v>5</v>
      </c>
      <c r="N701" t="s">
        <v>41</v>
      </c>
      <c r="O701" t="s">
        <v>68</v>
      </c>
    </row>
    <row r="702" spans="1:15" x14ac:dyDescent="0.3">
      <c r="A702" t="s">
        <v>770</v>
      </c>
      <c r="B702" t="s">
        <v>55</v>
      </c>
      <c r="C702" t="s">
        <v>36</v>
      </c>
      <c r="D702">
        <v>25115.71</v>
      </c>
      <c r="E702">
        <v>2</v>
      </c>
      <c r="F702">
        <v>50231.42</v>
      </c>
      <c r="G702" s="1">
        <v>45522</v>
      </c>
      <c r="H702" t="s">
        <v>44</v>
      </c>
      <c r="I702">
        <v>2.5</v>
      </c>
      <c r="J702" t="s">
        <v>88</v>
      </c>
      <c r="K702">
        <v>2024</v>
      </c>
      <c r="L702">
        <v>10046.284</v>
      </c>
      <c r="M702">
        <v>26</v>
      </c>
      <c r="N702" t="s">
        <v>41</v>
      </c>
      <c r="O702" t="s">
        <v>21</v>
      </c>
    </row>
    <row r="703" spans="1:15" x14ac:dyDescent="0.3">
      <c r="A703" t="s">
        <v>771</v>
      </c>
      <c r="B703" t="s">
        <v>107</v>
      </c>
      <c r="C703" t="s">
        <v>36</v>
      </c>
      <c r="D703">
        <v>36115.480000000003</v>
      </c>
      <c r="E703">
        <v>1</v>
      </c>
      <c r="F703">
        <v>36115.480000000003</v>
      </c>
      <c r="G703" s="1">
        <v>45395</v>
      </c>
      <c r="H703" t="s">
        <v>25</v>
      </c>
      <c r="I703">
        <v>3</v>
      </c>
      <c r="J703" t="s">
        <v>62</v>
      </c>
      <c r="K703">
        <v>2024</v>
      </c>
      <c r="L703">
        <v>7223.0960000000014</v>
      </c>
      <c r="M703">
        <v>24</v>
      </c>
      <c r="N703" t="s">
        <v>20</v>
      </c>
      <c r="O703" t="s">
        <v>33</v>
      </c>
    </row>
    <row r="704" spans="1:15" x14ac:dyDescent="0.3">
      <c r="A704" t="s">
        <v>772</v>
      </c>
      <c r="B704" t="s">
        <v>50</v>
      </c>
      <c r="C704" t="s">
        <v>40</v>
      </c>
      <c r="D704">
        <v>13372.74</v>
      </c>
      <c r="E704">
        <v>2</v>
      </c>
      <c r="F704">
        <v>26745.48</v>
      </c>
      <c r="G704" s="1">
        <v>45543</v>
      </c>
      <c r="H704" t="s">
        <v>44</v>
      </c>
      <c r="I704">
        <v>1.7</v>
      </c>
      <c r="J704" t="s">
        <v>19</v>
      </c>
      <c r="K704">
        <v>2024</v>
      </c>
      <c r="L704">
        <v>5349.0960000000005</v>
      </c>
      <c r="M704">
        <v>21</v>
      </c>
      <c r="N704" t="s">
        <v>27</v>
      </c>
      <c r="O704" t="s">
        <v>28</v>
      </c>
    </row>
    <row r="705" spans="1:15" x14ac:dyDescent="0.3">
      <c r="A705" t="s">
        <v>773</v>
      </c>
      <c r="B705" t="s">
        <v>16</v>
      </c>
      <c r="C705" t="s">
        <v>17</v>
      </c>
      <c r="D705">
        <v>32472.59</v>
      </c>
      <c r="E705">
        <v>1</v>
      </c>
      <c r="F705">
        <v>32472.59</v>
      </c>
      <c r="G705" s="1">
        <v>45378</v>
      </c>
      <c r="H705" t="s">
        <v>44</v>
      </c>
      <c r="I705">
        <v>1</v>
      </c>
      <c r="J705" t="s">
        <v>56</v>
      </c>
      <c r="K705">
        <v>2024</v>
      </c>
      <c r="L705">
        <v>6494.518</v>
      </c>
      <c r="M705">
        <v>11</v>
      </c>
      <c r="N705" t="s">
        <v>20</v>
      </c>
      <c r="O705" t="s">
        <v>68</v>
      </c>
    </row>
    <row r="706" spans="1:15" x14ac:dyDescent="0.3">
      <c r="A706" t="s">
        <v>774</v>
      </c>
      <c r="B706" t="s">
        <v>118</v>
      </c>
      <c r="C706" t="s">
        <v>17</v>
      </c>
      <c r="D706">
        <v>12097.46</v>
      </c>
      <c r="E706">
        <v>5</v>
      </c>
      <c r="F706">
        <v>60487.3</v>
      </c>
      <c r="G706" s="1">
        <v>45433</v>
      </c>
      <c r="H706" t="s">
        <v>64</v>
      </c>
      <c r="I706">
        <v>4.2</v>
      </c>
      <c r="J706" t="s">
        <v>32</v>
      </c>
      <c r="K706">
        <v>2024</v>
      </c>
      <c r="L706">
        <v>12097.460000000001</v>
      </c>
      <c r="M706">
        <v>29</v>
      </c>
      <c r="N706" t="s">
        <v>20</v>
      </c>
      <c r="O706" t="s">
        <v>21</v>
      </c>
    </row>
    <row r="707" spans="1:15" x14ac:dyDescent="0.3">
      <c r="A707" t="s">
        <v>775</v>
      </c>
      <c r="B707" t="s">
        <v>74</v>
      </c>
      <c r="C707" t="s">
        <v>17</v>
      </c>
      <c r="D707">
        <v>34446.42</v>
      </c>
      <c r="E707">
        <v>3</v>
      </c>
      <c r="F707">
        <v>103339.26</v>
      </c>
      <c r="G707" s="1">
        <v>45349</v>
      </c>
      <c r="H707" t="s">
        <v>25</v>
      </c>
      <c r="I707">
        <v>2.4</v>
      </c>
      <c r="J707" t="s">
        <v>59</v>
      </c>
      <c r="K707">
        <v>2024</v>
      </c>
      <c r="L707">
        <v>20667.851999999999</v>
      </c>
      <c r="M707">
        <v>17</v>
      </c>
      <c r="N707" t="s">
        <v>27</v>
      </c>
      <c r="O707" t="s">
        <v>68</v>
      </c>
    </row>
    <row r="708" spans="1:15" x14ac:dyDescent="0.3">
      <c r="A708" t="s">
        <v>776</v>
      </c>
      <c r="B708" t="s">
        <v>16</v>
      </c>
      <c r="C708" t="s">
        <v>17</v>
      </c>
      <c r="D708">
        <v>13420.4</v>
      </c>
      <c r="E708">
        <v>4</v>
      </c>
      <c r="F708">
        <v>53681.599999999999</v>
      </c>
      <c r="G708" s="1">
        <v>45652</v>
      </c>
      <c r="H708" t="s">
        <v>64</v>
      </c>
      <c r="I708">
        <v>4.7</v>
      </c>
      <c r="J708" t="s">
        <v>26</v>
      </c>
      <c r="K708">
        <v>2024</v>
      </c>
      <c r="L708">
        <v>10736.32</v>
      </c>
      <c r="M708">
        <v>8</v>
      </c>
      <c r="N708" t="s">
        <v>20</v>
      </c>
      <c r="O708" t="s">
        <v>21</v>
      </c>
    </row>
    <row r="709" spans="1:15" x14ac:dyDescent="0.3">
      <c r="A709" t="s">
        <v>777</v>
      </c>
      <c r="B709" t="s">
        <v>70</v>
      </c>
      <c r="C709" t="s">
        <v>17</v>
      </c>
      <c r="D709">
        <v>20686.939999999999</v>
      </c>
      <c r="E709">
        <v>3</v>
      </c>
      <c r="F709">
        <v>62060.82</v>
      </c>
      <c r="G709" s="1">
        <v>45652</v>
      </c>
      <c r="H709" t="s">
        <v>44</v>
      </c>
      <c r="I709">
        <v>4.0999999999999996</v>
      </c>
      <c r="J709" t="s">
        <v>26</v>
      </c>
      <c r="K709">
        <v>2024</v>
      </c>
      <c r="L709">
        <v>12412.164000000001</v>
      </c>
      <c r="M709">
        <v>8</v>
      </c>
      <c r="N709" t="s">
        <v>27</v>
      </c>
      <c r="O709" t="s">
        <v>33</v>
      </c>
    </row>
    <row r="710" spans="1:15" x14ac:dyDescent="0.3">
      <c r="A710" t="s">
        <v>778</v>
      </c>
      <c r="B710" t="s">
        <v>107</v>
      </c>
      <c r="C710" t="s">
        <v>36</v>
      </c>
      <c r="D710">
        <v>29418.33</v>
      </c>
      <c r="E710">
        <v>2</v>
      </c>
      <c r="F710">
        <v>58836.66</v>
      </c>
      <c r="G710" s="1">
        <v>45503</v>
      </c>
      <c r="H710" t="s">
        <v>64</v>
      </c>
      <c r="I710">
        <v>3.3</v>
      </c>
      <c r="J710" t="s">
        <v>48</v>
      </c>
      <c r="K710">
        <v>2024</v>
      </c>
      <c r="L710">
        <v>11767.332000000002</v>
      </c>
      <c r="M710">
        <v>10</v>
      </c>
      <c r="N710" t="s">
        <v>41</v>
      </c>
      <c r="O710" t="s">
        <v>28</v>
      </c>
    </row>
    <row r="711" spans="1:15" x14ac:dyDescent="0.3">
      <c r="A711" t="s">
        <v>779</v>
      </c>
      <c r="B711" t="s">
        <v>125</v>
      </c>
      <c r="C711" t="s">
        <v>17</v>
      </c>
      <c r="D711">
        <v>6115.91</v>
      </c>
      <c r="E711">
        <v>1</v>
      </c>
      <c r="F711">
        <v>6115.91</v>
      </c>
      <c r="G711" s="1">
        <v>45426</v>
      </c>
      <c r="H711" t="s">
        <v>25</v>
      </c>
      <c r="I711">
        <v>1.5</v>
      </c>
      <c r="J711" t="s">
        <v>32</v>
      </c>
      <c r="K711">
        <v>2024</v>
      </c>
      <c r="L711">
        <v>1223.182</v>
      </c>
      <c r="M711">
        <v>23</v>
      </c>
      <c r="N711" t="s">
        <v>27</v>
      </c>
      <c r="O711" t="s">
        <v>21</v>
      </c>
    </row>
    <row r="712" spans="1:15" x14ac:dyDescent="0.3">
      <c r="A712" t="s">
        <v>780</v>
      </c>
      <c r="B712" t="s">
        <v>125</v>
      </c>
      <c r="C712" t="s">
        <v>17</v>
      </c>
      <c r="D712">
        <v>33404.120000000003</v>
      </c>
      <c r="E712">
        <v>3</v>
      </c>
      <c r="F712">
        <v>100212.36</v>
      </c>
      <c r="G712" s="1">
        <v>45525</v>
      </c>
      <c r="H712" t="s">
        <v>18</v>
      </c>
      <c r="I712">
        <v>2.7</v>
      </c>
      <c r="J712" t="s">
        <v>88</v>
      </c>
      <c r="K712">
        <v>2024</v>
      </c>
      <c r="L712">
        <v>20042.472000000002</v>
      </c>
      <c r="M712">
        <v>16</v>
      </c>
      <c r="N712" t="s">
        <v>41</v>
      </c>
      <c r="O712" t="s">
        <v>21</v>
      </c>
    </row>
    <row r="713" spans="1:15" x14ac:dyDescent="0.3">
      <c r="A713" t="s">
        <v>781</v>
      </c>
      <c r="B713" t="s">
        <v>23</v>
      </c>
      <c r="C713" t="s">
        <v>24</v>
      </c>
      <c r="D713">
        <v>40046.19</v>
      </c>
      <c r="E713">
        <v>2</v>
      </c>
      <c r="F713">
        <v>80092.38</v>
      </c>
      <c r="G713" s="1">
        <v>45419</v>
      </c>
      <c r="H713" t="s">
        <v>25</v>
      </c>
      <c r="I713">
        <v>1.2</v>
      </c>
      <c r="J713" t="s">
        <v>32</v>
      </c>
      <c r="K713">
        <v>2024</v>
      </c>
      <c r="L713">
        <v>16018.476000000002</v>
      </c>
      <c r="M713">
        <v>26</v>
      </c>
      <c r="N713" t="s">
        <v>20</v>
      </c>
      <c r="O713" t="s">
        <v>21</v>
      </c>
    </row>
    <row r="714" spans="1:15" x14ac:dyDescent="0.3">
      <c r="A714" t="s">
        <v>782</v>
      </c>
      <c r="B714" t="s">
        <v>125</v>
      </c>
      <c r="C714" t="s">
        <v>17</v>
      </c>
      <c r="D714">
        <v>22709.95</v>
      </c>
      <c r="E714">
        <v>2</v>
      </c>
      <c r="F714">
        <v>45419.9</v>
      </c>
      <c r="G714" s="1">
        <v>45589</v>
      </c>
      <c r="H714" t="s">
        <v>71</v>
      </c>
      <c r="I714">
        <v>4</v>
      </c>
      <c r="J714" t="s">
        <v>45</v>
      </c>
      <c r="K714">
        <v>2024</v>
      </c>
      <c r="L714">
        <v>9083.9800000000014</v>
      </c>
      <c r="M714">
        <v>11</v>
      </c>
      <c r="N714" t="s">
        <v>20</v>
      </c>
      <c r="O714" t="s">
        <v>21</v>
      </c>
    </row>
    <row r="715" spans="1:15" x14ac:dyDescent="0.3">
      <c r="A715" t="s">
        <v>783</v>
      </c>
      <c r="B715" t="s">
        <v>118</v>
      </c>
      <c r="C715" t="s">
        <v>17</v>
      </c>
      <c r="D715">
        <v>22315.58</v>
      </c>
      <c r="E715">
        <v>1</v>
      </c>
      <c r="F715">
        <v>22315.58</v>
      </c>
      <c r="G715" s="1">
        <v>45543</v>
      </c>
      <c r="H715" t="s">
        <v>25</v>
      </c>
      <c r="I715">
        <v>2.6</v>
      </c>
      <c r="J715" t="s">
        <v>19</v>
      </c>
      <c r="K715">
        <v>2024</v>
      </c>
      <c r="L715">
        <v>4463.1160000000009</v>
      </c>
      <c r="M715">
        <v>14</v>
      </c>
      <c r="N715" t="s">
        <v>41</v>
      </c>
      <c r="O715" t="s">
        <v>28</v>
      </c>
    </row>
    <row r="716" spans="1:15" x14ac:dyDescent="0.3">
      <c r="A716" t="s">
        <v>784</v>
      </c>
      <c r="B716" t="s">
        <v>23</v>
      </c>
      <c r="C716" t="s">
        <v>24</v>
      </c>
      <c r="D716">
        <v>47608.93</v>
      </c>
      <c r="E716">
        <v>1</v>
      </c>
      <c r="F716">
        <v>47608.93</v>
      </c>
      <c r="G716" s="1">
        <v>45347</v>
      </c>
      <c r="H716" t="s">
        <v>25</v>
      </c>
      <c r="I716">
        <v>4.2</v>
      </c>
      <c r="J716" t="s">
        <v>59</v>
      </c>
      <c r="K716">
        <v>2024</v>
      </c>
      <c r="L716">
        <v>9521.7860000000001</v>
      </c>
      <c r="M716">
        <v>30</v>
      </c>
      <c r="N716" t="s">
        <v>20</v>
      </c>
      <c r="O716" t="s">
        <v>28</v>
      </c>
    </row>
    <row r="717" spans="1:15" x14ac:dyDescent="0.3">
      <c r="A717" t="s">
        <v>785</v>
      </c>
      <c r="B717" t="s">
        <v>52</v>
      </c>
      <c r="C717" t="s">
        <v>24</v>
      </c>
      <c r="D717">
        <v>19846.64</v>
      </c>
      <c r="E717">
        <v>1</v>
      </c>
      <c r="F717">
        <v>19846.64</v>
      </c>
      <c r="G717" s="1">
        <v>45513</v>
      </c>
      <c r="H717" t="s">
        <v>80</v>
      </c>
      <c r="I717">
        <v>3.3</v>
      </c>
      <c r="J717" t="s">
        <v>88</v>
      </c>
      <c r="K717">
        <v>2024</v>
      </c>
      <c r="L717">
        <v>3969.328</v>
      </c>
      <c r="M717">
        <v>23</v>
      </c>
      <c r="N717" t="s">
        <v>27</v>
      </c>
      <c r="O717" t="s">
        <v>33</v>
      </c>
    </row>
    <row r="718" spans="1:15" x14ac:dyDescent="0.3">
      <c r="A718" t="s">
        <v>786</v>
      </c>
      <c r="B718" t="s">
        <v>118</v>
      </c>
      <c r="C718" t="s">
        <v>17</v>
      </c>
      <c r="D718">
        <v>5975.89</v>
      </c>
      <c r="E718">
        <v>3</v>
      </c>
      <c r="F718">
        <v>17927.669999999998</v>
      </c>
      <c r="G718" s="1">
        <v>45536</v>
      </c>
      <c r="H718" t="s">
        <v>25</v>
      </c>
      <c r="I718">
        <v>4.8</v>
      </c>
      <c r="J718" t="s">
        <v>19</v>
      </c>
      <c r="K718">
        <v>2024</v>
      </c>
      <c r="L718">
        <v>3585.5339999999997</v>
      </c>
      <c r="M718">
        <v>11</v>
      </c>
      <c r="N718" t="s">
        <v>41</v>
      </c>
      <c r="O718" t="s">
        <v>28</v>
      </c>
    </row>
    <row r="719" spans="1:15" x14ac:dyDescent="0.3">
      <c r="A719" t="s">
        <v>787</v>
      </c>
      <c r="B719" t="s">
        <v>118</v>
      </c>
      <c r="C719" t="s">
        <v>17</v>
      </c>
      <c r="D719">
        <v>49409.89</v>
      </c>
      <c r="E719">
        <v>4</v>
      </c>
      <c r="F719">
        <v>197639.56</v>
      </c>
      <c r="G719" s="1">
        <v>45561</v>
      </c>
      <c r="H719" t="s">
        <v>80</v>
      </c>
      <c r="I719">
        <v>4.0999999999999996</v>
      </c>
      <c r="J719" t="s">
        <v>19</v>
      </c>
      <c r="K719">
        <v>2024</v>
      </c>
      <c r="L719">
        <v>39527.912000000004</v>
      </c>
      <c r="M719">
        <v>7</v>
      </c>
      <c r="N719" t="s">
        <v>20</v>
      </c>
      <c r="O719" t="s">
        <v>21</v>
      </c>
    </row>
    <row r="720" spans="1:15" x14ac:dyDescent="0.3">
      <c r="A720" t="s">
        <v>788</v>
      </c>
      <c r="B720" t="s">
        <v>176</v>
      </c>
      <c r="C720" t="s">
        <v>24</v>
      </c>
      <c r="D720">
        <v>13885.05</v>
      </c>
      <c r="E720">
        <v>5</v>
      </c>
      <c r="F720">
        <v>69425.25</v>
      </c>
      <c r="G720" s="1">
        <v>45577</v>
      </c>
      <c r="H720" t="s">
        <v>71</v>
      </c>
      <c r="I720">
        <v>3.5</v>
      </c>
      <c r="J720" t="s">
        <v>45</v>
      </c>
      <c r="K720">
        <v>2024</v>
      </c>
      <c r="L720">
        <v>13885.050000000001</v>
      </c>
      <c r="M720">
        <v>17</v>
      </c>
      <c r="N720" t="s">
        <v>41</v>
      </c>
      <c r="O720" t="s">
        <v>33</v>
      </c>
    </row>
    <row r="721" spans="1:15" x14ac:dyDescent="0.3">
      <c r="A721" t="s">
        <v>789</v>
      </c>
      <c r="B721" t="s">
        <v>100</v>
      </c>
      <c r="C721" t="s">
        <v>31</v>
      </c>
      <c r="D721">
        <v>4080.78</v>
      </c>
      <c r="E721">
        <v>3</v>
      </c>
      <c r="F721">
        <v>12242.34</v>
      </c>
      <c r="G721" s="1">
        <v>45390</v>
      </c>
      <c r="H721" t="s">
        <v>71</v>
      </c>
      <c r="I721">
        <v>4.9000000000000004</v>
      </c>
      <c r="J721" t="s">
        <v>62</v>
      </c>
      <c r="K721">
        <v>2024</v>
      </c>
      <c r="L721">
        <v>2448.4680000000003</v>
      </c>
      <c r="M721">
        <v>17</v>
      </c>
      <c r="N721" t="s">
        <v>27</v>
      </c>
      <c r="O721" t="s">
        <v>33</v>
      </c>
    </row>
    <row r="722" spans="1:15" x14ac:dyDescent="0.3">
      <c r="A722" t="s">
        <v>790</v>
      </c>
      <c r="B722" t="s">
        <v>107</v>
      </c>
      <c r="C722" t="s">
        <v>36</v>
      </c>
      <c r="D722">
        <v>27306.31</v>
      </c>
      <c r="E722">
        <v>3</v>
      </c>
      <c r="F722">
        <v>81918.929999999993</v>
      </c>
      <c r="G722" s="1">
        <v>45369</v>
      </c>
      <c r="H722" t="s">
        <v>71</v>
      </c>
      <c r="I722">
        <v>3.8</v>
      </c>
      <c r="J722" t="s">
        <v>56</v>
      </c>
      <c r="K722">
        <v>2024</v>
      </c>
      <c r="L722">
        <v>16383.786</v>
      </c>
      <c r="M722">
        <v>22</v>
      </c>
      <c r="N722" t="s">
        <v>27</v>
      </c>
      <c r="O722" t="s">
        <v>33</v>
      </c>
    </row>
    <row r="723" spans="1:15" x14ac:dyDescent="0.3">
      <c r="A723" t="s">
        <v>791</v>
      </c>
      <c r="B723" t="s">
        <v>39</v>
      </c>
      <c r="C723" t="s">
        <v>40</v>
      </c>
      <c r="D723">
        <v>16580.240000000002</v>
      </c>
      <c r="E723">
        <v>5</v>
      </c>
      <c r="F723">
        <v>82901.2</v>
      </c>
      <c r="G723" s="1">
        <v>45628</v>
      </c>
      <c r="H723" t="s">
        <v>80</v>
      </c>
      <c r="I723">
        <v>4.5999999999999996</v>
      </c>
      <c r="J723" t="s">
        <v>26</v>
      </c>
      <c r="K723">
        <v>2024</v>
      </c>
      <c r="L723">
        <v>16580.240000000002</v>
      </c>
      <c r="M723">
        <v>30</v>
      </c>
      <c r="N723" t="s">
        <v>20</v>
      </c>
      <c r="O723" t="s">
        <v>21</v>
      </c>
    </row>
    <row r="724" spans="1:15" x14ac:dyDescent="0.3">
      <c r="A724" t="s">
        <v>792</v>
      </c>
      <c r="B724" t="s">
        <v>70</v>
      </c>
      <c r="C724" t="s">
        <v>17</v>
      </c>
      <c r="D724">
        <v>12798.83</v>
      </c>
      <c r="E724">
        <v>4</v>
      </c>
      <c r="F724">
        <v>51195.32</v>
      </c>
      <c r="G724" s="1">
        <v>45602</v>
      </c>
      <c r="H724" t="s">
        <v>25</v>
      </c>
      <c r="I724">
        <v>5</v>
      </c>
      <c r="J724" t="s">
        <v>37</v>
      </c>
      <c r="K724">
        <v>2024</v>
      </c>
      <c r="L724">
        <v>10239.064</v>
      </c>
      <c r="M724">
        <v>24</v>
      </c>
      <c r="N724" t="s">
        <v>27</v>
      </c>
      <c r="O724" t="s">
        <v>68</v>
      </c>
    </row>
    <row r="725" spans="1:15" x14ac:dyDescent="0.3">
      <c r="A725" t="s">
        <v>793</v>
      </c>
      <c r="B725" t="s">
        <v>16</v>
      </c>
      <c r="C725" t="s">
        <v>17</v>
      </c>
      <c r="D725">
        <v>18574.12</v>
      </c>
      <c r="E725">
        <v>1</v>
      </c>
      <c r="F725">
        <v>18574.12</v>
      </c>
      <c r="G725" s="1">
        <v>45579</v>
      </c>
      <c r="H725" t="s">
        <v>44</v>
      </c>
      <c r="I725">
        <v>3.3</v>
      </c>
      <c r="J725" t="s">
        <v>45</v>
      </c>
      <c r="K725">
        <v>2024</v>
      </c>
      <c r="L725">
        <v>3714.8240000000001</v>
      </c>
      <c r="M725">
        <v>12</v>
      </c>
      <c r="N725" t="s">
        <v>41</v>
      </c>
      <c r="O725" t="s">
        <v>21</v>
      </c>
    </row>
    <row r="726" spans="1:15" x14ac:dyDescent="0.3">
      <c r="A726" t="s">
        <v>794</v>
      </c>
      <c r="B726" t="s">
        <v>39</v>
      </c>
      <c r="C726" t="s">
        <v>40</v>
      </c>
      <c r="D726">
        <v>30836.98</v>
      </c>
      <c r="E726">
        <v>4</v>
      </c>
      <c r="F726">
        <v>123347.92</v>
      </c>
      <c r="G726" s="1">
        <v>45336</v>
      </c>
      <c r="H726" t="s">
        <v>44</v>
      </c>
      <c r="I726">
        <v>1.1000000000000001</v>
      </c>
      <c r="J726" t="s">
        <v>59</v>
      </c>
      <c r="K726">
        <v>2024</v>
      </c>
      <c r="L726">
        <v>24669.584000000003</v>
      </c>
      <c r="M726">
        <v>13</v>
      </c>
      <c r="N726" t="s">
        <v>27</v>
      </c>
      <c r="O726" t="s">
        <v>28</v>
      </c>
    </row>
    <row r="727" spans="1:15" x14ac:dyDescent="0.3">
      <c r="A727" t="s">
        <v>795</v>
      </c>
      <c r="B727" t="s">
        <v>47</v>
      </c>
      <c r="C727" t="s">
        <v>24</v>
      </c>
      <c r="D727">
        <v>48620.13</v>
      </c>
      <c r="E727">
        <v>4</v>
      </c>
      <c r="F727">
        <v>194480.52</v>
      </c>
      <c r="G727" s="1">
        <v>45494</v>
      </c>
      <c r="H727" t="s">
        <v>18</v>
      </c>
      <c r="I727">
        <v>1.9</v>
      </c>
      <c r="J727" t="s">
        <v>48</v>
      </c>
      <c r="K727">
        <v>2024</v>
      </c>
      <c r="L727">
        <v>38896.103999999999</v>
      </c>
      <c r="M727">
        <v>11</v>
      </c>
      <c r="N727" t="s">
        <v>41</v>
      </c>
      <c r="O727" t="s">
        <v>28</v>
      </c>
    </row>
    <row r="728" spans="1:15" x14ac:dyDescent="0.3">
      <c r="A728" t="s">
        <v>796</v>
      </c>
      <c r="B728" t="s">
        <v>74</v>
      </c>
      <c r="C728" t="s">
        <v>17</v>
      </c>
      <c r="D728">
        <v>16390.439999999999</v>
      </c>
      <c r="E728">
        <v>2</v>
      </c>
      <c r="F728">
        <v>32780.879999999997</v>
      </c>
      <c r="G728" s="1">
        <v>45516</v>
      </c>
      <c r="H728" t="s">
        <v>71</v>
      </c>
      <c r="I728">
        <v>4.2</v>
      </c>
      <c r="J728" t="s">
        <v>88</v>
      </c>
      <c r="K728">
        <v>2024</v>
      </c>
      <c r="L728">
        <v>6556.1759999999995</v>
      </c>
      <c r="M728">
        <v>5</v>
      </c>
      <c r="N728" t="s">
        <v>41</v>
      </c>
      <c r="O728" t="s">
        <v>21</v>
      </c>
    </row>
    <row r="729" spans="1:15" x14ac:dyDescent="0.3">
      <c r="A729" t="s">
        <v>797</v>
      </c>
      <c r="B729" t="s">
        <v>30</v>
      </c>
      <c r="C729" t="s">
        <v>31</v>
      </c>
      <c r="D729">
        <v>18862.009999999998</v>
      </c>
      <c r="E729">
        <v>3</v>
      </c>
      <c r="F729">
        <v>56586.03</v>
      </c>
      <c r="G729" s="1">
        <v>45636</v>
      </c>
      <c r="H729" t="s">
        <v>44</v>
      </c>
      <c r="I729">
        <v>3</v>
      </c>
      <c r="J729" t="s">
        <v>26</v>
      </c>
      <c r="K729">
        <v>2024</v>
      </c>
      <c r="L729">
        <v>11317.206</v>
      </c>
      <c r="M729">
        <v>7</v>
      </c>
      <c r="N729" t="s">
        <v>27</v>
      </c>
      <c r="O729" t="s">
        <v>21</v>
      </c>
    </row>
    <row r="730" spans="1:15" x14ac:dyDescent="0.3">
      <c r="A730" t="s">
        <v>798</v>
      </c>
      <c r="B730" t="s">
        <v>35</v>
      </c>
      <c r="C730" t="s">
        <v>36</v>
      </c>
      <c r="D730">
        <v>11448.28</v>
      </c>
      <c r="E730">
        <v>1</v>
      </c>
      <c r="F730">
        <v>11448.28</v>
      </c>
      <c r="G730" s="1">
        <v>45508</v>
      </c>
      <c r="H730" t="s">
        <v>80</v>
      </c>
      <c r="I730">
        <v>3.6</v>
      </c>
      <c r="J730" t="s">
        <v>88</v>
      </c>
      <c r="K730">
        <v>2024</v>
      </c>
      <c r="L730">
        <v>2289.6560000000004</v>
      </c>
      <c r="M730">
        <v>17</v>
      </c>
      <c r="N730" t="s">
        <v>20</v>
      </c>
      <c r="O730" t="s">
        <v>33</v>
      </c>
    </row>
    <row r="731" spans="1:15" x14ac:dyDescent="0.3">
      <c r="A731" t="s">
        <v>799</v>
      </c>
      <c r="B731" t="s">
        <v>94</v>
      </c>
      <c r="C731" t="s">
        <v>31</v>
      </c>
      <c r="D731">
        <v>24384.05</v>
      </c>
      <c r="E731">
        <v>2</v>
      </c>
      <c r="F731">
        <v>48768.1</v>
      </c>
      <c r="G731" s="1">
        <v>45499</v>
      </c>
      <c r="H731" t="s">
        <v>18</v>
      </c>
      <c r="I731">
        <v>3</v>
      </c>
      <c r="J731" t="s">
        <v>48</v>
      </c>
      <c r="K731">
        <v>2024</v>
      </c>
      <c r="L731">
        <v>9753.6200000000008</v>
      </c>
      <c r="M731">
        <v>29</v>
      </c>
      <c r="N731" t="s">
        <v>27</v>
      </c>
      <c r="O731" t="s">
        <v>21</v>
      </c>
    </row>
    <row r="732" spans="1:15" x14ac:dyDescent="0.3">
      <c r="A732" t="s">
        <v>800</v>
      </c>
      <c r="B732" t="s">
        <v>58</v>
      </c>
      <c r="C732" t="s">
        <v>31</v>
      </c>
      <c r="D732">
        <v>18179.43</v>
      </c>
      <c r="E732">
        <v>1</v>
      </c>
      <c r="F732">
        <v>18179.43</v>
      </c>
      <c r="G732" s="1">
        <v>45371</v>
      </c>
      <c r="H732" t="s">
        <v>44</v>
      </c>
      <c r="I732">
        <v>4.3</v>
      </c>
      <c r="J732" t="s">
        <v>56</v>
      </c>
      <c r="K732">
        <v>2024</v>
      </c>
      <c r="L732">
        <v>3635.8860000000004</v>
      </c>
      <c r="M732">
        <v>21</v>
      </c>
      <c r="N732" t="s">
        <v>41</v>
      </c>
      <c r="O732" t="s">
        <v>33</v>
      </c>
    </row>
    <row r="733" spans="1:15" x14ac:dyDescent="0.3">
      <c r="A733" t="s">
        <v>801</v>
      </c>
      <c r="B733" t="s">
        <v>39</v>
      </c>
      <c r="C733" t="s">
        <v>40</v>
      </c>
      <c r="D733">
        <v>22430.51</v>
      </c>
      <c r="E733">
        <v>1</v>
      </c>
      <c r="F733">
        <v>22430.51</v>
      </c>
      <c r="G733" s="1">
        <v>45554</v>
      </c>
      <c r="H733" t="s">
        <v>71</v>
      </c>
      <c r="I733">
        <v>4.5</v>
      </c>
      <c r="J733" t="s">
        <v>19</v>
      </c>
      <c r="K733">
        <v>2024</v>
      </c>
      <c r="L733">
        <v>4486.1019999999999</v>
      </c>
      <c r="M733">
        <v>29</v>
      </c>
      <c r="N733" t="s">
        <v>41</v>
      </c>
      <c r="O733" t="s">
        <v>28</v>
      </c>
    </row>
    <row r="734" spans="1:15" x14ac:dyDescent="0.3">
      <c r="A734" t="s">
        <v>802</v>
      </c>
      <c r="B734" t="s">
        <v>145</v>
      </c>
      <c r="C734" t="s">
        <v>40</v>
      </c>
      <c r="D734">
        <v>10241.780000000001</v>
      </c>
      <c r="E734">
        <v>2</v>
      </c>
      <c r="F734">
        <v>20483.560000000001</v>
      </c>
      <c r="G734" s="1">
        <v>45672</v>
      </c>
      <c r="H734" t="s">
        <v>44</v>
      </c>
      <c r="I734">
        <v>3.7</v>
      </c>
      <c r="J734" t="s">
        <v>53</v>
      </c>
      <c r="K734">
        <v>2025</v>
      </c>
      <c r="L734">
        <v>4096.7120000000004</v>
      </c>
      <c r="M734">
        <v>28</v>
      </c>
      <c r="N734" t="s">
        <v>27</v>
      </c>
      <c r="O734" t="s">
        <v>33</v>
      </c>
    </row>
    <row r="735" spans="1:15" x14ac:dyDescent="0.3">
      <c r="A735" t="s">
        <v>803</v>
      </c>
      <c r="B735" t="s">
        <v>176</v>
      </c>
      <c r="C735" t="s">
        <v>24</v>
      </c>
      <c r="D735">
        <v>17800.740000000002</v>
      </c>
      <c r="E735">
        <v>3</v>
      </c>
      <c r="F735">
        <v>53402.22</v>
      </c>
      <c r="G735" s="1">
        <v>45601</v>
      </c>
      <c r="H735" t="s">
        <v>44</v>
      </c>
      <c r="I735">
        <v>2.9</v>
      </c>
      <c r="J735" t="s">
        <v>37</v>
      </c>
      <c r="K735">
        <v>2024</v>
      </c>
      <c r="L735">
        <v>10680.444000000001</v>
      </c>
      <c r="M735">
        <v>5</v>
      </c>
      <c r="N735" t="s">
        <v>20</v>
      </c>
      <c r="O735" t="s">
        <v>21</v>
      </c>
    </row>
    <row r="736" spans="1:15" x14ac:dyDescent="0.3">
      <c r="A736" t="s">
        <v>804</v>
      </c>
      <c r="B736" t="s">
        <v>70</v>
      </c>
      <c r="C736" t="s">
        <v>17</v>
      </c>
      <c r="D736">
        <v>16174.96</v>
      </c>
      <c r="E736">
        <v>5</v>
      </c>
      <c r="F736">
        <v>80874.8</v>
      </c>
      <c r="G736" s="1">
        <v>45341</v>
      </c>
      <c r="H736" t="s">
        <v>71</v>
      </c>
      <c r="I736">
        <v>4.9000000000000004</v>
      </c>
      <c r="J736" t="s">
        <v>59</v>
      </c>
      <c r="K736">
        <v>2024</v>
      </c>
      <c r="L736">
        <v>16174.960000000001</v>
      </c>
      <c r="M736">
        <v>10</v>
      </c>
      <c r="N736" t="s">
        <v>20</v>
      </c>
      <c r="O736" t="s">
        <v>28</v>
      </c>
    </row>
    <row r="737" spans="1:15" x14ac:dyDescent="0.3">
      <c r="A737" t="s">
        <v>805</v>
      </c>
      <c r="B737" t="s">
        <v>39</v>
      </c>
      <c r="C737" t="s">
        <v>40</v>
      </c>
      <c r="D737">
        <v>2370.61</v>
      </c>
      <c r="E737">
        <v>5</v>
      </c>
      <c r="F737">
        <v>11853.05</v>
      </c>
      <c r="G737" s="1">
        <v>45451</v>
      </c>
      <c r="H737" t="s">
        <v>18</v>
      </c>
      <c r="I737">
        <v>3.1</v>
      </c>
      <c r="J737" t="s">
        <v>67</v>
      </c>
      <c r="K737">
        <v>2024</v>
      </c>
      <c r="L737">
        <v>2370.61</v>
      </c>
      <c r="M737">
        <v>25</v>
      </c>
      <c r="N737" t="s">
        <v>41</v>
      </c>
      <c r="O737" t="s">
        <v>68</v>
      </c>
    </row>
    <row r="738" spans="1:15" x14ac:dyDescent="0.3">
      <c r="A738" t="s">
        <v>806</v>
      </c>
      <c r="B738" t="s">
        <v>94</v>
      </c>
      <c r="C738" t="s">
        <v>31</v>
      </c>
      <c r="D738">
        <v>139.85</v>
      </c>
      <c r="E738">
        <v>3</v>
      </c>
      <c r="F738">
        <v>419.55</v>
      </c>
      <c r="G738" s="1">
        <v>45549</v>
      </c>
      <c r="H738" t="s">
        <v>25</v>
      </c>
      <c r="I738">
        <v>2</v>
      </c>
      <c r="J738" t="s">
        <v>19</v>
      </c>
      <c r="K738">
        <v>2024</v>
      </c>
      <c r="L738">
        <v>83.910000000000011</v>
      </c>
      <c r="M738">
        <v>10</v>
      </c>
      <c r="N738" t="s">
        <v>41</v>
      </c>
      <c r="O738" t="s">
        <v>33</v>
      </c>
    </row>
    <row r="739" spans="1:15" x14ac:dyDescent="0.3">
      <c r="A739" t="s">
        <v>807</v>
      </c>
      <c r="B739" t="s">
        <v>35</v>
      </c>
      <c r="C739" t="s">
        <v>36</v>
      </c>
      <c r="D739">
        <v>2519.1799999999998</v>
      </c>
      <c r="E739">
        <v>1</v>
      </c>
      <c r="F739">
        <v>2519.1799999999998</v>
      </c>
      <c r="G739" s="1">
        <v>45627</v>
      </c>
      <c r="H739" t="s">
        <v>80</v>
      </c>
      <c r="I739">
        <v>2.4</v>
      </c>
      <c r="J739" t="s">
        <v>26</v>
      </c>
      <c r="K739">
        <v>2024</v>
      </c>
      <c r="L739">
        <v>503.83600000000001</v>
      </c>
      <c r="M739">
        <v>30</v>
      </c>
      <c r="N739" t="s">
        <v>20</v>
      </c>
      <c r="O739" t="s">
        <v>28</v>
      </c>
    </row>
    <row r="740" spans="1:15" x14ac:dyDescent="0.3">
      <c r="A740" t="s">
        <v>808</v>
      </c>
      <c r="B740" t="s">
        <v>94</v>
      </c>
      <c r="C740" t="s">
        <v>31</v>
      </c>
      <c r="D740">
        <v>32626.32</v>
      </c>
      <c r="E740">
        <v>4</v>
      </c>
      <c r="F740">
        <v>130505.28</v>
      </c>
      <c r="G740" s="1">
        <v>45586</v>
      </c>
      <c r="H740" t="s">
        <v>25</v>
      </c>
      <c r="I740">
        <v>2.9</v>
      </c>
      <c r="J740" t="s">
        <v>45</v>
      </c>
      <c r="K740">
        <v>2024</v>
      </c>
      <c r="L740">
        <v>26101.056</v>
      </c>
      <c r="M740">
        <v>16</v>
      </c>
      <c r="N740" t="s">
        <v>27</v>
      </c>
      <c r="O740" t="s">
        <v>33</v>
      </c>
    </row>
    <row r="741" spans="1:15" x14ac:dyDescent="0.3">
      <c r="A741" t="s">
        <v>809</v>
      </c>
      <c r="B741" t="s">
        <v>66</v>
      </c>
      <c r="C741" t="s">
        <v>36</v>
      </c>
      <c r="D741">
        <v>14636.55</v>
      </c>
      <c r="E741">
        <v>3</v>
      </c>
      <c r="F741">
        <v>43909.65</v>
      </c>
      <c r="G741" s="1">
        <v>45421</v>
      </c>
      <c r="H741" t="s">
        <v>71</v>
      </c>
      <c r="I741">
        <v>3.6</v>
      </c>
      <c r="J741" t="s">
        <v>32</v>
      </c>
      <c r="K741">
        <v>2024</v>
      </c>
      <c r="L741">
        <v>8781.93</v>
      </c>
      <c r="M741">
        <v>17</v>
      </c>
      <c r="N741" t="s">
        <v>41</v>
      </c>
      <c r="O741" t="s">
        <v>28</v>
      </c>
    </row>
    <row r="742" spans="1:15" x14ac:dyDescent="0.3">
      <c r="A742" t="s">
        <v>810</v>
      </c>
      <c r="B742" t="s">
        <v>30</v>
      </c>
      <c r="C742" t="s">
        <v>31</v>
      </c>
      <c r="D742">
        <v>19549.439999999999</v>
      </c>
      <c r="E742">
        <v>5</v>
      </c>
      <c r="F742">
        <v>97747.199999999997</v>
      </c>
      <c r="G742" s="1">
        <v>45511</v>
      </c>
      <c r="H742" t="s">
        <v>44</v>
      </c>
      <c r="I742">
        <v>1.7</v>
      </c>
      <c r="J742" t="s">
        <v>88</v>
      </c>
      <c r="K742">
        <v>2024</v>
      </c>
      <c r="L742">
        <v>19549.439999999999</v>
      </c>
      <c r="M742">
        <v>17</v>
      </c>
      <c r="N742" t="s">
        <v>41</v>
      </c>
      <c r="O742" t="s">
        <v>28</v>
      </c>
    </row>
    <row r="743" spans="1:15" x14ac:dyDescent="0.3">
      <c r="A743" t="s">
        <v>811</v>
      </c>
      <c r="B743" t="s">
        <v>107</v>
      </c>
      <c r="C743" t="s">
        <v>36</v>
      </c>
      <c r="D743">
        <v>37195.730000000003</v>
      </c>
      <c r="E743">
        <v>2</v>
      </c>
      <c r="F743">
        <v>74391.460000000006</v>
      </c>
      <c r="G743" s="1">
        <v>45624</v>
      </c>
      <c r="H743" t="s">
        <v>25</v>
      </c>
      <c r="I743">
        <v>2.7</v>
      </c>
      <c r="J743" t="s">
        <v>37</v>
      </c>
      <c r="K743">
        <v>2024</v>
      </c>
      <c r="L743">
        <v>14878.292000000001</v>
      </c>
      <c r="M743">
        <v>19</v>
      </c>
      <c r="N743" t="s">
        <v>20</v>
      </c>
      <c r="O743" t="s">
        <v>33</v>
      </c>
    </row>
    <row r="744" spans="1:15" x14ac:dyDescent="0.3">
      <c r="A744" t="s">
        <v>812</v>
      </c>
      <c r="B744" t="s">
        <v>145</v>
      </c>
      <c r="C744" t="s">
        <v>40</v>
      </c>
      <c r="D744">
        <v>34821.93</v>
      </c>
      <c r="E744">
        <v>3</v>
      </c>
      <c r="F744">
        <v>104465.79</v>
      </c>
      <c r="G744" s="1">
        <v>45585</v>
      </c>
      <c r="H744" t="s">
        <v>71</v>
      </c>
      <c r="I744">
        <v>4.4000000000000004</v>
      </c>
      <c r="J744" t="s">
        <v>45</v>
      </c>
      <c r="K744">
        <v>2024</v>
      </c>
      <c r="L744">
        <v>20893.157999999999</v>
      </c>
      <c r="M744">
        <v>25</v>
      </c>
      <c r="N744" t="s">
        <v>27</v>
      </c>
      <c r="O744" t="s">
        <v>68</v>
      </c>
    </row>
    <row r="745" spans="1:15" x14ac:dyDescent="0.3">
      <c r="A745" t="s">
        <v>813</v>
      </c>
      <c r="B745" t="s">
        <v>61</v>
      </c>
      <c r="C745" t="s">
        <v>31</v>
      </c>
      <c r="D745">
        <v>28630.92</v>
      </c>
      <c r="E745">
        <v>4</v>
      </c>
      <c r="F745">
        <v>114523.68</v>
      </c>
      <c r="G745" s="1">
        <v>45675</v>
      </c>
      <c r="H745" t="s">
        <v>71</v>
      </c>
      <c r="I745">
        <v>4.2</v>
      </c>
      <c r="J745" t="s">
        <v>53</v>
      </c>
      <c r="K745">
        <v>2025</v>
      </c>
      <c r="L745">
        <v>22904.736000000001</v>
      </c>
      <c r="M745">
        <v>20</v>
      </c>
      <c r="N745" t="s">
        <v>20</v>
      </c>
      <c r="O745" t="s">
        <v>28</v>
      </c>
    </row>
    <row r="746" spans="1:15" x14ac:dyDescent="0.3">
      <c r="A746" t="s">
        <v>814</v>
      </c>
      <c r="B746" t="s">
        <v>78</v>
      </c>
      <c r="C746" t="s">
        <v>24</v>
      </c>
      <c r="D746">
        <v>25059.360000000001</v>
      </c>
      <c r="E746">
        <v>5</v>
      </c>
      <c r="F746">
        <v>125296.8</v>
      </c>
      <c r="G746" s="1">
        <v>45358</v>
      </c>
      <c r="H746" t="s">
        <v>25</v>
      </c>
      <c r="I746">
        <v>2.4</v>
      </c>
      <c r="J746" t="s">
        <v>56</v>
      </c>
      <c r="K746">
        <v>2024</v>
      </c>
      <c r="L746">
        <v>25059.360000000001</v>
      </c>
      <c r="M746">
        <v>26</v>
      </c>
      <c r="N746" t="s">
        <v>27</v>
      </c>
      <c r="O746" t="s">
        <v>28</v>
      </c>
    </row>
    <row r="747" spans="1:15" x14ac:dyDescent="0.3">
      <c r="A747" t="s">
        <v>815</v>
      </c>
      <c r="B747" t="s">
        <v>145</v>
      </c>
      <c r="C747" t="s">
        <v>40</v>
      </c>
      <c r="D747">
        <v>47795.34</v>
      </c>
      <c r="E747">
        <v>1</v>
      </c>
      <c r="F747">
        <v>47795.34</v>
      </c>
      <c r="G747" s="1">
        <v>45639</v>
      </c>
      <c r="H747" t="s">
        <v>64</v>
      </c>
      <c r="I747">
        <v>2.2999999999999998</v>
      </c>
      <c r="J747" t="s">
        <v>26</v>
      </c>
      <c r="K747">
        <v>2024</v>
      </c>
      <c r="L747">
        <v>9559.0679999999993</v>
      </c>
      <c r="M747">
        <v>25</v>
      </c>
      <c r="N747" t="s">
        <v>27</v>
      </c>
      <c r="O747" t="s">
        <v>28</v>
      </c>
    </row>
    <row r="748" spans="1:15" x14ac:dyDescent="0.3">
      <c r="A748" t="s">
        <v>816</v>
      </c>
      <c r="B748" t="s">
        <v>47</v>
      </c>
      <c r="C748" t="s">
        <v>24</v>
      </c>
      <c r="D748">
        <v>36918.199999999997</v>
      </c>
      <c r="E748">
        <v>4</v>
      </c>
      <c r="F748">
        <v>147672.79999999999</v>
      </c>
      <c r="G748" s="1">
        <v>45350</v>
      </c>
      <c r="H748" t="s">
        <v>44</v>
      </c>
      <c r="I748">
        <v>3.2</v>
      </c>
      <c r="J748" t="s">
        <v>59</v>
      </c>
      <c r="K748">
        <v>2024</v>
      </c>
      <c r="L748">
        <v>29534.559999999998</v>
      </c>
      <c r="M748">
        <v>15</v>
      </c>
      <c r="N748" t="s">
        <v>27</v>
      </c>
      <c r="O748" t="s">
        <v>68</v>
      </c>
    </row>
    <row r="749" spans="1:15" x14ac:dyDescent="0.3">
      <c r="A749" t="s">
        <v>817</v>
      </c>
      <c r="B749" t="s">
        <v>61</v>
      </c>
      <c r="C749" t="s">
        <v>31</v>
      </c>
      <c r="D749">
        <v>3394.38</v>
      </c>
      <c r="E749">
        <v>3</v>
      </c>
      <c r="F749">
        <v>10183.14</v>
      </c>
      <c r="G749" s="1">
        <v>45469</v>
      </c>
      <c r="H749" t="s">
        <v>25</v>
      </c>
      <c r="I749">
        <v>3.5</v>
      </c>
      <c r="J749" t="s">
        <v>67</v>
      </c>
      <c r="K749">
        <v>2024</v>
      </c>
      <c r="L749">
        <v>2036.6279999999999</v>
      </c>
      <c r="M749">
        <v>9</v>
      </c>
      <c r="N749" t="s">
        <v>41</v>
      </c>
      <c r="O749" t="s">
        <v>68</v>
      </c>
    </row>
    <row r="750" spans="1:15" x14ac:dyDescent="0.3">
      <c r="A750" t="s">
        <v>818</v>
      </c>
      <c r="B750" t="s">
        <v>66</v>
      </c>
      <c r="C750" t="s">
        <v>36</v>
      </c>
      <c r="D750">
        <v>11142.38</v>
      </c>
      <c r="E750">
        <v>5</v>
      </c>
      <c r="F750">
        <v>55711.9</v>
      </c>
      <c r="G750" s="1">
        <v>45511</v>
      </c>
      <c r="H750" t="s">
        <v>71</v>
      </c>
      <c r="I750">
        <v>3.3</v>
      </c>
      <c r="J750" t="s">
        <v>88</v>
      </c>
      <c r="K750">
        <v>2024</v>
      </c>
      <c r="L750">
        <v>11142.380000000001</v>
      </c>
      <c r="M750">
        <v>8</v>
      </c>
      <c r="N750" t="s">
        <v>20</v>
      </c>
      <c r="O750" t="s">
        <v>21</v>
      </c>
    </row>
    <row r="751" spans="1:15" x14ac:dyDescent="0.3">
      <c r="A751" t="s">
        <v>819</v>
      </c>
      <c r="B751" t="s">
        <v>39</v>
      </c>
      <c r="C751" t="s">
        <v>40</v>
      </c>
      <c r="D751">
        <v>18602.849999999999</v>
      </c>
      <c r="E751">
        <v>5</v>
      </c>
      <c r="F751">
        <v>93014.25</v>
      </c>
      <c r="G751" s="1">
        <v>45590</v>
      </c>
      <c r="H751" t="s">
        <v>25</v>
      </c>
      <c r="I751">
        <v>4.3</v>
      </c>
      <c r="J751" t="s">
        <v>45</v>
      </c>
      <c r="K751">
        <v>2024</v>
      </c>
      <c r="L751">
        <v>18602.850000000002</v>
      </c>
      <c r="M751">
        <v>7</v>
      </c>
      <c r="N751" t="s">
        <v>20</v>
      </c>
      <c r="O751" t="s">
        <v>33</v>
      </c>
    </row>
    <row r="752" spans="1:15" x14ac:dyDescent="0.3">
      <c r="A752" t="s">
        <v>820</v>
      </c>
      <c r="B752" t="s">
        <v>52</v>
      </c>
      <c r="C752" t="s">
        <v>24</v>
      </c>
      <c r="D752">
        <v>13557.11</v>
      </c>
      <c r="E752">
        <v>5</v>
      </c>
      <c r="F752">
        <v>67785.55</v>
      </c>
      <c r="G752" s="1">
        <v>45437</v>
      </c>
      <c r="H752" t="s">
        <v>80</v>
      </c>
      <c r="I752">
        <v>1.3</v>
      </c>
      <c r="J752" t="s">
        <v>32</v>
      </c>
      <c r="K752">
        <v>2024</v>
      </c>
      <c r="L752">
        <v>13557.11</v>
      </c>
      <c r="M752">
        <v>23</v>
      </c>
      <c r="N752" t="s">
        <v>27</v>
      </c>
      <c r="O752" t="s">
        <v>68</v>
      </c>
    </row>
    <row r="753" spans="1:15" x14ac:dyDescent="0.3">
      <c r="A753" t="s">
        <v>821</v>
      </c>
      <c r="B753" t="s">
        <v>43</v>
      </c>
      <c r="C753" t="s">
        <v>40</v>
      </c>
      <c r="D753">
        <v>13559.18</v>
      </c>
      <c r="E753">
        <v>1</v>
      </c>
      <c r="F753">
        <v>13559.18</v>
      </c>
      <c r="G753" s="1">
        <v>45515</v>
      </c>
      <c r="H753" t="s">
        <v>18</v>
      </c>
      <c r="I753">
        <v>1</v>
      </c>
      <c r="J753" t="s">
        <v>88</v>
      </c>
      <c r="K753">
        <v>2024</v>
      </c>
      <c r="L753">
        <v>2711.8360000000002</v>
      </c>
      <c r="M753">
        <v>24</v>
      </c>
      <c r="N753" t="s">
        <v>41</v>
      </c>
      <c r="O753" t="s">
        <v>33</v>
      </c>
    </row>
    <row r="754" spans="1:15" x14ac:dyDescent="0.3">
      <c r="A754" t="s">
        <v>822</v>
      </c>
      <c r="B754" t="s">
        <v>55</v>
      </c>
      <c r="C754" t="s">
        <v>36</v>
      </c>
      <c r="D754">
        <v>41926.03</v>
      </c>
      <c r="E754">
        <v>2</v>
      </c>
      <c r="F754">
        <v>83852.06</v>
      </c>
      <c r="G754" s="1">
        <v>45689</v>
      </c>
      <c r="H754" t="s">
        <v>64</v>
      </c>
      <c r="I754">
        <v>3.6</v>
      </c>
      <c r="J754" t="s">
        <v>59</v>
      </c>
      <c r="K754">
        <v>2025</v>
      </c>
      <c r="L754">
        <v>16770.412</v>
      </c>
      <c r="M754">
        <v>29</v>
      </c>
      <c r="N754" t="s">
        <v>41</v>
      </c>
      <c r="O754" t="s">
        <v>21</v>
      </c>
    </row>
    <row r="755" spans="1:15" x14ac:dyDescent="0.3">
      <c r="A755" t="s">
        <v>823</v>
      </c>
      <c r="B755" t="s">
        <v>61</v>
      </c>
      <c r="C755" t="s">
        <v>31</v>
      </c>
      <c r="D755">
        <v>12930.46</v>
      </c>
      <c r="E755">
        <v>4</v>
      </c>
      <c r="F755">
        <v>51721.84</v>
      </c>
      <c r="G755" s="1">
        <v>45656</v>
      </c>
      <c r="H755" t="s">
        <v>80</v>
      </c>
      <c r="I755">
        <v>1.9</v>
      </c>
      <c r="J755" t="s">
        <v>26</v>
      </c>
      <c r="K755">
        <v>2024</v>
      </c>
      <c r="L755">
        <v>10344.368</v>
      </c>
      <c r="M755">
        <v>22</v>
      </c>
      <c r="N755" t="s">
        <v>20</v>
      </c>
      <c r="O755" t="s">
        <v>33</v>
      </c>
    </row>
    <row r="756" spans="1:15" x14ac:dyDescent="0.3">
      <c r="A756" t="s">
        <v>824</v>
      </c>
      <c r="B756" t="s">
        <v>96</v>
      </c>
      <c r="C756" t="s">
        <v>36</v>
      </c>
      <c r="D756">
        <v>37355.589999999997</v>
      </c>
      <c r="E756">
        <v>3</v>
      </c>
      <c r="F756">
        <v>112066.77</v>
      </c>
      <c r="G756" s="1">
        <v>45481</v>
      </c>
      <c r="H756" t="s">
        <v>44</v>
      </c>
      <c r="I756">
        <v>1.7</v>
      </c>
      <c r="J756" t="s">
        <v>48</v>
      </c>
      <c r="K756">
        <v>2024</v>
      </c>
      <c r="L756">
        <v>22413.354000000003</v>
      </c>
      <c r="M756">
        <v>19</v>
      </c>
      <c r="N756" t="s">
        <v>41</v>
      </c>
      <c r="O756" t="s">
        <v>68</v>
      </c>
    </row>
    <row r="757" spans="1:15" x14ac:dyDescent="0.3">
      <c r="A757" t="s">
        <v>825</v>
      </c>
      <c r="B757" t="s">
        <v>61</v>
      </c>
      <c r="C757" t="s">
        <v>31</v>
      </c>
      <c r="D757">
        <v>18385.32</v>
      </c>
      <c r="E757">
        <v>5</v>
      </c>
      <c r="F757">
        <v>91926.6</v>
      </c>
      <c r="G757" s="1">
        <v>45427</v>
      </c>
      <c r="H757" t="s">
        <v>25</v>
      </c>
      <c r="I757">
        <v>3.8</v>
      </c>
      <c r="J757" t="s">
        <v>32</v>
      </c>
      <c r="K757">
        <v>2024</v>
      </c>
      <c r="L757">
        <v>18385.320000000003</v>
      </c>
      <c r="M757">
        <v>13</v>
      </c>
      <c r="N757" t="s">
        <v>41</v>
      </c>
      <c r="O757" t="s">
        <v>33</v>
      </c>
    </row>
    <row r="758" spans="1:15" x14ac:dyDescent="0.3">
      <c r="A758" t="s">
        <v>826</v>
      </c>
      <c r="B758" t="s">
        <v>74</v>
      </c>
      <c r="C758" t="s">
        <v>17</v>
      </c>
      <c r="D758">
        <v>5299.58</v>
      </c>
      <c r="E758">
        <v>4</v>
      </c>
      <c r="F758">
        <v>21198.32</v>
      </c>
      <c r="G758" s="1">
        <v>45531</v>
      </c>
      <c r="H758" t="s">
        <v>18</v>
      </c>
      <c r="I758">
        <v>2.8</v>
      </c>
      <c r="J758" t="s">
        <v>88</v>
      </c>
      <c r="K758">
        <v>2024</v>
      </c>
      <c r="L758">
        <v>4239.6639999999998</v>
      </c>
      <c r="M758">
        <v>21</v>
      </c>
      <c r="N758" t="s">
        <v>27</v>
      </c>
      <c r="O758" t="s">
        <v>68</v>
      </c>
    </row>
    <row r="759" spans="1:15" x14ac:dyDescent="0.3">
      <c r="A759" t="s">
        <v>827</v>
      </c>
      <c r="B759" t="s">
        <v>16</v>
      </c>
      <c r="C759" t="s">
        <v>17</v>
      </c>
      <c r="D759">
        <v>7649.41</v>
      </c>
      <c r="E759">
        <v>4</v>
      </c>
      <c r="F759">
        <v>30597.64</v>
      </c>
      <c r="G759" s="1">
        <v>45398</v>
      </c>
      <c r="H759" t="s">
        <v>25</v>
      </c>
      <c r="I759">
        <v>1.6</v>
      </c>
      <c r="J759" t="s">
        <v>62</v>
      </c>
      <c r="K759">
        <v>2024</v>
      </c>
      <c r="L759">
        <v>6119.5280000000002</v>
      </c>
      <c r="M759">
        <v>18</v>
      </c>
      <c r="N759" t="s">
        <v>41</v>
      </c>
      <c r="O759" t="s">
        <v>33</v>
      </c>
    </row>
    <row r="760" spans="1:15" x14ac:dyDescent="0.3">
      <c r="A760" t="s">
        <v>828</v>
      </c>
      <c r="B760" t="s">
        <v>43</v>
      </c>
      <c r="C760" t="s">
        <v>40</v>
      </c>
      <c r="D760">
        <v>36950.980000000003</v>
      </c>
      <c r="E760">
        <v>4</v>
      </c>
      <c r="F760">
        <v>147803.92000000001</v>
      </c>
      <c r="G760" s="1">
        <v>45572</v>
      </c>
      <c r="H760" t="s">
        <v>18</v>
      </c>
      <c r="I760">
        <v>3</v>
      </c>
      <c r="J760" t="s">
        <v>45</v>
      </c>
      <c r="K760">
        <v>2024</v>
      </c>
      <c r="L760">
        <v>29560.784000000003</v>
      </c>
      <c r="M760">
        <v>19</v>
      </c>
      <c r="N760" t="s">
        <v>27</v>
      </c>
      <c r="O760" t="s">
        <v>68</v>
      </c>
    </row>
    <row r="761" spans="1:15" x14ac:dyDescent="0.3">
      <c r="A761" t="s">
        <v>829</v>
      </c>
      <c r="B761" t="s">
        <v>70</v>
      </c>
      <c r="C761" t="s">
        <v>17</v>
      </c>
      <c r="D761">
        <v>2136.9899999999998</v>
      </c>
      <c r="E761">
        <v>1</v>
      </c>
      <c r="F761">
        <v>2136.9899999999998</v>
      </c>
      <c r="G761" s="1">
        <v>45542</v>
      </c>
      <c r="H761" t="s">
        <v>80</v>
      </c>
      <c r="I761">
        <v>2.2000000000000002</v>
      </c>
      <c r="J761" t="s">
        <v>19</v>
      </c>
      <c r="K761">
        <v>2024</v>
      </c>
      <c r="L761">
        <v>427.39799999999997</v>
      </c>
      <c r="M761">
        <v>5</v>
      </c>
      <c r="N761" t="s">
        <v>20</v>
      </c>
      <c r="O761" t="s">
        <v>68</v>
      </c>
    </row>
    <row r="762" spans="1:15" x14ac:dyDescent="0.3">
      <c r="A762" t="s">
        <v>830</v>
      </c>
      <c r="B762" t="s">
        <v>145</v>
      </c>
      <c r="C762" t="s">
        <v>40</v>
      </c>
      <c r="D762">
        <v>19693.93</v>
      </c>
      <c r="E762">
        <v>5</v>
      </c>
      <c r="F762">
        <v>98469.65</v>
      </c>
      <c r="G762" s="1">
        <v>45395</v>
      </c>
      <c r="H762" t="s">
        <v>44</v>
      </c>
      <c r="I762">
        <v>1.9</v>
      </c>
      <c r="J762" t="s">
        <v>62</v>
      </c>
      <c r="K762">
        <v>2024</v>
      </c>
      <c r="L762">
        <v>19693.93</v>
      </c>
      <c r="M762">
        <v>25</v>
      </c>
      <c r="N762" t="s">
        <v>41</v>
      </c>
      <c r="O762" t="s">
        <v>33</v>
      </c>
    </row>
    <row r="763" spans="1:15" x14ac:dyDescent="0.3">
      <c r="A763" t="s">
        <v>831</v>
      </c>
      <c r="B763" t="s">
        <v>145</v>
      </c>
      <c r="C763" t="s">
        <v>40</v>
      </c>
      <c r="D763">
        <v>16179.61</v>
      </c>
      <c r="E763">
        <v>2</v>
      </c>
      <c r="F763">
        <v>32359.22</v>
      </c>
      <c r="G763" s="1">
        <v>45607</v>
      </c>
      <c r="H763" t="s">
        <v>18</v>
      </c>
      <c r="I763">
        <v>2.7</v>
      </c>
      <c r="J763" t="s">
        <v>37</v>
      </c>
      <c r="K763">
        <v>2024</v>
      </c>
      <c r="L763">
        <v>6471.844000000001</v>
      </c>
      <c r="M763">
        <v>26</v>
      </c>
      <c r="N763" t="s">
        <v>20</v>
      </c>
      <c r="O763" t="s">
        <v>21</v>
      </c>
    </row>
    <row r="764" spans="1:15" x14ac:dyDescent="0.3">
      <c r="A764" t="s">
        <v>832</v>
      </c>
      <c r="B764" t="s">
        <v>16</v>
      </c>
      <c r="C764" t="s">
        <v>17</v>
      </c>
      <c r="D764">
        <v>45910.23</v>
      </c>
      <c r="E764">
        <v>4</v>
      </c>
      <c r="F764">
        <v>183640.92</v>
      </c>
      <c r="G764" s="1">
        <v>45652</v>
      </c>
      <c r="H764" t="s">
        <v>80</v>
      </c>
      <c r="I764">
        <v>1.6</v>
      </c>
      <c r="J764" t="s">
        <v>26</v>
      </c>
      <c r="K764">
        <v>2024</v>
      </c>
      <c r="L764">
        <v>36728.184000000001</v>
      </c>
      <c r="M764">
        <v>26</v>
      </c>
      <c r="N764" t="s">
        <v>20</v>
      </c>
      <c r="O764" t="s">
        <v>28</v>
      </c>
    </row>
    <row r="765" spans="1:15" x14ac:dyDescent="0.3">
      <c r="A765" t="s">
        <v>833</v>
      </c>
      <c r="B765" t="s">
        <v>61</v>
      </c>
      <c r="C765" t="s">
        <v>31</v>
      </c>
      <c r="D765">
        <v>6685.9</v>
      </c>
      <c r="E765">
        <v>2</v>
      </c>
      <c r="F765">
        <v>13371.8</v>
      </c>
      <c r="G765" s="1">
        <v>45342</v>
      </c>
      <c r="H765" t="s">
        <v>18</v>
      </c>
      <c r="I765">
        <v>2</v>
      </c>
      <c r="J765" t="s">
        <v>59</v>
      </c>
      <c r="K765">
        <v>2024</v>
      </c>
      <c r="L765">
        <v>2674.36</v>
      </c>
      <c r="M765">
        <v>7</v>
      </c>
      <c r="N765" t="s">
        <v>41</v>
      </c>
      <c r="O765" t="s">
        <v>21</v>
      </c>
    </row>
    <row r="766" spans="1:15" x14ac:dyDescent="0.3">
      <c r="A766" t="s">
        <v>834</v>
      </c>
      <c r="B766" t="s">
        <v>125</v>
      </c>
      <c r="C766" t="s">
        <v>17</v>
      </c>
      <c r="D766">
        <v>2258.89</v>
      </c>
      <c r="E766">
        <v>3</v>
      </c>
      <c r="F766">
        <v>6776.67</v>
      </c>
      <c r="G766" s="1">
        <v>45547</v>
      </c>
      <c r="H766" t="s">
        <v>44</v>
      </c>
      <c r="I766">
        <v>2</v>
      </c>
      <c r="J766" t="s">
        <v>19</v>
      </c>
      <c r="K766">
        <v>2024</v>
      </c>
      <c r="L766">
        <v>1355.3340000000001</v>
      </c>
      <c r="M766">
        <v>20</v>
      </c>
      <c r="N766" t="s">
        <v>41</v>
      </c>
      <c r="O766" t="s">
        <v>33</v>
      </c>
    </row>
    <row r="767" spans="1:15" x14ac:dyDescent="0.3">
      <c r="A767" t="s">
        <v>835</v>
      </c>
      <c r="B767" t="s">
        <v>16</v>
      </c>
      <c r="C767" t="s">
        <v>17</v>
      </c>
      <c r="D767">
        <v>25282.52</v>
      </c>
      <c r="E767">
        <v>1</v>
      </c>
      <c r="F767">
        <v>25282.52</v>
      </c>
      <c r="G767" s="1">
        <v>45541</v>
      </c>
      <c r="H767" t="s">
        <v>71</v>
      </c>
      <c r="I767">
        <v>4.5</v>
      </c>
      <c r="J767" t="s">
        <v>19</v>
      </c>
      <c r="K767">
        <v>2024</v>
      </c>
      <c r="L767">
        <v>5056.5040000000008</v>
      </c>
      <c r="M767">
        <v>27</v>
      </c>
      <c r="N767" t="s">
        <v>20</v>
      </c>
      <c r="O767" t="s">
        <v>21</v>
      </c>
    </row>
    <row r="768" spans="1:15" x14ac:dyDescent="0.3">
      <c r="A768" t="s">
        <v>836</v>
      </c>
      <c r="B768" t="s">
        <v>100</v>
      </c>
      <c r="C768" t="s">
        <v>31</v>
      </c>
      <c r="D768">
        <v>11461.72</v>
      </c>
      <c r="E768">
        <v>5</v>
      </c>
      <c r="F768">
        <v>57308.6</v>
      </c>
      <c r="G768" s="1">
        <v>45602</v>
      </c>
      <c r="H768" t="s">
        <v>18</v>
      </c>
      <c r="I768">
        <v>3</v>
      </c>
      <c r="J768" t="s">
        <v>37</v>
      </c>
      <c r="K768">
        <v>2024</v>
      </c>
      <c r="L768">
        <v>11461.720000000001</v>
      </c>
      <c r="M768">
        <v>29</v>
      </c>
      <c r="N768" t="s">
        <v>41</v>
      </c>
      <c r="O768" t="s">
        <v>68</v>
      </c>
    </row>
    <row r="769" spans="1:15" x14ac:dyDescent="0.3">
      <c r="A769" t="s">
        <v>837</v>
      </c>
      <c r="B769" t="s">
        <v>100</v>
      </c>
      <c r="C769" t="s">
        <v>31</v>
      </c>
      <c r="D769">
        <v>17915.599999999999</v>
      </c>
      <c r="E769">
        <v>4</v>
      </c>
      <c r="F769">
        <v>71662.399999999994</v>
      </c>
      <c r="G769" s="1">
        <v>45532</v>
      </c>
      <c r="H769" t="s">
        <v>25</v>
      </c>
      <c r="I769">
        <v>1.8</v>
      </c>
      <c r="J769" t="s">
        <v>88</v>
      </c>
      <c r="K769">
        <v>2024</v>
      </c>
      <c r="L769">
        <v>14332.48</v>
      </c>
      <c r="M769">
        <v>15</v>
      </c>
      <c r="N769" t="s">
        <v>27</v>
      </c>
      <c r="O769" t="s">
        <v>28</v>
      </c>
    </row>
    <row r="770" spans="1:15" x14ac:dyDescent="0.3">
      <c r="A770" t="s">
        <v>838</v>
      </c>
      <c r="B770" t="s">
        <v>61</v>
      </c>
      <c r="C770" t="s">
        <v>31</v>
      </c>
      <c r="D770">
        <v>22703.03</v>
      </c>
      <c r="E770">
        <v>2</v>
      </c>
      <c r="F770">
        <v>45406.06</v>
      </c>
      <c r="G770" s="1">
        <v>45418</v>
      </c>
      <c r="H770" t="s">
        <v>80</v>
      </c>
      <c r="I770">
        <v>5</v>
      </c>
      <c r="J770" t="s">
        <v>32</v>
      </c>
      <c r="K770">
        <v>2024</v>
      </c>
      <c r="L770">
        <v>9081.2119999999995</v>
      </c>
      <c r="M770">
        <v>16</v>
      </c>
      <c r="N770" t="s">
        <v>27</v>
      </c>
      <c r="O770" t="s">
        <v>33</v>
      </c>
    </row>
    <row r="771" spans="1:15" x14ac:dyDescent="0.3">
      <c r="A771" t="s">
        <v>839</v>
      </c>
      <c r="B771" t="s">
        <v>107</v>
      </c>
      <c r="C771" t="s">
        <v>36</v>
      </c>
      <c r="D771">
        <v>42210.82</v>
      </c>
      <c r="E771">
        <v>2</v>
      </c>
      <c r="F771">
        <v>84421.64</v>
      </c>
      <c r="G771" s="1">
        <v>45375</v>
      </c>
      <c r="H771" t="s">
        <v>44</v>
      </c>
      <c r="I771">
        <v>2.8</v>
      </c>
      <c r="J771" t="s">
        <v>56</v>
      </c>
      <c r="K771">
        <v>2024</v>
      </c>
      <c r="L771">
        <v>16884.328000000001</v>
      </c>
      <c r="M771">
        <v>14</v>
      </c>
      <c r="N771" t="s">
        <v>41</v>
      </c>
      <c r="O771" t="s">
        <v>33</v>
      </c>
    </row>
    <row r="772" spans="1:15" x14ac:dyDescent="0.3">
      <c r="A772" t="s">
        <v>840</v>
      </c>
      <c r="B772" t="s">
        <v>145</v>
      </c>
      <c r="C772" t="s">
        <v>40</v>
      </c>
      <c r="D772">
        <v>7355.5</v>
      </c>
      <c r="E772">
        <v>3</v>
      </c>
      <c r="F772">
        <v>22066.5</v>
      </c>
      <c r="G772" s="1">
        <v>45684</v>
      </c>
      <c r="H772" t="s">
        <v>80</v>
      </c>
      <c r="I772">
        <v>2</v>
      </c>
      <c r="J772" t="s">
        <v>53</v>
      </c>
      <c r="K772">
        <v>2025</v>
      </c>
      <c r="L772">
        <v>4413.3</v>
      </c>
      <c r="M772">
        <v>20</v>
      </c>
      <c r="N772" t="s">
        <v>20</v>
      </c>
      <c r="O772" t="s">
        <v>33</v>
      </c>
    </row>
    <row r="773" spans="1:15" x14ac:dyDescent="0.3">
      <c r="A773" t="s">
        <v>841</v>
      </c>
      <c r="B773" t="s">
        <v>50</v>
      </c>
      <c r="C773" t="s">
        <v>40</v>
      </c>
      <c r="D773">
        <v>13879</v>
      </c>
      <c r="E773">
        <v>1</v>
      </c>
      <c r="F773">
        <v>13879</v>
      </c>
      <c r="G773" s="1">
        <v>45455</v>
      </c>
      <c r="H773" t="s">
        <v>64</v>
      </c>
      <c r="I773">
        <v>2.5</v>
      </c>
      <c r="J773" t="s">
        <v>67</v>
      </c>
      <c r="K773">
        <v>2024</v>
      </c>
      <c r="L773">
        <v>2775.8</v>
      </c>
      <c r="M773">
        <v>12</v>
      </c>
      <c r="N773" t="s">
        <v>41</v>
      </c>
      <c r="O773" t="s">
        <v>28</v>
      </c>
    </row>
    <row r="774" spans="1:15" x14ac:dyDescent="0.3">
      <c r="A774" t="s">
        <v>842</v>
      </c>
      <c r="B774" t="s">
        <v>145</v>
      </c>
      <c r="C774" t="s">
        <v>40</v>
      </c>
      <c r="D774">
        <v>42604.95</v>
      </c>
      <c r="E774">
        <v>5</v>
      </c>
      <c r="F774">
        <v>213024.75</v>
      </c>
      <c r="G774" s="1">
        <v>45484</v>
      </c>
      <c r="H774" t="s">
        <v>80</v>
      </c>
      <c r="I774">
        <v>3</v>
      </c>
      <c r="J774" t="s">
        <v>48</v>
      </c>
      <c r="K774">
        <v>2024</v>
      </c>
      <c r="L774">
        <v>42604.950000000004</v>
      </c>
      <c r="M774">
        <v>10</v>
      </c>
      <c r="N774" t="s">
        <v>41</v>
      </c>
      <c r="O774" t="s">
        <v>68</v>
      </c>
    </row>
    <row r="775" spans="1:15" x14ac:dyDescent="0.3">
      <c r="A775" t="s">
        <v>843</v>
      </c>
      <c r="B775" t="s">
        <v>35</v>
      </c>
      <c r="C775" t="s">
        <v>36</v>
      </c>
      <c r="D775">
        <v>31265.89</v>
      </c>
      <c r="E775">
        <v>1</v>
      </c>
      <c r="F775">
        <v>31265.89</v>
      </c>
      <c r="G775" s="1">
        <v>45463</v>
      </c>
      <c r="H775" t="s">
        <v>25</v>
      </c>
      <c r="I775">
        <v>4.9000000000000004</v>
      </c>
      <c r="J775" t="s">
        <v>67</v>
      </c>
      <c r="K775">
        <v>2024</v>
      </c>
      <c r="L775">
        <v>6253.1779999999999</v>
      </c>
      <c r="M775">
        <v>16</v>
      </c>
      <c r="N775" t="s">
        <v>20</v>
      </c>
      <c r="O775" t="s">
        <v>33</v>
      </c>
    </row>
    <row r="776" spans="1:15" x14ac:dyDescent="0.3">
      <c r="A776" t="s">
        <v>844</v>
      </c>
      <c r="B776" t="s">
        <v>176</v>
      </c>
      <c r="C776" t="s">
        <v>24</v>
      </c>
      <c r="D776">
        <v>20020.830000000002</v>
      </c>
      <c r="E776">
        <v>5</v>
      </c>
      <c r="F776">
        <v>100104.15</v>
      </c>
      <c r="G776" s="1">
        <v>45536</v>
      </c>
      <c r="H776" t="s">
        <v>71</v>
      </c>
      <c r="I776">
        <v>1.8</v>
      </c>
      <c r="J776" t="s">
        <v>19</v>
      </c>
      <c r="K776">
        <v>2024</v>
      </c>
      <c r="L776">
        <v>20020.830000000002</v>
      </c>
      <c r="M776">
        <v>28</v>
      </c>
      <c r="N776" t="s">
        <v>20</v>
      </c>
      <c r="O776" t="s">
        <v>21</v>
      </c>
    </row>
    <row r="777" spans="1:15" x14ac:dyDescent="0.3">
      <c r="A777" t="s">
        <v>845</v>
      </c>
      <c r="B777" t="s">
        <v>74</v>
      </c>
      <c r="C777" t="s">
        <v>17</v>
      </c>
      <c r="D777">
        <v>24680.19</v>
      </c>
      <c r="E777">
        <v>3</v>
      </c>
      <c r="F777">
        <v>74040.570000000007</v>
      </c>
      <c r="G777" s="1">
        <v>45433</v>
      </c>
      <c r="H777" t="s">
        <v>64</v>
      </c>
      <c r="I777">
        <v>3.5</v>
      </c>
      <c r="J777" t="s">
        <v>32</v>
      </c>
      <c r="K777">
        <v>2024</v>
      </c>
      <c r="L777">
        <v>14808.114000000001</v>
      </c>
      <c r="M777">
        <v>25</v>
      </c>
      <c r="N777" t="s">
        <v>27</v>
      </c>
      <c r="O777" t="s">
        <v>33</v>
      </c>
    </row>
    <row r="778" spans="1:15" x14ac:dyDescent="0.3">
      <c r="A778" t="s">
        <v>846</v>
      </c>
      <c r="B778" t="s">
        <v>61</v>
      </c>
      <c r="C778" t="s">
        <v>31</v>
      </c>
      <c r="D778">
        <v>22254.17</v>
      </c>
      <c r="E778">
        <v>4</v>
      </c>
      <c r="F778">
        <v>89016.68</v>
      </c>
      <c r="G778" s="1">
        <v>45396</v>
      </c>
      <c r="H778" t="s">
        <v>18</v>
      </c>
      <c r="I778">
        <v>3.8</v>
      </c>
      <c r="J778" t="s">
        <v>62</v>
      </c>
      <c r="K778">
        <v>2024</v>
      </c>
      <c r="L778">
        <v>17803.335999999999</v>
      </c>
      <c r="M778">
        <v>12</v>
      </c>
      <c r="N778" t="s">
        <v>20</v>
      </c>
      <c r="O778" t="s">
        <v>33</v>
      </c>
    </row>
    <row r="779" spans="1:15" x14ac:dyDescent="0.3">
      <c r="A779" t="s">
        <v>847</v>
      </c>
      <c r="B779" t="s">
        <v>118</v>
      </c>
      <c r="C779" t="s">
        <v>17</v>
      </c>
      <c r="D779">
        <v>4226.03</v>
      </c>
      <c r="E779">
        <v>1</v>
      </c>
      <c r="F779">
        <v>4226.03</v>
      </c>
      <c r="G779" s="1">
        <v>45542</v>
      </c>
      <c r="H779" t="s">
        <v>18</v>
      </c>
      <c r="I779">
        <v>2.8</v>
      </c>
      <c r="J779" t="s">
        <v>19</v>
      </c>
      <c r="K779">
        <v>2024</v>
      </c>
      <c r="L779">
        <v>845.20600000000002</v>
      </c>
      <c r="M779">
        <v>30</v>
      </c>
      <c r="N779" t="s">
        <v>27</v>
      </c>
      <c r="O779" t="s">
        <v>33</v>
      </c>
    </row>
    <row r="780" spans="1:15" x14ac:dyDescent="0.3">
      <c r="A780" t="s">
        <v>848</v>
      </c>
      <c r="B780" t="s">
        <v>84</v>
      </c>
      <c r="C780" t="s">
        <v>40</v>
      </c>
      <c r="D780">
        <v>46315.8</v>
      </c>
      <c r="E780">
        <v>3</v>
      </c>
      <c r="F780">
        <v>138947.4</v>
      </c>
      <c r="G780" s="1">
        <v>45436</v>
      </c>
      <c r="H780" t="s">
        <v>44</v>
      </c>
      <c r="I780">
        <v>2.4</v>
      </c>
      <c r="J780" t="s">
        <v>32</v>
      </c>
      <c r="K780">
        <v>2024</v>
      </c>
      <c r="L780">
        <v>27789.48</v>
      </c>
      <c r="M780">
        <v>8</v>
      </c>
      <c r="N780" t="s">
        <v>20</v>
      </c>
      <c r="O780" t="s">
        <v>33</v>
      </c>
    </row>
    <row r="781" spans="1:15" x14ac:dyDescent="0.3">
      <c r="A781" t="s">
        <v>849</v>
      </c>
      <c r="B781" t="s">
        <v>35</v>
      </c>
      <c r="C781" t="s">
        <v>36</v>
      </c>
      <c r="D781">
        <v>1320.32</v>
      </c>
      <c r="E781">
        <v>3</v>
      </c>
      <c r="F781">
        <v>3960.96</v>
      </c>
      <c r="G781" s="1">
        <v>45665</v>
      </c>
      <c r="H781" t="s">
        <v>44</v>
      </c>
      <c r="I781">
        <v>2</v>
      </c>
      <c r="J781" t="s">
        <v>53</v>
      </c>
      <c r="K781">
        <v>2025</v>
      </c>
      <c r="L781">
        <v>792.19200000000001</v>
      </c>
      <c r="M781">
        <v>30</v>
      </c>
      <c r="N781" t="s">
        <v>41</v>
      </c>
      <c r="O781" t="s">
        <v>68</v>
      </c>
    </row>
    <row r="782" spans="1:15" x14ac:dyDescent="0.3">
      <c r="A782" t="s">
        <v>850</v>
      </c>
      <c r="B782" t="s">
        <v>74</v>
      </c>
      <c r="C782" t="s">
        <v>17</v>
      </c>
      <c r="D782">
        <v>9772.82</v>
      </c>
      <c r="E782">
        <v>4</v>
      </c>
      <c r="F782">
        <v>39091.279999999999</v>
      </c>
      <c r="G782" s="1">
        <v>45600</v>
      </c>
      <c r="H782" t="s">
        <v>25</v>
      </c>
      <c r="I782">
        <v>3.1</v>
      </c>
      <c r="J782" t="s">
        <v>37</v>
      </c>
      <c r="K782">
        <v>2024</v>
      </c>
      <c r="L782">
        <v>7818.2560000000003</v>
      </c>
      <c r="M782">
        <v>12</v>
      </c>
      <c r="N782" t="s">
        <v>27</v>
      </c>
      <c r="O782" t="s">
        <v>21</v>
      </c>
    </row>
    <row r="783" spans="1:15" x14ac:dyDescent="0.3">
      <c r="A783" t="s">
        <v>851</v>
      </c>
      <c r="B783" t="s">
        <v>70</v>
      </c>
      <c r="C783" t="s">
        <v>17</v>
      </c>
      <c r="D783">
        <v>47666.18</v>
      </c>
      <c r="E783">
        <v>1</v>
      </c>
      <c r="F783">
        <v>47666.18</v>
      </c>
      <c r="G783" s="1">
        <v>45334</v>
      </c>
      <c r="H783" t="s">
        <v>25</v>
      </c>
      <c r="I783">
        <v>2.2999999999999998</v>
      </c>
      <c r="J783" t="s">
        <v>59</v>
      </c>
      <c r="K783">
        <v>2024</v>
      </c>
      <c r="L783">
        <v>9533.2360000000008</v>
      </c>
      <c r="M783">
        <v>30</v>
      </c>
      <c r="N783" t="s">
        <v>27</v>
      </c>
      <c r="O783" t="s">
        <v>68</v>
      </c>
    </row>
    <row r="784" spans="1:15" x14ac:dyDescent="0.3">
      <c r="A784" t="s">
        <v>852</v>
      </c>
      <c r="B784" t="s">
        <v>23</v>
      </c>
      <c r="C784" t="s">
        <v>24</v>
      </c>
      <c r="D784">
        <v>7673.62</v>
      </c>
      <c r="E784">
        <v>2</v>
      </c>
      <c r="F784">
        <v>15347.24</v>
      </c>
      <c r="G784" s="1">
        <v>45456</v>
      </c>
      <c r="H784" t="s">
        <v>64</v>
      </c>
      <c r="I784">
        <v>4.5999999999999996</v>
      </c>
      <c r="J784" t="s">
        <v>67</v>
      </c>
      <c r="K784">
        <v>2024</v>
      </c>
      <c r="L784">
        <v>3069.4480000000003</v>
      </c>
      <c r="M784">
        <v>22</v>
      </c>
      <c r="N784" t="s">
        <v>27</v>
      </c>
      <c r="O784" t="s">
        <v>21</v>
      </c>
    </row>
    <row r="785" spans="1:15" x14ac:dyDescent="0.3">
      <c r="A785" t="s">
        <v>853</v>
      </c>
      <c r="B785" t="s">
        <v>145</v>
      </c>
      <c r="C785" t="s">
        <v>40</v>
      </c>
      <c r="D785">
        <v>41671.06</v>
      </c>
      <c r="E785">
        <v>2</v>
      </c>
      <c r="F785">
        <v>83342.12</v>
      </c>
      <c r="G785" s="1">
        <v>45689</v>
      </c>
      <c r="H785" t="s">
        <v>25</v>
      </c>
      <c r="I785">
        <v>2.2999999999999998</v>
      </c>
      <c r="J785" t="s">
        <v>59</v>
      </c>
      <c r="K785">
        <v>2025</v>
      </c>
      <c r="L785">
        <v>16668.423999999999</v>
      </c>
      <c r="M785">
        <v>9</v>
      </c>
      <c r="N785" t="s">
        <v>41</v>
      </c>
      <c r="O785" t="s">
        <v>33</v>
      </c>
    </row>
    <row r="786" spans="1:15" x14ac:dyDescent="0.3">
      <c r="A786" t="s">
        <v>854</v>
      </c>
      <c r="B786" t="s">
        <v>50</v>
      </c>
      <c r="C786" t="s">
        <v>40</v>
      </c>
      <c r="D786">
        <v>15793.43</v>
      </c>
      <c r="E786">
        <v>5</v>
      </c>
      <c r="F786">
        <v>78967.149999999994</v>
      </c>
      <c r="G786" s="1">
        <v>45557</v>
      </c>
      <c r="H786" t="s">
        <v>80</v>
      </c>
      <c r="I786">
        <v>1.3</v>
      </c>
      <c r="J786" t="s">
        <v>19</v>
      </c>
      <c r="K786">
        <v>2024</v>
      </c>
      <c r="L786">
        <v>15793.43</v>
      </c>
      <c r="M786">
        <v>13</v>
      </c>
      <c r="N786" t="s">
        <v>41</v>
      </c>
      <c r="O786" t="s">
        <v>28</v>
      </c>
    </row>
    <row r="787" spans="1:15" x14ac:dyDescent="0.3">
      <c r="A787" t="s">
        <v>855</v>
      </c>
      <c r="B787" t="s">
        <v>61</v>
      </c>
      <c r="C787" t="s">
        <v>31</v>
      </c>
      <c r="D787">
        <v>6767.81</v>
      </c>
      <c r="E787">
        <v>1</v>
      </c>
      <c r="F787">
        <v>6767.81</v>
      </c>
      <c r="G787" s="1">
        <v>45653</v>
      </c>
      <c r="H787" t="s">
        <v>64</v>
      </c>
      <c r="I787">
        <v>2.1</v>
      </c>
      <c r="J787" t="s">
        <v>26</v>
      </c>
      <c r="K787">
        <v>2024</v>
      </c>
      <c r="L787">
        <v>1353.5620000000001</v>
      </c>
      <c r="M787">
        <v>8</v>
      </c>
      <c r="N787" t="s">
        <v>41</v>
      </c>
      <c r="O787" t="s">
        <v>68</v>
      </c>
    </row>
    <row r="788" spans="1:15" x14ac:dyDescent="0.3">
      <c r="A788" t="s">
        <v>856</v>
      </c>
      <c r="B788" t="s">
        <v>61</v>
      </c>
      <c r="C788" t="s">
        <v>31</v>
      </c>
      <c r="D788">
        <v>1011.22</v>
      </c>
      <c r="E788">
        <v>5</v>
      </c>
      <c r="F788">
        <v>5056.1000000000004</v>
      </c>
      <c r="G788" s="1">
        <v>45601</v>
      </c>
      <c r="H788" t="s">
        <v>80</v>
      </c>
      <c r="I788">
        <v>4.7</v>
      </c>
      <c r="J788" t="s">
        <v>37</v>
      </c>
      <c r="K788">
        <v>2024</v>
      </c>
      <c r="L788">
        <v>1011.2200000000001</v>
      </c>
      <c r="M788">
        <v>26</v>
      </c>
      <c r="N788" t="s">
        <v>41</v>
      </c>
      <c r="O788" t="s">
        <v>28</v>
      </c>
    </row>
    <row r="789" spans="1:15" x14ac:dyDescent="0.3">
      <c r="A789" t="s">
        <v>857</v>
      </c>
      <c r="B789" t="s">
        <v>107</v>
      </c>
      <c r="C789" t="s">
        <v>36</v>
      </c>
      <c r="D789">
        <v>13371.25</v>
      </c>
      <c r="E789">
        <v>4</v>
      </c>
      <c r="F789">
        <v>53485</v>
      </c>
      <c r="G789" s="1">
        <v>45478</v>
      </c>
      <c r="H789" t="s">
        <v>71</v>
      </c>
      <c r="I789">
        <v>1.6</v>
      </c>
      <c r="J789" t="s">
        <v>48</v>
      </c>
      <c r="K789">
        <v>2024</v>
      </c>
      <c r="L789">
        <v>10697</v>
      </c>
      <c r="M789">
        <v>21</v>
      </c>
      <c r="N789" t="s">
        <v>41</v>
      </c>
      <c r="O789" t="s">
        <v>68</v>
      </c>
    </row>
    <row r="790" spans="1:15" x14ac:dyDescent="0.3">
      <c r="A790" t="s">
        <v>858</v>
      </c>
      <c r="B790" t="s">
        <v>23</v>
      </c>
      <c r="C790" t="s">
        <v>24</v>
      </c>
      <c r="D790">
        <v>28972.11</v>
      </c>
      <c r="E790">
        <v>2</v>
      </c>
      <c r="F790">
        <v>57944.22</v>
      </c>
      <c r="G790" s="1">
        <v>45505</v>
      </c>
      <c r="H790" t="s">
        <v>71</v>
      </c>
      <c r="I790">
        <v>2.1</v>
      </c>
      <c r="J790" t="s">
        <v>88</v>
      </c>
      <c r="K790">
        <v>2024</v>
      </c>
      <c r="L790">
        <v>11588.844000000001</v>
      </c>
      <c r="M790">
        <v>13</v>
      </c>
      <c r="N790" t="s">
        <v>27</v>
      </c>
      <c r="O790" t="s">
        <v>33</v>
      </c>
    </row>
    <row r="791" spans="1:15" x14ac:dyDescent="0.3">
      <c r="A791" t="s">
        <v>859</v>
      </c>
      <c r="B791" t="s">
        <v>58</v>
      </c>
      <c r="C791" t="s">
        <v>31</v>
      </c>
      <c r="D791">
        <v>17212.34</v>
      </c>
      <c r="E791">
        <v>1</v>
      </c>
      <c r="F791">
        <v>17212.34</v>
      </c>
      <c r="G791" s="1">
        <v>45694</v>
      </c>
      <c r="H791" t="s">
        <v>64</v>
      </c>
      <c r="I791">
        <v>3.5</v>
      </c>
      <c r="J791" t="s">
        <v>59</v>
      </c>
      <c r="K791">
        <v>2025</v>
      </c>
      <c r="L791">
        <v>3442.4680000000003</v>
      </c>
      <c r="M791">
        <v>5</v>
      </c>
      <c r="N791" t="s">
        <v>41</v>
      </c>
      <c r="O791" t="s">
        <v>68</v>
      </c>
    </row>
    <row r="792" spans="1:15" x14ac:dyDescent="0.3">
      <c r="A792" t="s">
        <v>860</v>
      </c>
      <c r="B792" t="s">
        <v>16</v>
      </c>
      <c r="C792" t="s">
        <v>17</v>
      </c>
      <c r="D792">
        <v>48742</v>
      </c>
      <c r="E792">
        <v>1</v>
      </c>
      <c r="F792">
        <v>48742</v>
      </c>
      <c r="G792" s="1">
        <v>45551</v>
      </c>
      <c r="H792" t="s">
        <v>25</v>
      </c>
      <c r="I792">
        <v>1.1000000000000001</v>
      </c>
      <c r="J792" t="s">
        <v>19</v>
      </c>
      <c r="K792">
        <v>2024</v>
      </c>
      <c r="L792">
        <v>9748.4</v>
      </c>
      <c r="M792">
        <v>25</v>
      </c>
      <c r="N792" t="s">
        <v>27</v>
      </c>
      <c r="O792" t="s">
        <v>33</v>
      </c>
    </row>
    <row r="793" spans="1:15" x14ac:dyDescent="0.3">
      <c r="A793" t="s">
        <v>861</v>
      </c>
      <c r="B793" t="s">
        <v>66</v>
      </c>
      <c r="C793" t="s">
        <v>36</v>
      </c>
      <c r="D793">
        <v>19117.36</v>
      </c>
      <c r="E793">
        <v>3</v>
      </c>
      <c r="F793">
        <v>57352.08</v>
      </c>
      <c r="G793" s="1">
        <v>45696</v>
      </c>
      <c r="H793" t="s">
        <v>64</v>
      </c>
      <c r="I793">
        <v>1.6</v>
      </c>
      <c r="J793" t="s">
        <v>59</v>
      </c>
      <c r="K793">
        <v>2025</v>
      </c>
      <c r="L793">
        <v>11470.416000000001</v>
      </c>
      <c r="M793">
        <v>24</v>
      </c>
      <c r="N793" t="s">
        <v>41</v>
      </c>
      <c r="O793" t="s">
        <v>68</v>
      </c>
    </row>
    <row r="794" spans="1:15" x14ac:dyDescent="0.3">
      <c r="A794" t="s">
        <v>862</v>
      </c>
      <c r="B794" t="s">
        <v>55</v>
      </c>
      <c r="C794" t="s">
        <v>36</v>
      </c>
      <c r="D794">
        <v>847.39</v>
      </c>
      <c r="E794">
        <v>5</v>
      </c>
      <c r="F794">
        <v>4236.95</v>
      </c>
      <c r="G794" s="1">
        <v>45641</v>
      </c>
      <c r="H794" t="s">
        <v>80</v>
      </c>
      <c r="I794">
        <v>4</v>
      </c>
      <c r="J794" t="s">
        <v>26</v>
      </c>
      <c r="K794">
        <v>2024</v>
      </c>
      <c r="L794">
        <v>847.39</v>
      </c>
      <c r="M794">
        <v>17</v>
      </c>
      <c r="N794" t="s">
        <v>20</v>
      </c>
      <c r="O794" t="s">
        <v>33</v>
      </c>
    </row>
    <row r="795" spans="1:15" x14ac:dyDescent="0.3">
      <c r="A795" t="s">
        <v>863</v>
      </c>
      <c r="B795" t="s">
        <v>43</v>
      </c>
      <c r="C795" t="s">
        <v>40</v>
      </c>
      <c r="D795">
        <v>14796.32</v>
      </c>
      <c r="E795">
        <v>2</v>
      </c>
      <c r="F795">
        <v>29592.639999999999</v>
      </c>
      <c r="G795" s="1">
        <v>45625</v>
      </c>
      <c r="H795" t="s">
        <v>44</v>
      </c>
      <c r="I795">
        <v>1.2</v>
      </c>
      <c r="J795" t="s">
        <v>37</v>
      </c>
      <c r="K795">
        <v>2024</v>
      </c>
      <c r="L795">
        <v>5918.5280000000002</v>
      </c>
      <c r="M795">
        <v>20</v>
      </c>
      <c r="N795" t="s">
        <v>27</v>
      </c>
      <c r="O795" t="s">
        <v>33</v>
      </c>
    </row>
    <row r="796" spans="1:15" x14ac:dyDescent="0.3">
      <c r="A796" t="s">
        <v>864</v>
      </c>
      <c r="B796" t="s">
        <v>30</v>
      </c>
      <c r="C796" t="s">
        <v>31</v>
      </c>
      <c r="D796">
        <v>5238.33</v>
      </c>
      <c r="E796">
        <v>3</v>
      </c>
      <c r="F796">
        <v>15714.99</v>
      </c>
      <c r="G796" s="1">
        <v>45589</v>
      </c>
      <c r="H796" t="s">
        <v>44</v>
      </c>
      <c r="I796">
        <v>1.6</v>
      </c>
      <c r="J796" t="s">
        <v>45</v>
      </c>
      <c r="K796">
        <v>2024</v>
      </c>
      <c r="L796">
        <v>3142.998</v>
      </c>
      <c r="M796">
        <v>17</v>
      </c>
      <c r="N796" t="s">
        <v>20</v>
      </c>
      <c r="O796" t="s">
        <v>21</v>
      </c>
    </row>
    <row r="797" spans="1:15" x14ac:dyDescent="0.3">
      <c r="A797" t="s">
        <v>865</v>
      </c>
      <c r="B797" t="s">
        <v>43</v>
      </c>
      <c r="C797" t="s">
        <v>40</v>
      </c>
      <c r="D797">
        <v>31430.94</v>
      </c>
      <c r="E797">
        <v>5</v>
      </c>
      <c r="F797">
        <v>157154.70000000001</v>
      </c>
      <c r="G797" s="1">
        <v>45598</v>
      </c>
      <c r="H797" t="s">
        <v>18</v>
      </c>
      <c r="I797">
        <v>4.5999999999999996</v>
      </c>
      <c r="J797" t="s">
        <v>37</v>
      </c>
      <c r="K797">
        <v>2024</v>
      </c>
      <c r="L797">
        <v>31430.940000000002</v>
      </c>
      <c r="M797">
        <v>18</v>
      </c>
      <c r="N797" t="s">
        <v>27</v>
      </c>
      <c r="O797" t="s">
        <v>33</v>
      </c>
    </row>
    <row r="798" spans="1:15" x14ac:dyDescent="0.3">
      <c r="A798" t="s">
        <v>866</v>
      </c>
      <c r="B798" t="s">
        <v>23</v>
      </c>
      <c r="C798" t="s">
        <v>24</v>
      </c>
      <c r="D798">
        <v>27532.48</v>
      </c>
      <c r="E798">
        <v>4</v>
      </c>
      <c r="F798">
        <v>110129.92</v>
      </c>
      <c r="G798" s="1">
        <v>45391</v>
      </c>
      <c r="H798" t="s">
        <v>25</v>
      </c>
      <c r="I798">
        <v>2.2000000000000002</v>
      </c>
      <c r="J798" t="s">
        <v>62</v>
      </c>
      <c r="K798">
        <v>2024</v>
      </c>
      <c r="L798">
        <v>22025.984</v>
      </c>
      <c r="M798">
        <v>7</v>
      </c>
      <c r="N798" t="s">
        <v>20</v>
      </c>
      <c r="O798" t="s">
        <v>21</v>
      </c>
    </row>
    <row r="799" spans="1:15" x14ac:dyDescent="0.3">
      <c r="A799" t="s">
        <v>867</v>
      </c>
      <c r="B799" t="s">
        <v>23</v>
      </c>
      <c r="C799" t="s">
        <v>24</v>
      </c>
      <c r="D799">
        <v>41121.949999999997</v>
      </c>
      <c r="E799">
        <v>3</v>
      </c>
      <c r="F799">
        <v>123365.85</v>
      </c>
      <c r="G799" s="1">
        <v>45342</v>
      </c>
      <c r="H799" t="s">
        <v>64</v>
      </c>
      <c r="I799">
        <v>1.4</v>
      </c>
      <c r="J799" t="s">
        <v>59</v>
      </c>
      <c r="K799">
        <v>2024</v>
      </c>
      <c r="L799">
        <v>24673.170000000002</v>
      </c>
      <c r="M799">
        <v>10</v>
      </c>
      <c r="N799" t="s">
        <v>41</v>
      </c>
      <c r="O799" t="s">
        <v>33</v>
      </c>
    </row>
    <row r="800" spans="1:15" x14ac:dyDescent="0.3">
      <c r="A800" t="s">
        <v>868</v>
      </c>
      <c r="B800" t="s">
        <v>96</v>
      </c>
      <c r="C800" t="s">
        <v>36</v>
      </c>
      <c r="D800">
        <v>12944.89</v>
      </c>
      <c r="E800">
        <v>2</v>
      </c>
      <c r="F800">
        <v>25889.78</v>
      </c>
      <c r="G800" s="1">
        <v>45392</v>
      </c>
      <c r="H800" t="s">
        <v>64</v>
      </c>
      <c r="I800">
        <v>1.9</v>
      </c>
      <c r="J800" t="s">
        <v>62</v>
      </c>
      <c r="K800">
        <v>2024</v>
      </c>
      <c r="L800">
        <v>5177.9560000000001</v>
      </c>
      <c r="M800">
        <v>22</v>
      </c>
      <c r="N800" t="s">
        <v>41</v>
      </c>
      <c r="O800" t="s">
        <v>28</v>
      </c>
    </row>
    <row r="801" spans="1:15" x14ac:dyDescent="0.3">
      <c r="A801" t="s">
        <v>869</v>
      </c>
      <c r="B801" t="s">
        <v>78</v>
      </c>
      <c r="C801" t="s">
        <v>24</v>
      </c>
      <c r="D801">
        <v>4729.04</v>
      </c>
      <c r="E801">
        <v>5</v>
      </c>
      <c r="F801">
        <v>23645.200000000001</v>
      </c>
      <c r="G801" s="1">
        <v>45544</v>
      </c>
      <c r="H801" t="s">
        <v>64</v>
      </c>
      <c r="I801">
        <v>4</v>
      </c>
      <c r="J801" t="s">
        <v>19</v>
      </c>
      <c r="K801">
        <v>2024</v>
      </c>
      <c r="L801">
        <v>4729.04</v>
      </c>
      <c r="M801">
        <v>23</v>
      </c>
      <c r="N801" t="s">
        <v>41</v>
      </c>
      <c r="O801" t="s">
        <v>33</v>
      </c>
    </row>
    <row r="802" spans="1:15" x14ac:dyDescent="0.3">
      <c r="A802" t="s">
        <v>870</v>
      </c>
      <c r="B802" t="s">
        <v>61</v>
      </c>
      <c r="C802" t="s">
        <v>31</v>
      </c>
      <c r="D802">
        <v>31512.97</v>
      </c>
      <c r="E802">
        <v>2</v>
      </c>
      <c r="F802">
        <v>63025.94</v>
      </c>
      <c r="G802" s="1">
        <v>45644</v>
      </c>
      <c r="H802" t="s">
        <v>64</v>
      </c>
      <c r="I802">
        <v>2.1</v>
      </c>
      <c r="J802" t="s">
        <v>26</v>
      </c>
      <c r="K802">
        <v>2024</v>
      </c>
      <c r="L802">
        <v>12605.188000000002</v>
      </c>
      <c r="M802">
        <v>9</v>
      </c>
      <c r="N802" t="s">
        <v>27</v>
      </c>
      <c r="O802" t="s">
        <v>28</v>
      </c>
    </row>
    <row r="803" spans="1:15" x14ac:dyDescent="0.3">
      <c r="A803" t="s">
        <v>871</v>
      </c>
      <c r="B803" t="s">
        <v>35</v>
      </c>
      <c r="C803" t="s">
        <v>36</v>
      </c>
      <c r="D803">
        <v>46891.65</v>
      </c>
      <c r="E803">
        <v>3</v>
      </c>
      <c r="F803">
        <v>140674.95000000001</v>
      </c>
      <c r="G803" s="1">
        <v>45604</v>
      </c>
      <c r="H803" t="s">
        <v>80</v>
      </c>
      <c r="I803">
        <v>2.9</v>
      </c>
      <c r="J803" t="s">
        <v>37</v>
      </c>
      <c r="K803">
        <v>2024</v>
      </c>
      <c r="L803">
        <v>28134.990000000005</v>
      </c>
      <c r="M803">
        <v>19</v>
      </c>
      <c r="N803" t="s">
        <v>20</v>
      </c>
      <c r="O803" t="s">
        <v>28</v>
      </c>
    </row>
    <row r="804" spans="1:15" x14ac:dyDescent="0.3">
      <c r="A804" t="s">
        <v>872</v>
      </c>
      <c r="B804" t="s">
        <v>176</v>
      </c>
      <c r="C804" t="s">
        <v>24</v>
      </c>
      <c r="D804">
        <v>34137.79</v>
      </c>
      <c r="E804">
        <v>2</v>
      </c>
      <c r="F804">
        <v>68275.58</v>
      </c>
      <c r="G804" s="1">
        <v>45558</v>
      </c>
      <c r="H804" t="s">
        <v>80</v>
      </c>
      <c r="I804">
        <v>1.8</v>
      </c>
      <c r="J804" t="s">
        <v>19</v>
      </c>
      <c r="K804">
        <v>2024</v>
      </c>
      <c r="L804">
        <v>13655.116000000002</v>
      </c>
      <c r="M804">
        <v>29</v>
      </c>
      <c r="N804" t="s">
        <v>41</v>
      </c>
      <c r="O804" t="s">
        <v>33</v>
      </c>
    </row>
    <row r="805" spans="1:15" x14ac:dyDescent="0.3">
      <c r="A805" t="s">
        <v>873</v>
      </c>
      <c r="B805" t="s">
        <v>50</v>
      </c>
      <c r="C805" t="s">
        <v>40</v>
      </c>
      <c r="D805">
        <v>41000.910000000003</v>
      </c>
      <c r="E805">
        <v>4</v>
      </c>
      <c r="F805">
        <v>164003.64000000001</v>
      </c>
      <c r="G805" s="1">
        <v>45546</v>
      </c>
      <c r="H805" t="s">
        <v>25</v>
      </c>
      <c r="I805">
        <v>4.5</v>
      </c>
      <c r="J805" t="s">
        <v>19</v>
      </c>
      <c r="K805">
        <v>2024</v>
      </c>
      <c r="L805">
        <v>32800.728000000003</v>
      </c>
      <c r="M805">
        <v>6</v>
      </c>
      <c r="N805" t="s">
        <v>20</v>
      </c>
      <c r="O805" t="s">
        <v>28</v>
      </c>
    </row>
    <row r="806" spans="1:15" x14ac:dyDescent="0.3">
      <c r="A806" t="s">
        <v>874</v>
      </c>
      <c r="B806" t="s">
        <v>96</v>
      </c>
      <c r="C806" t="s">
        <v>36</v>
      </c>
      <c r="D806">
        <v>7672.34</v>
      </c>
      <c r="E806">
        <v>4</v>
      </c>
      <c r="F806">
        <v>30689.360000000001</v>
      </c>
      <c r="G806" s="1">
        <v>45392</v>
      </c>
      <c r="H806" t="s">
        <v>25</v>
      </c>
      <c r="I806">
        <v>1.1000000000000001</v>
      </c>
      <c r="J806" t="s">
        <v>62</v>
      </c>
      <c r="K806">
        <v>2024</v>
      </c>
      <c r="L806">
        <v>6137.8720000000003</v>
      </c>
      <c r="M806">
        <v>14</v>
      </c>
      <c r="N806" t="s">
        <v>20</v>
      </c>
      <c r="O806" t="s">
        <v>21</v>
      </c>
    </row>
    <row r="807" spans="1:15" x14ac:dyDescent="0.3">
      <c r="A807" t="s">
        <v>875</v>
      </c>
      <c r="B807" t="s">
        <v>16</v>
      </c>
      <c r="C807" t="s">
        <v>17</v>
      </c>
      <c r="D807">
        <v>25186.79</v>
      </c>
      <c r="E807">
        <v>3</v>
      </c>
      <c r="F807">
        <v>75560.37</v>
      </c>
      <c r="G807" s="1">
        <v>45344</v>
      </c>
      <c r="H807" t="s">
        <v>64</v>
      </c>
      <c r="I807">
        <v>3.8</v>
      </c>
      <c r="J807" t="s">
        <v>59</v>
      </c>
      <c r="K807">
        <v>2024</v>
      </c>
      <c r="L807">
        <v>15112.074000000001</v>
      </c>
      <c r="M807">
        <v>28</v>
      </c>
      <c r="N807" t="s">
        <v>41</v>
      </c>
      <c r="O807" t="s">
        <v>68</v>
      </c>
    </row>
    <row r="808" spans="1:15" x14ac:dyDescent="0.3">
      <c r="A808" t="s">
        <v>876</v>
      </c>
      <c r="B808" t="s">
        <v>100</v>
      </c>
      <c r="C808" t="s">
        <v>31</v>
      </c>
      <c r="D808">
        <v>41285.25</v>
      </c>
      <c r="E808">
        <v>1</v>
      </c>
      <c r="F808">
        <v>41285.25</v>
      </c>
      <c r="G808" s="1">
        <v>45631</v>
      </c>
      <c r="H808" t="s">
        <v>64</v>
      </c>
      <c r="I808">
        <v>1.8</v>
      </c>
      <c r="J808" t="s">
        <v>26</v>
      </c>
      <c r="K808">
        <v>2024</v>
      </c>
      <c r="L808">
        <v>8257.0500000000011</v>
      </c>
      <c r="M808">
        <v>22</v>
      </c>
      <c r="N808" t="s">
        <v>41</v>
      </c>
      <c r="O808" t="s">
        <v>33</v>
      </c>
    </row>
    <row r="809" spans="1:15" x14ac:dyDescent="0.3">
      <c r="A809" t="s">
        <v>877</v>
      </c>
      <c r="B809" t="s">
        <v>100</v>
      </c>
      <c r="C809" t="s">
        <v>31</v>
      </c>
      <c r="D809">
        <v>30435.75</v>
      </c>
      <c r="E809">
        <v>2</v>
      </c>
      <c r="F809">
        <v>60871.5</v>
      </c>
      <c r="G809" s="1">
        <v>45391</v>
      </c>
      <c r="H809" t="s">
        <v>71</v>
      </c>
      <c r="I809">
        <v>3.1</v>
      </c>
      <c r="J809" t="s">
        <v>62</v>
      </c>
      <c r="K809">
        <v>2024</v>
      </c>
      <c r="L809">
        <v>12174.300000000001</v>
      </c>
      <c r="M809">
        <v>17</v>
      </c>
      <c r="N809" t="s">
        <v>20</v>
      </c>
      <c r="O809" t="s">
        <v>28</v>
      </c>
    </row>
    <row r="810" spans="1:15" x14ac:dyDescent="0.3">
      <c r="A810" t="s">
        <v>878</v>
      </c>
      <c r="B810" t="s">
        <v>96</v>
      </c>
      <c r="C810" t="s">
        <v>36</v>
      </c>
      <c r="D810">
        <v>45786.559999999998</v>
      </c>
      <c r="E810">
        <v>5</v>
      </c>
      <c r="F810">
        <v>228932.8</v>
      </c>
      <c r="G810" s="1">
        <v>45648</v>
      </c>
      <c r="H810" t="s">
        <v>44</v>
      </c>
      <c r="I810">
        <v>1.4</v>
      </c>
      <c r="J810" t="s">
        <v>26</v>
      </c>
      <c r="K810">
        <v>2024</v>
      </c>
      <c r="L810">
        <v>45786.559999999998</v>
      </c>
      <c r="M810">
        <v>9</v>
      </c>
      <c r="N810" t="s">
        <v>41</v>
      </c>
      <c r="O810" t="s">
        <v>33</v>
      </c>
    </row>
    <row r="811" spans="1:15" x14ac:dyDescent="0.3">
      <c r="A811" t="s">
        <v>879</v>
      </c>
      <c r="B811" t="s">
        <v>118</v>
      </c>
      <c r="C811" t="s">
        <v>17</v>
      </c>
      <c r="D811">
        <v>26700.19</v>
      </c>
      <c r="E811">
        <v>3</v>
      </c>
      <c r="F811">
        <v>80100.570000000007</v>
      </c>
      <c r="G811" s="1">
        <v>45377</v>
      </c>
      <c r="H811" t="s">
        <v>64</v>
      </c>
      <c r="I811">
        <v>1.5</v>
      </c>
      <c r="J811" t="s">
        <v>56</v>
      </c>
      <c r="K811">
        <v>2024</v>
      </c>
      <c r="L811">
        <v>16020.114000000001</v>
      </c>
      <c r="M811">
        <v>27</v>
      </c>
      <c r="N811" t="s">
        <v>41</v>
      </c>
      <c r="O811" t="s">
        <v>21</v>
      </c>
    </row>
    <row r="812" spans="1:15" x14ac:dyDescent="0.3">
      <c r="A812" t="s">
        <v>880</v>
      </c>
      <c r="B812" t="s">
        <v>47</v>
      </c>
      <c r="C812" t="s">
        <v>24</v>
      </c>
      <c r="D812">
        <v>27367.02</v>
      </c>
      <c r="E812">
        <v>3</v>
      </c>
      <c r="F812">
        <v>82101.06</v>
      </c>
      <c r="G812" s="1">
        <v>45476</v>
      </c>
      <c r="H812" t="s">
        <v>44</v>
      </c>
      <c r="I812">
        <v>1.4</v>
      </c>
      <c r="J812" t="s">
        <v>48</v>
      </c>
      <c r="K812">
        <v>2024</v>
      </c>
      <c r="L812">
        <v>16420.212</v>
      </c>
      <c r="M812">
        <v>28</v>
      </c>
      <c r="N812" t="s">
        <v>41</v>
      </c>
      <c r="O812" t="s">
        <v>33</v>
      </c>
    </row>
    <row r="813" spans="1:15" x14ac:dyDescent="0.3">
      <c r="A813" t="s">
        <v>881</v>
      </c>
      <c r="B813" t="s">
        <v>55</v>
      </c>
      <c r="C813" t="s">
        <v>36</v>
      </c>
      <c r="D813">
        <v>17213.3</v>
      </c>
      <c r="E813">
        <v>3</v>
      </c>
      <c r="F813">
        <v>51639.9</v>
      </c>
      <c r="G813" s="1">
        <v>45403</v>
      </c>
      <c r="H813" t="s">
        <v>80</v>
      </c>
      <c r="I813">
        <v>1.7</v>
      </c>
      <c r="J813" t="s">
        <v>62</v>
      </c>
      <c r="K813">
        <v>2024</v>
      </c>
      <c r="L813">
        <v>10327.980000000001</v>
      </c>
      <c r="M813">
        <v>5</v>
      </c>
      <c r="N813" t="s">
        <v>27</v>
      </c>
      <c r="O813" t="s">
        <v>33</v>
      </c>
    </row>
    <row r="814" spans="1:15" x14ac:dyDescent="0.3">
      <c r="A814" t="s">
        <v>882</v>
      </c>
      <c r="B814" t="s">
        <v>43</v>
      </c>
      <c r="C814" t="s">
        <v>40</v>
      </c>
      <c r="D814">
        <v>4084.62</v>
      </c>
      <c r="E814">
        <v>5</v>
      </c>
      <c r="F814">
        <v>20423.099999999999</v>
      </c>
      <c r="G814" s="1">
        <v>45348</v>
      </c>
      <c r="H814" t="s">
        <v>25</v>
      </c>
      <c r="I814">
        <v>4.3</v>
      </c>
      <c r="J814" t="s">
        <v>59</v>
      </c>
      <c r="K814">
        <v>2024</v>
      </c>
      <c r="L814">
        <v>4084.62</v>
      </c>
      <c r="M814">
        <v>26</v>
      </c>
      <c r="N814" t="s">
        <v>20</v>
      </c>
      <c r="O814" t="s">
        <v>28</v>
      </c>
    </row>
    <row r="815" spans="1:15" x14ac:dyDescent="0.3">
      <c r="A815" t="s">
        <v>883</v>
      </c>
      <c r="B815" t="s">
        <v>50</v>
      </c>
      <c r="C815" t="s">
        <v>40</v>
      </c>
      <c r="D815">
        <v>9213.5499999999993</v>
      </c>
      <c r="E815">
        <v>4</v>
      </c>
      <c r="F815">
        <v>36854.199999999997</v>
      </c>
      <c r="G815" s="1">
        <v>45490</v>
      </c>
      <c r="H815" t="s">
        <v>64</v>
      </c>
      <c r="I815">
        <v>2.5</v>
      </c>
      <c r="J815" t="s">
        <v>48</v>
      </c>
      <c r="K815">
        <v>2024</v>
      </c>
      <c r="L815">
        <v>7370.84</v>
      </c>
      <c r="M815">
        <v>5</v>
      </c>
      <c r="N815" t="s">
        <v>20</v>
      </c>
      <c r="O815" t="s">
        <v>21</v>
      </c>
    </row>
    <row r="816" spans="1:15" x14ac:dyDescent="0.3">
      <c r="A816" t="s">
        <v>884</v>
      </c>
      <c r="B816" t="s">
        <v>78</v>
      </c>
      <c r="C816" t="s">
        <v>24</v>
      </c>
      <c r="D816">
        <v>6114.55</v>
      </c>
      <c r="E816">
        <v>4</v>
      </c>
      <c r="F816">
        <v>24458.2</v>
      </c>
      <c r="G816" s="1">
        <v>45531</v>
      </c>
      <c r="H816" t="s">
        <v>18</v>
      </c>
      <c r="I816">
        <v>3.7</v>
      </c>
      <c r="J816" t="s">
        <v>88</v>
      </c>
      <c r="K816">
        <v>2024</v>
      </c>
      <c r="L816">
        <v>4891.6400000000003</v>
      </c>
      <c r="M816">
        <v>22</v>
      </c>
      <c r="N816" t="s">
        <v>27</v>
      </c>
      <c r="O816" t="s">
        <v>68</v>
      </c>
    </row>
    <row r="817" spans="1:15" x14ac:dyDescent="0.3">
      <c r="A817" t="s">
        <v>885</v>
      </c>
      <c r="B817" t="s">
        <v>70</v>
      </c>
      <c r="C817" t="s">
        <v>17</v>
      </c>
      <c r="D817">
        <v>21670.52</v>
      </c>
      <c r="E817">
        <v>4</v>
      </c>
      <c r="F817">
        <v>86682.08</v>
      </c>
      <c r="G817" s="1">
        <v>45391</v>
      </c>
      <c r="H817" t="s">
        <v>64</v>
      </c>
      <c r="I817">
        <v>4.5999999999999996</v>
      </c>
      <c r="J817" t="s">
        <v>62</v>
      </c>
      <c r="K817">
        <v>2024</v>
      </c>
      <c r="L817">
        <v>17336.416000000001</v>
      </c>
      <c r="M817">
        <v>19</v>
      </c>
      <c r="N817" t="s">
        <v>20</v>
      </c>
      <c r="O817" t="s">
        <v>68</v>
      </c>
    </row>
    <row r="818" spans="1:15" x14ac:dyDescent="0.3">
      <c r="A818" t="s">
        <v>886</v>
      </c>
      <c r="B818" t="s">
        <v>30</v>
      </c>
      <c r="C818" t="s">
        <v>31</v>
      </c>
      <c r="D818">
        <v>37528.53</v>
      </c>
      <c r="E818">
        <v>4</v>
      </c>
      <c r="F818">
        <v>150114.12</v>
      </c>
      <c r="G818" s="1">
        <v>45678</v>
      </c>
      <c r="H818" t="s">
        <v>25</v>
      </c>
      <c r="I818">
        <v>1.6</v>
      </c>
      <c r="J818" t="s">
        <v>53</v>
      </c>
      <c r="K818">
        <v>2025</v>
      </c>
      <c r="L818">
        <v>30022.824000000001</v>
      </c>
      <c r="M818">
        <v>21</v>
      </c>
      <c r="N818" t="s">
        <v>41</v>
      </c>
      <c r="O818" t="s">
        <v>28</v>
      </c>
    </row>
    <row r="819" spans="1:15" x14ac:dyDescent="0.3">
      <c r="A819" t="s">
        <v>887</v>
      </c>
      <c r="B819" t="s">
        <v>66</v>
      </c>
      <c r="C819" t="s">
        <v>36</v>
      </c>
      <c r="D819">
        <v>46526.93</v>
      </c>
      <c r="E819">
        <v>5</v>
      </c>
      <c r="F819">
        <v>232634.65</v>
      </c>
      <c r="G819" s="1">
        <v>45646</v>
      </c>
      <c r="H819" t="s">
        <v>80</v>
      </c>
      <c r="I819">
        <v>2.2000000000000002</v>
      </c>
      <c r="J819" t="s">
        <v>26</v>
      </c>
      <c r="K819">
        <v>2024</v>
      </c>
      <c r="L819">
        <v>46526.93</v>
      </c>
      <c r="M819">
        <v>15</v>
      </c>
      <c r="N819" t="s">
        <v>20</v>
      </c>
      <c r="O819" t="s">
        <v>33</v>
      </c>
    </row>
    <row r="820" spans="1:15" x14ac:dyDescent="0.3">
      <c r="A820" t="s">
        <v>888</v>
      </c>
      <c r="B820" t="s">
        <v>125</v>
      </c>
      <c r="C820" t="s">
        <v>17</v>
      </c>
      <c r="D820">
        <v>4042.56</v>
      </c>
      <c r="E820">
        <v>2</v>
      </c>
      <c r="F820">
        <v>8085.12</v>
      </c>
      <c r="G820" s="1">
        <v>45365</v>
      </c>
      <c r="H820" t="s">
        <v>18</v>
      </c>
      <c r="I820">
        <v>3.7</v>
      </c>
      <c r="J820" t="s">
        <v>56</v>
      </c>
      <c r="K820">
        <v>2024</v>
      </c>
      <c r="L820">
        <v>1617.0240000000001</v>
      </c>
      <c r="M820">
        <v>25</v>
      </c>
      <c r="N820" t="s">
        <v>41</v>
      </c>
      <c r="O820" t="s">
        <v>28</v>
      </c>
    </row>
    <row r="821" spans="1:15" x14ac:dyDescent="0.3">
      <c r="A821" t="s">
        <v>889</v>
      </c>
      <c r="B821" t="s">
        <v>39</v>
      </c>
      <c r="C821" t="s">
        <v>40</v>
      </c>
      <c r="D821">
        <v>35777.51</v>
      </c>
      <c r="E821">
        <v>1</v>
      </c>
      <c r="F821">
        <v>35777.51</v>
      </c>
      <c r="G821" s="1">
        <v>45649</v>
      </c>
      <c r="H821" t="s">
        <v>80</v>
      </c>
      <c r="I821">
        <v>3.2</v>
      </c>
      <c r="J821" t="s">
        <v>26</v>
      </c>
      <c r="K821">
        <v>2024</v>
      </c>
      <c r="L821">
        <v>7155.5020000000004</v>
      </c>
      <c r="M821">
        <v>30</v>
      </c>
      <c r="N821" t="s">
        <v>27</v>
      </c>
      <c r="O821" t="s">
        <v>28</v>
      </c>
    </row>
    <row r="822" spans="1:15" x14ac:dyDescent="0.3">
      <c r="A822" t="s">
        <v>890</v>
      </c>
      <c r="B822" t="s">
        <v>84</v>
      </c>
      <c r="C822" t="s">
        <v>40</v>
      </c>
      <c r="D822">
        <v>4160.5200000000004</v>
      </c>
      <c r="E822">
        <v>2</v>
      </c>
      <c r="F822">
        <v>8321.0400000000009</v>
      </c>
      <c r="G822" s="1">
        <v>45632</v>
      </c>
      <c r="H822" t="s">
        <v>80</v>
      </c>
      <c r="I822">
        <v>3.8</v>
      </c>
      <c r="J822" t="s">
        <v>26</v>
      </c>
      <c r="K822">
        <v>2024</v>
      </c>
      <c r="L822">
        <v>1664.2080000000003</v>
      </c>
      <c r="M822">
        <v>29</v>
      </c>
      <c r="N822" t="s">
        <v>41</v>
      </c>
      <c r="O822" t="s">
        <v>28</v>
      </c>
    </row>
    <row r="823" spans="1:15" x14ac:dyDescent="0.3">
      <c r="A823" t="s">
        <v>891</v>
      </c>
      <c r="B823" t="s">
        <v>96</v>
      </c>
      <c r="C823" t="s">
        <v>36</v>
      </c>
      <c r="D823">
        <v>20754.919999999998</v>
      </c>
      <c r="E823">
        <v>3</v>
      </c>
      <c r="F823">
        <v>62264.76</v>
      </c>
      <c r="G823" s="1">
        <v>45514</v>
      </c>
      <c r="H823" t="s">
        <v>18</v>
      </c>
      <c r="I823">
        <v>1.9</v>
      </c>
      <c r="J823" t="s">
        <v>88</v>
      </c>
      <c r="K823">
        <v>2024</v>
      </c>
      <c r="L823">
        <v>12452.952000000001</v>
      </c>
      <c r="M823">
        <v>26</v>
      </c>
      <c r="N823" t="s">
        <v>20</v>
      </c>
      <c r="O823" t="s">
        <v>33</v>
      </c>
    </row>
    <row r="824" spans="1:15" x14ac:dyDescent="0.3">
      <c r="A824" t="s">
        <v>892</v>
      </c>
      <c r="B824" t="s">
        <v>70</v>
      </c>
      <c r="C824" t="s">
        <v>17</v>
      </c>
      <c r="D824">
        <v>34460.43</v>
      </c>
      <c r="E824">
        <v>2</v>
      </c>
      <c r="F824">
        <v>68920.86</v>
      </c>
      <c r="G824" s="1">
        <v>45357</v>
      </c>
      <c r="H824" t="s">
        <v>64</v>
      </c>
      <c r="I824">
        <v>4.5999999999999996</v>
      </c>
      <c r="J824" t="s">
        <v>56</v>
      </c>
      <c r="K824">
        <v>2024</v>
      </c>
      <c r="L824">
        <v>13784.172</v>
      </c>
      <c r="M824">
        <v>21</v>
      </c>
      <c r="N824" t="s">
        <v>20</v>
      </c>
      <c r="O824" t="s">
        <v>21</v>
      </c>
    </row>
    <row r="825" spans="1:15" x14ac:dyDescent="0.3">
      <c r="A825" t="s">
        <v>893</v>
      </c>
      <c r="B825" t="s">
        <v>50</v>
      </c>
      <c r="C825" t="s">
        <v>40</v>
      </c>
      <c r="D825">
        <v>22835.78</v>
      </c>
      <c r="E825">
        <v>5</v>
      </c>
      <c r="F825">
        <v>114178.9</v>
      </c>
      <c r="G825" s="1">
        <v>45344</v>
      </c>
      <c r="H825" t="s">
        <v>44</v>
      </c>
      <c r="I825">
        <v>4.0999999999999996</v>
      </c>
      <c r="J825" t="s">
        <v>59</v>
      </c>
      <c r="K825">
        <v>2024</v>
      </c>
      <c r="L825">
        <v>22835.78</v>
      </c>
      <c r="M825">
        <v>17</v>
      </c>
      <c r="N825" t="s">
        <v>20</v>
      </c>
      <c r="O825" t="s">
        <v>28</v>
      </c>
    </row>
    <row r="826" spans="1:15" x14ac:dyDescent="0.3">
      <c r="A826" t="s">
        <v>894</v>
      </c>
      <c r="B826" t="s">
        <v>100</v>
      </c>
      <c r="C826" t="s">
        <v>31</v>
      </c>
      <c r="D826">
        <v>5361.18</v>
      </c>
      <c r="E826">
        <v>2</v>
      </c>
      <c r="F826">
        <v>10722.36</v>
      </c>
      <c r="G826" s="1">
        <v>45581</v>
      </c>
      <c r="H826" t="s">
        <v>80</v>
      </c>
      <c r="I826">
        <v>3</v>
      </c>
      <c r="J826" t="s">
        <v>45</v>
      </c>
      <c r="K826">
        <v>2024</v>
      </c>
      <c r="L826">
        <v>2144.4720000000002</v>
      </c>
      <c r="M826">
        <v>5</v>
      </c>
      <c r="N826" t="s">
        <v>27</v>
      </c>
      <c r="O826" t="s">
        <v>33</v>
      </c>
    </row>
    <row r="827" spans="1:15" x14ac:dyDescent="0.3">
      <c r="A827" t="s">
        <v>895</v>
      </c>
      <c r="B827" t="s">
        <v>52</v>
      </c>
      <c r="C827" t="s">
        <v>24</v>
      </c>
      <c r="D827">
        <v>41996.61</v>
      </c>
      <c r="E827">
        <v>2</v>
      </c>
      <c r="F827">
        <v>83993.22</v>
      </c>
      <c r="G827" s="1">
        <v>45616</v>
      </c>
      <c r="H827" t="s">
        <v>64</v>
      </c>
      <c r="I827">
        <v>2.1</v>
      </c>
      <c r="J827" t="s">
        <v>37</v>
      </c>
      <c r="K827">
        <v>2024</v>
      </c>
      <c r="L827">
        <v>16798.644</v>
      </c>
      <c r="M827">
        <v>6</v>
      </c>
      <c r="N827" t="s">
        <v>27</v>
      </c>
      <c r="O827" t="s">
        <v>21</v>
      </c>
    </row>
    <row r="828" spans="1:15" x14ac:dyDescent="0.3">
      <c r="A828" t="s">
        <v>896</v>
      </c>
      <c r="B828" t="s">
        <v>58</v>
      </c>
      <c r="C828" t="s">
        <v>31</v>
      </c>
      <c r="D828">
        <v>43606.83</v>
      </c>
      <c r="E828">
        <v>4</v>
      </c>
      <c r="F828">
        <v>174427.32</v>
      </c>
      <c r="G828" s="1">
        <v>45393</v>
      </c>
      <c r="H828" t="s">
        <v>18</v>
      </c>
      <c r="I828">
        <v>3.6</v>
      </c>
      <c r="J828" t="s">
        <v>62</v>
      </c>
      <c r="K828">
        <v>2024</v>
      </c>
      <c r="L828">
        <v>34885.464</v>
      </c>
      <c r="M828">
        <v>13</v>
      </c>
      <c r="N828" t="s">
        <v>20</v>
      </c>
      <c r="O828" t="s">
        <v>28</v>
      </c>
    </row>
    <row r="829" spans="1:15" x14ac:dyDescent="0.3">
      <c r="A829" t="s">
        <v>897</v>
      </c>
      <c r="B829" t="s">
        <v>35</v>
      </c>
      <c r="C829" t="s">
        <v>36</v>
      </c>
      <c r="D829">
        <v>14290.07</v>
      </c>
      <c r="E829">
        <v>5</v>
      </c>
      <c r="F829">
        <v>71450.350000000006</v>
      </c>
      <c r="G829" s="1">
        <v>45638</v>
      </c>
      <c r="H829" t="s">
        <v>18</v>
      </c>
      <c r="I829">
        <v>2.2999999999999998</v>
      </c>
      <c r="J829" t="s">
        <v>26</v>
      </c>
      <c r="K829">
        <v>2024</v>
      </c>
      <c r="L829">
        <v>14290.070000000002</v>
      </c>
      <c r="M829">
        <v>7</v>
      </c>
      <c r="N829" t="s">
        <v>41</v>
      </c>
      <c r="O829" t="s">
        <v>68</v>
      </c>
    </row>
    <row r="830" spans="1:15" x14ac:dyDescent="0.3">
      <c r="A830" t="s">
        <v>898</v>
      </c>
      <c r="B830" t="s">
        <v>96</v>
      </c>
      <c r="C830" t="s">
        <v>36</v>
      </c>
      <c r="D830">
        <v>32760.67</v>
      </c>
      <c r="E830">
        <v>3</v>
      </c>
      <c r="F830">
        <v>98282.01</v>
      </c>
      <c r="G830" s="1">
        <v>45469</v>
      </c>
      <c r="H830" t="s">
        <v>80</v>
      </c>
      <c r="I830">
        <v>1</v>
      </c>
      <c r="J830" t="s">
        <v>67</v>
      </c>
      <c r="K830">
        <v>2024</v>
      </c>
      <c r="L830">
        <v>19656.401999999998</v>
      </c>
      <c r="M830">
        <v>5</v>
      </c>
      <c r="N830" t="s">
        <v>27</v>
      </c>
      <c r="O830" t="s">
        <v>21</v>
      </c>
    </row>
    <row r="831" spans="1:15" x14ac:dyDescent="0.3">
      <c r="A831" t="s">
        <v>899</v>
      </c>
      <c r="B831" t="s">
        <v>70</v>
      </c>
      <c r="C831" t="s">
        <v>17</v>
      </c>
      <c r="D831">
        <v>26403.73</v>
      </c>
      <c r="E831">
        <v>1</v>
      </c>
      <c r="F831">
        <v>26403.73</v>
      </c>
      <c r="G831" s="1">
        <v>45604</v>
      </c>
      <c r="H831" t="s">
        <v>18</v>
      </c>
      <c r="I831">
        <v>3.3</v>
      </c>
      <c r="J831" t="s">
        <v>37</v>
      </c>
      <c r="K831">
        <v>2024</v>
      </c>
      <c r="L831">
        <v>5280.7460000000001</v>
      </c>
      <c r="M831">
        <v>25</v>
      </c>
      <c r="N831" t="s">
        <v>20</v>
      </c>
      <c r="O831" t="s">
        <v>28</v>
      </c>
    </row>
    <row r="832" spans="1:15" x14ac:dyDescent="0.3">
      <c r="A832" t="s">
        <v>900</v>
      </c>
      <c r="B832" t="s">
        <v>94</v>
      </c>
      <c r="C832" t="s">
        <v>31</v>
      </c>
      <c r="D832">
        <v>34069.64</v>
      </c>
      <c r="E832">
        <v>1</v>
      </c>
      <c r="F832">
        <v>34069.64</v>
      </c>
      <c r="G832" s="1">
        <v>45610</v>
      </c>
      <c r="H832" t="s">
        <v>44</v>
      </c>
      <c r="I832">
        <v>3</v>
      </c>
      <c r="J832" t="s">
        <v>37</v>
      </c>
      <c r="K832">
        <v>2024</v>
      </c>
      <c r="L832">
        <v>6813.9279999999999</v>
      </c>
      <c r="M832">
        <v>20</v>
      </c>
      <c r="N832" t="s">
        <v>20</v>
      </c>
      <c r="O832" t="s">
        <v>21</v>
      </c>
    </row>
    <row r="833" spans="1:15" x14ac:dyDescent="0.3">
      <c r="A833" t="s">
        <v>901</v>
      </c>
      <c r="B833" t="s">
        <v>50</v>
      </c>
      <c r="C833" t="s">
        <v>40</v>
      </c>
      <c r="D833">
        <v>47284.54</v>
      </c>
      <c r="E833">
        <v>5</v>
      </c>
      <c r="F833">
        <v>236422.7</v>
      </c>
      <c r="G833" s="1">
        <v>45352</v>
      </c>
      <c r="H833" t="s">
        <v>80</v>
      </c>
      <c r="I833">
        <v>2.4</v>
      </c>
      <c r="J833" t="s">
        <v>56</v>
      </c>
      <c r="K833">
        <v>2024</v>
      </c>
      <c r="L833">
        <v>47284.540000000008</v>
      </c>
      <c r="M833">
        <v>27</v>
      </c>
      <c r="N833" t="s">
        <v>27</v>
      </c>
      <c r="O833" t="s">
        <v>21</v>
      </c>
    </row>
    <row r="834" spans="1:15" x14ac:dyDescent="0.3">
      <c r="A834" t="s">
        <v>902</v>
      </c>
      <c r="B834" t="s">
        <v>35</v>
      </c>
      <c r="C834" t="s">
        <v>36</v>
      </c>
      <c r="D834">
        <v>28678.880000000001</v>
      </c>
      <c r="E834">
        <v>4</v>
      </c>
      <c r="F834">
        <v>114715.52</v>
      </c>
      <c r="G834" s="1">
        <v>45582</v>
      </c>
      <c r="H834" t="s">
        <v>80</v>
      </c>
      <c r="I834">
        <v>3.7</v>
      </c>
      <c r="J834" t="s">
        <v>45</v>
      </c>
      <c r="K834">
        <v>2024</v>
      </c>
      <c r="L834">
        <v>22943.104000000003</v>
      </c>
      <c r="M834">
        <v>10</v>
      </c>
      <c r="N834" t="s">
        <v>27</v>
      </c>
      <c r="O834" t="s">
        <v>21</v>
      </c>
    </row>
    <row r="835" spans="1:15" x14ac:dyDescent="0.3">
      <c r="A835" t="s">
        <v>903</v>
      </c>
      <c r="B835" t="s">
        <v>30</v>
      </c>
      <c r="C835" t="s">
        <v>31</v>
      </c>
      <c r="D835">
        <v>44918.35</v>
      </c>
      <c r="E835">
        <v>5</v>
      </c>
      <c r="F835">
        <v>224591.75</v>
      </c>
      <c r="G835" s="1">
        <v>45496</v>
      </c>
      <c r="H835" t="s">
        <v>44</v>
      </c>
      <c r="I835">
        <v>4.4000000000000004</v>
      </c>
      <c r="J835" t="s">
        <v>48</v>
      </c>
      <c r="K835">
        <v>2024</v>
      </c>
      <c r="L835">
        <v>44918.350000000006</v>
      </c>
      <c r="M835">
        <v>21</v>
      </c>
      <c r="N835" t="s">
        <v>27</v>
      </c>
      <c r="O835" t="s">
        <v>21</v>
      </c>
    </row>
    <row r="836" spans="1:15" x14ac:dyDescent="0.3">
      <c r="A836" t="s">
        <v>904</v>
      </c>
      <c r="B836" t="s">
        <v>94</v>
      </c>
      <c r="C836" t="s">
        <v>31</v>
      </c>
      <c r="D836">
        <v>31727.37</v>
      </c>
      <c r="E836">
        <v>1</v>
      </c>
      <c r="F836">
        <v>31727.37</v>
      </c>
      <c r="G836" s="1">
        <v>45607</v>
      </c>
      <c r="H836" t="s">
        <v>18</v>
      </c>
      <c r="I836">
        <v>1.7</v>
      </c>
      <c r="J836" t="s">
        <v>37</v>
      </c>
      <c r="K836">
        <v>2024</v>
      </c>
      <c r="L836">
        <v>6345.4740000000002</v>
      </c>
      <c r="M836">
        <v>9</v>
      </c>
      <c r="N836" t="s">
        <v>41</v>
      </c>
      <c r="O836" t="s">
        <v>21</v>
      </c>
    </row>
    <row r="837" spans="1:15" x14ac:dyDescent="0.3">
      <c r="A837" t="s">
        <v>905</v>
      </c>
      <c r="B837" t="s">
        <v>84</v>
      </c>
      <c r="C837" t="s">
        <v>40</v>
      </c>
      <c r="D837">
        <v>10766.58</v>
      </c>
      <c r="E837">
        <v>3</v>
      </c>
      <c r="F837">
        <v>32299.74</v>
      </c>
      <c r="G837" s="1">
        <v>45387</v>
      </c>
      <c r="H837" t="s">
        <v>71</v>
      </c>
      <c r="I837">
        <v>4.2</v>
      </c>
      <c r="J837" t="s">
        <v>62</v>
      </c>
      <c r="K837">
        <v>2024</v>
      </c>
      <c r="L837">
        <v>6459.9480000000003</v>
      </c>
      <c r="M837">
        <v>9</v>
      </c>
      <c r="N837" t="s">
        <v>41</v>
      </c>
      <c r="O837" t="s">
        <v>21</v>
      </c>
    </row>
    <row r="838" spans="1:15" x14ac:dyDescent="0.3">
      <c r="A838" t="s">
        <v>906</v>
      </c>
      <c r="B838" t="s">
        <v>61</v>
      </c>
      <c r="C838" t="s">
        <v>31</v>
      </c>
      <c r="D838">
        <v>25288.2</v>
      </c>
      <c r="E838">
        <v>4</v>
      </c>
      <c r="F838">
        <v>101152.8</v>
      </c>
      <c r="G838" s="1">
        <v>45519</v>
      </c>
      <c r="H838" t="s">
        <v>18</v>
      </c>
      <c r="I838">
        <v>4.8</v>
      </c>
      <c r="J838" t="s">
        <v>88</v>
      </c>
      <c r="K838">
        <v>2024</v>
      </c>
      <c r="L838">
        <v>20230.560000000001</v>
      </c>
      <c r="M838">
        <v>10</v>
      </c>
      <c r="N838" t="s">
        <v>20</v>
      </c>
      <c r="O838" t="s">
        <v>28</v>
      </c>
    </row>
    <row r="839" spans="1:15" x14ac:dyDescent="0.3">
      <c r="A839" t="s">
        <v>907</v>
      </c>
      <c r="B839" t="s">
        <v>96</v>
      </c>
      <c r="C839" t="s">
        <v>36</v>
      </c>
      <c r="D839">
        <v>35506.5</v>
      </c>
      <c r="E839">
        <v>5</v>
      </c>
      <c r="F839">
        <v>177532.5</v>
      </c>
      <c r="G839" s="1">
        <v>45438</v>
      </c>
      <c r="H839" t="s">
        <v>25</v>
      </c>
      <c r="I839">
        <v>4.5</v>
      </c>
      <c r="J839" t="s">
        <v>32</v>
      </c>
      <c r="K839">
        <v>2024</v>
      </c>
      <c r="L839">
        <v>35506.5</v>
      </c>
      <c r="M839">
        <v>7</v>
      </c>
      <c r="N839" t="s">
        <v>27</v>
      </c>
      <c r="O839" t="s">
        <v>68</v>
      </c>
    </row>
    <row r="840" spans="1:15" x14ac:dyDescent="0.3">
      <c r="A840" t="s">
        <v>908</v>
      </c>
      <c r="B840" t="s">
        <v>118</v>
      </c>
      <c r="C840" t="s">
        <v>17</v>
      </c>
      <c r="D840">
        <v>7682.98</v>
      </c>
      <c r="E840">
        <v>4</v>
      </c>
      <c r="F840">
        <v>30731.919999999998</v>
      </c>
      <c r="G840" s="1">
        <v>45519</v>
      </c>
      <c r="H840" t="s">
        <v>64</v>
      </c>
      <c r="I840">
        <v>4.8</v>
      </c>
      <c r="J840" t="s">
        <v>88</v>
      </c>
      <c r="K840">
        <v>2024</v>
      </c>
      <c r="L840">
        <v>6146.384</v>
      </c>
      <c r="M840">
        <v>25</v>
      </c>
      <c r="N840" t="s">
        <v>41</v>
      </c>
      <c r="O840" t="s">
        <v>33</v>
      </c>
    </row>
    <row r="841" spans="1:15" x14ac:dyDescent="0.3">
      <c r="A841" t="s">
        <v>909</v>
      </c>
      <c r="B841" t="s">
        <v>66</v>
      </c>
      <c r="C841" t="s">
        <v>36</v>
      </c>
      <c r="D841">
        <v>32664.01</v>
      </c>
      <c r="E841">
        <v>2</v>
      </c>
      <c r="F841">
        <v>65328.02</v>
      </c>
      <c r="G841" s="1">
        <v>45373</v>
      </c>
      <c r="H841" t="s">
        <v>80</v>
      </c>
      <c r="I841">
        <v>2.5</v>
      </c>
      <c r="J841" t="s">
        <v>56</v>
      </c>
      <c r="K841">
        <v>2024</v>
      </c>
      <c r="L841">
        <v>13065.603999999999</v>
      </c>
      <c r="M841">
        <v>27</v>
      </c>
      <c r="N841" t="s">
        <v>27</v>
      </c>
      <c r="O841" t="s">
        <v>21</v>
      </c>
    </row>
    <row r="842" spans="1:15" x14ac:dyDescent="0.3">
      <c r="A842" t="s">
        <v>910</v>
      </c>
      <c r="B842" t="s">
        <v>50</v>
      </c>
      <c r="C842" t="s">
        <v>40</v>
      </c>
      <c r="D842">
        <v>14359.56</v>
      </c>
      <c r="E842">
        <v>3</v>
      </c>
      <c r="F842">
        <v>43078.68</v>
      </c>
      <c r="G842" s="1">
        <v>45482</v>
      </c>
      <c r="H842" t="s">
        <v>18</v>
      </c>
      <c r="I842">
        <v>2.2999999999999998</v>
      </c>
      <c r="J842" t="s">
        <v>48</v>
      </c>
      <c r="K842">
        <v>2024</v>
      </c>
      <c r="L842">
        <v>8615.7360000000008</v>
      </c>
      <c r="M842">
        <v>9</v>
      </c>
      <c r="N842" t="s">
        <v>20</v>
      </c>
      <c r="O842" t="s">
        <v>33</v>
      </c>
    </row>
    <row r="843" spans="1:15" x14ac:dyDescent="0.3">
      <c r="A843" t="s">
        <v>911</v>
      </c>
      <c r="B843" t="s">
        <v>47</v>
      </c>
      <c r="C843" t="s">
        <v>24</v>
      </c>
      <c r="D843">
        <v>3632.93</v>
      </c>
      <c r="E843">
        <v>5</v>
      </c>
      <c r="F843">
        <v>18164.650000000001</v>
      </c>
      <c r="G843" s="1">
        <v>45528</v>
      </c>
      <c r="H843" t="s">
        <v>71</v>
      </c>
      <c r="I843">
        <v>2.1</v>
      </c>
      <c r="J843" t="s">
        <v>88</v>
      </c>
      <c r="K843">
        <v>2024</v>
      </c>
      <c r="L843">
        <v>3632.9300000000003</v>
      </c>
      <c r="M843">
        <v>25</v>
      </c>
      <c r="N843" t="s">
        <v>41</v>
      </c>
      <c r="O843" t="s">
        <v>28</v>
      </c>
    </row>
    <row r="844" spans="1:15" x14ac:dyDescent="0.3">
      <c r="A844" t="s">
        <v>912</v>
      </c>
      <c r="B844" t="s">
        <v>43</v>
      </c>
      <c r="C844" t="s">
        <v>40</v>
      </c>
      <c r="D844">
        <v>30519.71</v>
      </c>
      <c r="E844">
        <v>1</v>
      </c>
      <c r="F844">
        <v>30519.71</v>
      </c>
      <c r="G844" s="1">
        <v>45335</v>
      </c>
      <c r="H844" t="s">
        <v>80</v>
      </c>
      <c r="I844">
        <v>3.2</v>
      </c>
      <c r="J844" t="s">
        <v>59</v>
      </c>
      <c r="K844">
        <v>2024</v>
      </c>
      <c r="L844">
        <v>6103.942</v>
      </c>
      <c r="M844">
        <v>9</v>
      </c>
      <c r="N844" t="s">
        <v>41</v>
      </c>
      <c r="O844" t="s">
        <v>21</v>
      </c>
    </row>
    <row r="845" spans="1:15" x14ac:dyDescent="0.3">
      <c r="A845" t="s">
        <v>913</v>
      </c>
      <c r="B845" t="s">
        <v>145</v>
      </c>
      <c r="C845" t="s">
        <v>40</v>
      </c>
      <c r="D845">
        <v>999.54</v>
      </c>
      <c r="E845">
        <v>3</v>
      </c>
      <c r="F845">
        <v>2998.62</v>
      </c>
      <c r="G845" s="1">
        <v>45660</v>
      </c>
      <c r="H845" t="s">
        <v>18</v>
      </c>
      <c r="I845">
        <v>3.2</v>
      </c>
      <c r="J845" t="s">
        <v>53</v>
      </c>
      <c r="K845">
        <v>2025</v>
      </c>
      <c r="L845">
        <v>599.72400000000005</v>
      </c>
      <c r="M845">
        <v>14</v>
      </c>
      <c r="N845" t="s">
        <v>41</v>
      </c>
      <c r="O845" t="s">
        <v>68</v>
      </c>
    </row>
    <row r="846" spans="1:15" x14ac:dyDescent="0.3">
      <c r="A846" t="s">
        <v>914</v>
      </c>
      <c r="B846" t="s">
        <v>43</v>
      </c>
      <c r="C846" t="s">
        <v>40</v>
      </c>
      <c r="D846">
        <v>15481.49</v>
      </c>
      <c r="E846">
        <v>3</v>
      </c>
      <c r="F846">
        <v>46444.47</v>
      </c>
      <c r="G846" s="1">
        <v>45432</v>
      </c>
      <c r="H846" t="s">
        <v>44</v>
      </c>
      <c r="I846">
        <v>2.1</v>
      </c>
      <c r="J846" t="s">
        <v>32</v>
      </c>
      <c r="K846">
        <v>2024</v>
      </c>
      <c r="L846">
        <v>9288.8940000000002</v>
      </c>
      <c r="M846">
        <v>14</v>
      </c>
      <c r="N846" t="s">
        <v>20</v>
      </c>
      <c r="O846" t="s">
        <v>33</v>
      </c>
    </row>
    <row r="847" spans="1:15" x14ac:dyDescent="0.3">
      <c r="A847" t="s">
        <v>915</v>
      </c>
      <c r="B847" t="s">
        <v>50</v>
      </c>
      <c r="C847" t="s">
        <v>40</v>
      </c>
      <c r="D847">
        <v>33814.720000000001</v>
      </c>
      <c r="E847">
        <v>2</v>
      </c>
      <c r="F847">
        <v>67629.440000000002</v>
      </c>
      <c r="G847" s="1">
        <v>45574</v>
      </c>
      <c r="H847" t="s">
        <v>80</v>
      </c>
      <c r="I847">
        <v>1.3</v>
      </c>
      <c r="J847" t="s">
        <v>45</v>
      </c>
      <c r="K847">
        <v>2024</v>
      </c>
      <c r="L847">
        <v>13525.888000000001</v>
      </c>
      <c r="M847">
        <v>23</v>
      </c>
      <c r="N847" t="s">
        <v>27</v>
      </c>
      <c r="O847" t="s">
        <v>21</v>
      </c>
    </row>
    <row r="848" spans="1:15" x14ac:dyDescent="0.3">
      <c r="A848" t="s">
        <v>916</v>
      </c>
      <c r="B848" t="s">
        <v>50</v>
      </c>
      <c r="C848" t="s">
        <v>40</v>
      </c>
      <c r="D848">
        <v>13559.39</v>
      </c>
      <c r="E848">
        <v>3</v>
      </c>
      <c r="F848">
        <v>40678.17</v>
      </c>
      <c r="G848" s="1">
        <v>45550</v>
      </c>
      <c r="H848" t="s">
        <v>80</v>
      </c>
      <c r="I848">
        <v>3.6</v>
      </c>
      <c r="J848" t="s">
        <v>19</v>
      </c>
      <c r="K848">
        <v>2024</v>
      </c>
      <c r="L848">
        <v>8135.634</v>
      </c>
      <c r="M848">
        <v>21</v>
      </c>
      <c r="N848" t="s">
        <v>41</v>
      </c>
      <c r="O848" t="s">
        <v>28</v>
      </c>
    </row>
    <row r="849" spans="1:15" x14ac:dyDescent="0.3">
      <c r="A849" t="s">
        <v>917</v>
      </c>
      <c r="B849" t="s">
        <v>78</v>
      </c>
      <c r="C849" t="s">
        <v>24</v>
      </c>
      <c r="D849">
        <v>18461.509999999998</v>
      </c>
      <c r="E849">
        <v>3</v>
      </c>
      <c r="F849">
        <v>55384.53</v>
      </c>
      <c r="G849" s="1">
        <v>45549</v>
      </c>
      <c r="H849" t="s">
        <v>64</v>
      </c>
      <c r="I849">
        <v>4.4000000000000004</v>
      </c>
      <c r="J849" t="s">
        <v>19</v>
      </c>
      <c r="K849">
        <v>2024</v>
      </c>
      <c r="L849">
        <v>11076.906000000001</v>
      </c>
      <c r="M849">
        <v>25</v>
      </c>
      <c r="N849" t="s">
        <v>20</v>
      </c>
      <c r="O849" t="s">
        <v>68</v>
      </c>
    </row>
    <row r="850" spans="1:15" x14ac:dyDescent="0.3">
      <c r="A850" t="s">
        <v>918</v>
      </c>
      <c r="B850" t="s">
        <v>66</v>
      </c>
      <c r="C850" t="s">
        <v>36</v>
      </c>
      <c r="D850">
        <v>22868.39</v>
      </c>
      <c r="E850">
        <v>4</v>
      </c>
      <c r="F850">
        <v>91473.56</v>
      </c>
      <c r="G850" s="1">
        <v>45446</v>
      </c>
      <c r="H850" t="s">
        <v>18</v>
      </c>
      <c r="I850">
        <v>1.3</v>
      </c>
      <c r="J850" t="s">
        <v>67</v>
      </c>
      <c r="K850">
        <v>2024</v>
      </c>
      <c r="L850">
        <v>18294.712</v>
      </c>
      <c r="M850">
        <v>18</v>
      </c>
      <c r="N850" t="s">
        <v>27</v>
      </c>
      <c r="O850" t="s">
        <v>33</v>
      </c>
    </row>
    <row r="851" spans="1:15" x14ac:dyDescent="0.3">
      <c r="A851" t="s">
        <v>919</v>
      </c>
      <c r="B851" t="s">
        <v>145</v>
      </c>
      <c r="C851" t="s">
        <v>40</v>
      </c>
      <c r="D851">
        <v>17795.7</v>
      </c>
      <c r="E851">
        <v>2</v>
      </c>
      <c r="F851">
        <v>35591.4</v>
      </c>
      <c r="G851" s="1">
        <v>45458</v>
      </c>
      <c r="H851" t="s">
        <v>64</v>
      </c>
      <c r="I851">
        <v>4.2</v>
      </c>
      <c r="J851" t="s">
        <v>67</v>
      </c>
      <c r="K851">
        <v>2024</v>
      </c>
      <c r="L851">
        <v>7118.2800000000007</v>
      </c>
      <c r="M851">
        <v>13</v>
      </c>
      <c r="N851" t="s">
        <v>20</v>
      </c>
      <c r="O851" t="s">
        <v>33</v>
      </c>
    </row>
    <row r="852" spans="1:15" x14ac:dyDescent="0.3">
      <c r="A852" t="s">
        <v>920</v>
      </c>
      <c r="B852" t="s">
        <v>58</v>
      </c>
      <c r="C852" t="s">
        <v>31</v>
      </c>
      <c r="D852">
        <v>20095.189999999999</v>
      </c>
      <c r="E852">
        <v>4</v>
      </c>
      <c r="F852">
        <v>80380.759999999995</v>
      </c>
      <c r="G852" s="1">
        <v>45670</v>
      </c>
      <c r="H852" t="s">
        <v>71</v>
      </c>
      <c r="I852">
        <v>2.7</v>
      </c>
      <c r="J852" t="s">
        <v>53</v>
      </c>
      <c r="K852">
        <v>2025</v>
      </c>
      <c r="L852">
        <v>16076.152</v>
      </c>
      <c r="M852">
        <v>18</v>
      </c>
      <c r="N852" t="s">
        <v>27</v>
      </c>
      <c r="O852" t="s">
        <v>21</v>
      </c>
    </row>
    <row r="853" spans="1:15" x14ac:dyDescent="0.3">
      <c r="A853" t="s">
        <v>921</v>
      </c>
      <c r="B853" t="s">
        <v>39</v>
      </c>
      <c r="C853" t="s">
        <v>40</v>
      </c>
      <c r="D853">
        <v>13998.81</v>
      </c>
      <c r="E853">
        <v>2</v>
      </c>
      <c r="F853">
        <v>27997.62</v>
      </c>
      <c r="G853" s="1">
        <v>45486</v>
      </c>
      <c r="H853" t="s">
        <v>80</v>
      </c>
      <c r="I853">
        <v>2.7</v>
      </c>
      <c r="J853" t="s">
        <v>48</v>
      </c>
      <c r="K853">
        <v>2024</v>
      </c>
      <c r="L853">
        <v>5599.5240000000003</v>
      </c>
      <c r="M853">
        <v>5</v>
      </c>
      <c r="N853" t="s">
        <v>20</v>
      </c>
      <c r="O853" t="s">
        <v>68</v>
      </c>
    </row>
    <row r="854" spans="1:15" x14ac:dyDescent="0.3">
      <c r="A854" t="s">
        <v>922</v>
      </c>
      <c r="B854" t="s">
        <v>43</v>
      </c>
      <c r="C854" t="s">
        <v>40</v>
      </c>
      <c r="D854">
        <v>787.27</v>
      </c>
      <c r="E854">
        <v>3</v>
      </c>
      <c r="F854">
        <v>2361.81</v>
      </c>
      <c r="G854" s="1">
        <v>45388</v>
      </c>
      <c r="H854" t="s">
        <v>25</v>
      </c>
      <c r="I854">
        <v>2.1</v>
      </c>
      <c r="J854" t="s">
        <v>62</v>
      </c>
      <c r="K854">
        <v>2024</v>
      </c>
      <c r="L854">
        <v>472.36200000000002</v>
      </c>
      <c r="M854">
        <v>23</v>
      </c>
      <c r="N854" t="s">
        <v>27</v>
      </c>
      <c r="O854" t="s">
        <v>68</v>
      </c>
    </row>
    <row r="855" spans="1:15" x14ac:dyDescent="0.3">
      <c r="A855" t="s">
        <v>923</v>
      </c>
      <c r="B855" t="s">
        <v>96</v>
      </c>
      <c r="C855" t="s">
        <v>36</v>
      </c>
      <c r="D855">
        <v>47363.199999999997</v>
      </c>
      <c r="E855">
        <v>3</v>
      </c>
      <c r="F855">
        <v>142089.60000000001</v>
      </c>
      <c r="G855" s="1">
        <v>45608</v>
      </c>
      <c r="H855" t="s">
        <v>71</v>
      </c>
      <c r="I855">
        <v>3.3</v>
      </c>
      <c r="J855" t="s">
        <v>37</v>
      </c>
      <c r="K855">
        <v>2024</v>
      </c>
      <c r="L855">
        <v>28417.920000000002</v>
      </c>
      <c r="M855">
        <v>17</v>
      </c>
      <c r="N855" t="s">
        <v>41</v>
      </c>
      <c r="O855" t="s">
        <v>68</v>
      </c>
    </row>
    <row r="856" spans="1:15" x14ac:dyDescent="0.3">
      <c r="A856" t="s">
        <v>924</v>
      </c>
      <c r="B856" t="s">
        <v>47</v>
      </c>
      <c r="C856" t="s">
        <v>24</v>
      </c>
      <c r="D856">
        <v>9655.0300000000007</v>
      </c>
      <c r="E856">
        <v>4</v>
      </c>
      <c r="F856">
        <v>38620.120000000003</v>
      </c>
      <c r="G856" s="1">
        <v>45612</v>
      </c>
      <c r="H856" t="s">
        <v>71</v>
      </c>
      <c r="I856">
        <v>1.5</v>
      </c>
      <c r="J856" t="s">
        <v>37</v>
      </c>
      <c r="K856">
        <v>2024</v>
      </c>
      <c r="L856">
        <v>7724.0240000000013</v>
      </c>
      <c r="M856">
        <v>17</v>
      </c>
      <c r="N856" t="s">
        <v>27</v>
      </c>
      <c r="O856" t="s">
        <v>68</v>
      </c>
    </row>
    <row r="857" spans="1:15" x14ac:dyDescent="0.3">
      <c r="A857" t="s">
        <v>925</v>
      </c>
      <c r="B857" t="s">
        <v>39</v>
      </c>
      <c r="C857" t="s">
        <v>40</v>
      </c>
      <c r="D857">
        <v>24151.49</v>
      </c>
      <c r="E857">
        <v>1</v>
      </c>
      <c r="F857">
        <v>24151.49</v>
      </c>
      <c r="G857" s="1">
        <v>45567</v>
      </c>
      <c r="H857" t="s">
        <v>25</v>
      </c>
      <c r="I857">
        <v>4.8</v>
      </c>
      <c r="J857" t="s">
        <v>45</v>
      </c>
      <c r="K857">
        <v>2024</v>
      </c>
      <c r="L857">
        <v>4830.2980000000007</v>
      </c>
      <c r="M857">
        <v>8</v>
      </c>
      <c r="N857" t="s">
        <v>20</v>
      </c>
      <c r="O857" t="s">
        <v>28</v>
      </c>
    </row>
    <row r="858" spans="1:15" x14ac:dyDescent="0.3">
      <c r="A858" t="s">
        <v>926</v>
      </c>
      <c r="B858" t="s">
        <v>70</v>
      </c>
      <c r="C858" t="s">
        <v>17</v>
      </c>
      <c r="D858">
        <v>3697.32</v>
      </c>
      <c r="E858">
        <v>4</v>
      </c>
      <c r="F858">
        <v>14789.28</v>
      </c>
      <c r="G858" s="1">
        <v>45349</v>
      </c>
      <c r="H858" t="s">
        <v>25</v>
      </c>
      <c r="I858">
        <v>1.3</v>
      </c>
      <c r="J858" t="s">
        <v>59</v>
      </c>
      <c r="K858">
        <v>2024</v>
      </c>
      <c r="L858">
        <v>2957.8560000000002</v>
      </c>
      <c r="M858">
        <v>5</v>
      </c>
      <c r="N858" t="s">
        <v>20</v>
      </c>
      <c r="O858" t="s">
        <v>68</v>
      </c>
    </row>
    <row r="859" spans="1:15" x14ac:dyDescent="0.3">
      <c r="A859" t="s">
        <v>927</v>
      </c>
      <c r="B859" t="s">
        <v>16</v>
      </c>
      <c r="C859" t="s">
        <v>17</v>
      </c>
      <c r="D859">
        <v>43840.04</v>
      </c>
      <c r="E859">
        <v>5</v>
      </c>
      <c r="F859">
        <v>219200.2</v>
      </c>
      <c r="G859" s="1">
        <v>45638</v>
      </c>
      <c r="H859" t="s">
        <v>71</v>
      </c>
      <c r="I859">
        <v>3</v>
      </c>
      <c r="J859" t="s">
        <v>26</v>
      </c>
      <c r="K859">
        <v>2024</v>
      </c>
      <c r="L859">
        <v>43840.040000000008</v>
      </c>
      <c r="M859">
        <v>21</v>
      </c>
      <c r="N859" t="s">
        <v>27</v>
      </c>
      <c r="O859" t="s">
        <v>33</v>
      </c>
    </row>
    <row r="860" spans="1:15" x14ac:dyDescent="0.3">
      <c r="A860" t="s">
        <v>928</v>
      </c>
      <c r="B860" t="s">
        <v>145</v>
      </c>
      <c r="C860" t="s">
        <v>40</v>
      </c>
      <c r="D860">
        <v>6494.62</v>
      </c>
      <c r="E860">
        <v>5</v>
      </c>
      <c r="F860">
        <v>32473.1</v>
      </c>
      <c r="G860" s="1">
        <v>45539</v>
      </c>
      <c r="H860" t="s">
        <v>25</v>
      </c>
      <c r="I860">
        <v>2.6</v>
      </c>
      <c r="J860" t="s">
        <v>19</v>
      </c>
      <c r="K860">
        <v>2024</v>
      </c>
      <c r="L860">
        <v>6494.62</v>
      </c>
      <c r="M860">
        <v>12</v>
      </c>
      <c r="N860" t="s">
        <v>41</v>
      </c>
      <c r="O860" t="s">
        <v>33</v>
      </c>
    </row>
    <row r="861" spans="1:15" x14ac:dyDescent="0.3">
      <c r="A861" t="s">
        <v>929</v>
      </c>
      <c r="B861" t="s">
        <v>16</v>
      </c>
      <c r="C861" t="s">
        <v>17</v>
      </c>
      <c r="D861">
        <v>7761.67</v>
      </c>
      <c r="E861">
        <v>1</v>
      </c>
      <c r="F861">
        <v>7761.67</v>
      </c>
      <c r="G861" s="1">
        <v>45691</v>
      </c>
      <c r="H861" t="s">
        <v>25</v>
      </c>
      <c r="I861">
        <v>4.8</v>
      </c>
      <c r="J861" t="s">
        <v>59</v>
      </c>
      <c r="K861">
        <v>2025</v>
      </c>
      <c r="L861">
        <v>1552.3340000000001</v>
      </c>
      <c r="M861">
        <v>6</v>
      </c>
      <c r="N861" t="s">
        <v>41</v>
      </c>
      <c r="O861" t="s">
        <v>28</v>
      </c>
    </row>
    <row r="862" spans="1:15" x14ac:dyDescent="0.3">
      <c r="A862" t="s">
        <v>930</v>
      </c>
      <c r="B862" t="s">
        <v>94</v>
      </c>
      <c r="C862" t="s">
        <v>31</v>
      </c>
      <c r="D862">
        <v>43300.52</v>
      </c>
      <c r="E862">
        <v>4</v>
      </c>
      <c r="F862">
        <v>173202.08</v>
      </c>
      <c r="G862" s="1">
        <v>45588</v>
      </c>
      <c r="H862" t="s">
        <v>64</v>
      </c>
      <c r="I862">
        <v>1.1000000000000001</v>
      </c>
      <c r="J862" t="s">
        <v>45</v>
      </c>
      <c r="K862">
        <v>2024</v>
      </c>
      <c r="L862">
        <v>34640.415999999997</v>
      </c>
      <c r="M862">
        <v>12</v>
      </c>
      <c r="N862" t="s">
        <v>27</v>
      </c>
      <c r="O862" t="s">
        <v>33</v>
      </c>
    </row>
    <row r="863" spans="1:15" x14ac:dyDescent="0.3">
      <c r="A863" t="s">
        <v>931</v>
      </c>
      <c r="B863" t="s">
        <v>145</v>
      </c>
      <c r="C863" t="s">
        <v>40</v>
      </c>
      <c r="D863">
        <v>36583.040000000001</v>
      </c>
      <c r="E863">
        <v>4</v>
      </c>
      <c r="F863">
        <v>146332.16</v>
      </c>
      <c r="G863" s="1">
        <v>45400</v>
      </c>
      <c r="H863" t="s">
        <v>64</v>
      </c>
      <c r="I863">
        <v>2</v>
      </c>
      <c r="J863" t="s">
        <v>62</v>
      </c>
      <c r="K863">
        <v>2024</v>
      </c>
      <c r="L863">
        <v>29266.432000000001</v>
      </c>
      <c r="M863">
        <v>11</v>
      </c>
      <c r="N863" t="s">
        <v>27</v>
      </c>
      <c r="O863" t="s">
        <v>33</v>
      </c>
    </row>
    <row r="864" spans="1:15" x14ac:dyDescent="0.3">
      <c r="A864" t="s">
        <v>932</v>
      </c>
      <c r="B864" t="s">
        <v>35</v>
      </c>
      <c r="C864" t="s">
        <v>36</v>
      </c>
      <c r="D864">
        <v>43298.080000000002</v>
      </c>
      <c r="E864">
        <v>3</v>
      </c>
      <c r="F864">
        <v>129894.24</v>
      </c>
      <c r="G864" s="1">
        <v>45501</v>
      </c>
      <c r="H864" t="s">
        <v>25</v>
      </c>
      <c r="I864">
        <v>1.6</v>
      </c>
      <c r="J864" t="s">
        <v>48</v>
      </c>
      <c r="K864">
        <v>2024</v>
      </c>
      <c r="L864">
        <v>25978.848000000002</v>
      </c>
      <c r="M864">
        <v>30</v>
      </c>
      <c r="N864" t="s">
        <v>20</v>
      </c>
      <c r="O864" t="s">
        <v>68</v>
      </c>
    </row>
    <row r="865" spans="1:15" x14ac:dyDescent="0.3">
      <c r="A865" t="s">
        <v>933</v>
      </c>
      <c r="B865" t="s">
        <v>125</v>
      </c>
      <c r="C865" t="s">
        <v>17</v>
      </c>
      <c r="D865">
        <v>47427.3</v>
      </c>
      <c r="E865">
        <v>5</v>
      </c>
      <c r="F865">
        <v>237136.5</v>
      </c>
      <c r="G865" s="1">
        <v>45380</v>
      </c>
      <c r="H865" t="s">
        <v>44</v>
      </c>
      <c r="I865">
        <v>4</v>
      </c>
      <c r="J865" t="s">
        <v>56</v>
      </c>
      <c r="K865">
        <v>2024</v>
      </c>
      <c r="L865">
        <v>47427.3</v>
      </c>
      <c r="M865">
        <v>30</v>
      </c>
      <c r="N865" t="s">
        <v>41</v>
      </c>
      <c r="O865" t="s">
        <v>33</v>
      </c>
    </row>
    <row r="866" spans="1:15" x14ac:dyDescent="0.3">
      <c r="A866" t="s">
        <v>934</v>
      </c>
      <c r="B866" t="s">
        <v>66</v>
      </c>
      <c r="C866" t="s">
        <v>36</v>
      </c>
      <c r="D866">
        <v>32950.949999999997</v>
      </c>
      <c r="E866">
        <v>5</v>
      </c>
      <c r="F866">
        <v>164754.75</v>
      </c>
      <c r="G866" s="1">
        <v>45499</v>
      </c>
      <c r="H866" t="s">
        <v>80</v>
      </c>
      <c r="I866">
        <v>2.2000000000000002</v>
      </c>
      <c r="J866" t="s">
        <v>48</v>
      </c>
      <c r="K866">
        <v>2024</v>
      </c>
      <c r="L866">
        <v>32950.950000000004</v>
      </c>
      <c r="M866">
        <v>6</v>
      </c>
      <c r="N866" t="s">
        <v>27</v>
      </c>
      <c r="O866" t="s">
        <v>28</v>
      </c>
    </row>
    <row r="867" spans="1:15" x14ac:dyDescent="0.3">
      <c r="A867" t="s">
        <v>935</v>
      </c>
      <c r="B867" t="s">
        <v>30</v>
      </c>
      <c r="C867" t="s">
        <v>31</v>
      </c>
      <c r="D867">
        <v>14064.35</v>
      </c>
      <c r="E867">
        <v>2</v>
      </c>
      <c r="F867">
        <v>28128.7</v>
      </c>
      <c r="G867" s="1">
        <v>45401</v>
      </c>
      <c r="H867" t="s">
        <v>80</v>
      </c>
      <c r="I867">
        <v>2.9</v>
      </c>
      <c r="J867" t="s">
        <v>62</v>
      </c>
      <c r="K867">
        <v>2024</v>
      </c>
      <c r="L867">
        <v>5625.7400000000007</v>
      </c>
      <c r="M867">
        <v>26</v>
      </c>
      <c r="N867" t="s">
        <v>41</v>
      </c>
      <c r="O867" t="s">
        <v>68</v>
      </c>
    </row>
    <row r="868" spans="1:15" x14ac:dyDescent="0.3">
      <c r="A868" t="s">
        <v>936</v>
      </c>
      <c r="B868" t="s">
        <v>61</v>
      </c>
      <c r="C868" t="s">
        <v>31</v>
      </c>
      <c r="D868">
        <v>49911.75</v>
      </c>
      <c r="E868">
        <v>3</v>
      </c>
      <c r="F868">
        <v>149735.25</v>
      </c>
      <c r="G868" s="1">
        <v>45430</v>
      </c>
      <c r="H868" t="s">
        <v>44</v>
      </c>
      <c r="I868">
        <v>3.1</v>
      </c>
      <c r="J868" t="s">
        <v>32</v>
      </c>
      <c r="K868">
        <v>2024</v>
      </c>
      <c r="L868">
        <v>29947.050000000003</v>
      </c>
      <c r="M868">
        <v>26</v>
      </c>
      <c r="N868" t="s">
        <v>27</v>
      </c>
      <c r="O868" t="s">
        <v>21</v>
      </c>
    </row>
    <row r="869" spans="1:15" x14ac:dyDescent="0.3">
      <c r="A869" t="s">
        <v>937</v>
      </c>
      <c r="B869" t="s">
        <v>107</v>
      </c>
      <c r="C869" t="s">
        <v>36</v>
      </c>
      <c r="D869">
        <v>40986.82</v>
      </c>
      <c r="E869">
        <v>3</v>
      </c>
      <c r="F869">
        <v>122960.46</v>
      </c>
      <c r="G869" s="1">
        <v>45679</v>
      </c>
      <c r="H869" t="s">
        <v>64</v>
      </c>
      <c r="I869">
        <v>3.5</v>
      </c>
      <c r="J869" t="s">
        <v>53</v>
      </c>
      <c r="K869">
        <v>2025</v>
      </c>
      <c r="L869">
        <v>24592.092000000004</v>
      </c>
      <c r="M869">
        <v>7</v>
      </c>
      <c r="N869" t="s">
        <v>27</v>
      </c>
      <c r="O869" t="s">
        <v>68</v>
      </c>
    </row>
    <row r="870" spans="1:15" x14ac:dyDescent="0.3">
      <c r="A870" t="s">
        <v>938</v>
      </c>
      <c r="B870" t="s">
        <v>145</v>
      </c>
      <c r="C870" t="s">
        <v>40</v>
      </c>
      <c r="D870">
        <v>32863.879999999997</v>
      </c>
      <c r="E870">
        <v>4</v>
      </c>
      <c r="F870">
        <v>131455.51999999999</v>
      </c>
      <c r="G870" s="1">
        <v>45366</v>
      </c>
      <c r="H870" t="s">
        <v>44</v>
      </c>
      <c r="I870">
        <v>4.9000000000000004</v>
      </c>
      <c r="J870" t="s">
        <v>56</v>
      </c>
      <c r="K870">
        <v>2024</v>
      </c>
      <c r="L870">
        <v>26291.103999999999</v>
      </c>
      <c r="M870">
        <v>22</v>
      </c>
      <c r="N870" t="s">
        <v>41</v>
      </c>
      <c r="O870" t="s">
        <v>28</v>
      </c>
    </row>
    <row r="871" spans="1:15" x14ac:dyDescent="0.3">
      <c r="A871" t="s">
        <v>939</v>
      </c>
      <c r="B871" t="s">
        <v>58</v>
      </c>
      <c r="C871" t="s">
        <v>31</v>
      </c>
      <c r="D871">
        <v>37424.589999999997</v>
      </c>
      <c r="E871">
        <v>4</v>
      </c>
      <c r="F871">
        <v>149698.35999999999</v>
      </c>
      <c r="G871" s="1">
        <v>45505</v>
      </c>
      <c r="H871" t="s">
        <v>80</v>
      </c>
      <c r="I871">
        <v>1.2</v>
      </c>
      <c r="J871" t="s">
        <v>88</v>
      </c>
      <c r="K871">
        <v>2024</v>
      </c>
      <c r="L871">
        <v>29939.671999999999</v>
      </c>
      <c r="M871">
        <v>16</v>
      </c>
      <c r="N871" t="s">
        <v>27</v>
      </c>
      <c r="O871" t="s">
        <v>68</v>
      </c>
    </row>
    <row r="872" spans="1:15" x14ac:dyDescent="0.3">
      <c r="A872" t="s">
        <v>940</v>
      </c>
      <c r="B872" t="s">
        <v>50</v>
      </c>
      <c r="C872" t="s">
        <v>40</v>
      </c>
      <c r="D872">
        <v>36930.76</v>
      </c>
      <c r="E872">
        <v>2</v>
      </c>
      <c r="F872">
        <v>73861.52</v>
      </c>
      <c r="G872" s="1">
        <v>45427</v>
      </c>
      <c r="H872" t="s">
        <v>18</v>
      </c>
      <c r="I872">
        <v>1.9</v>
      </c>
      <c r="J872" t="s">
        <v>32</v>
      </c>
      <c r="K872">
        <v>2024</v>
      </c>
      <c r="L872">
        <v>14772.304000000002</v>
      </c>
      <c r="M872">
        <v>5</v>
      </c>
      <c r="N872" t="s">
        <v>27</v>
      </c>
      <c r="O872" t="s">
        <v>68</v>
      </c>
    </row>
    <row r="873" spans="1:15" x14ac:dyDescent="0.3">
      <c r="A873" t="s">
        <v>941</v>
      </c>
      <c r="B873" t="s">
        <v>74</v>
      </c>
      <c r="C873" t="s">
        <v>17</v>
      </c>
      <c r="D873">
        <v>40379.730000000003</v>
      </c>
      <c r="E873">
        <v>1</v>
      </c>
      <c r="F873">
        <v>40379.730000000003</v>
      </c>
      <c r="G873" s="1">
        <v>45598</v>
      </c>
      <c r="H873" t="s">
        <v>64</v>
      </c>
      <c r="I873">
        <v>3.8</v>
      </c>
      <c r="J873" t="s">
        <v>37</v>
      </c>
      <c r="K873">
        <v>2024</v>
      </c>
      <c r="L873">
        <v>8075.9460000000008</v>
      </c>
      <c r="M873">
        <v>26</v>
      </c>
      <c r="N873" t="s">
        <v>20</v>
      </c>
      <c r="O873" t="s">
        <v>28</v>
      </c>
    </row>
    <row r="874" spans="1:15" x14ac:dyDescent="0.3">
      <c r="A874" t="s">
        <v>942</v>
      </c>
      <c r="B874" t="s">
        <v>78</v>
      </c>
      <c r="C874" t="s">
        <v>24</v>
      </c>
      <c r="D874">
        <v>16938.75</v>
      </c>
      <c r="E874">
        <v>5</v>
      </c>
      <c r="F874">
        <v>84693.75</v>
      </c>
      <c r="G874" s="1">
        <v>45351</v>
      </c>
      <c r="H874" t="s">
        <v>18</v>
      </c>
      <c r="I874">
        <v>3.2</v>
      </c>
      <c r="J874" t="s">
        <v>59</v>
      </c>
      <c r="K874">
        <v>2024</v>
      </c>
      <c r="L874">
        <v>16938.75</v>
      </c>
      <c r="M874">
        <v>16</v>
      </c>
      <c r="N874" t="s">
        <v>27</v>
      </c>
      <c r="O874" t="s">
        <v>68</v>
      </c>
    </row>
    <row r="875" spans="1:15" x14ac:dyDescent="0.3">
      <c r="A875" t="s">
        <v>943</v>
      </c>
      <c r="B875" t="s">
        <v>176</v>
      </c>
      <c r="C875" t="s">
        <v>24</v>
      </c>
      <c r="D875">
        <v>2415.3200000000002</v>
      </c>
      <c r="E875">
        <v>5</v>
      </c>
      <c r="F875">
        <v>12076.6</v>
      </c>
      <c r="G875" s="1">
        <v>45559</v>
      </c>
      <c r="H875" t="s">
        <v>64</v>
      </c>
      <c r="I875">
        <v>3.2</v>
      </c>
      <c r="J875" t="s">
        <v>19</v>
      </c>
      <c r="K875">
        <v>2024</v>
      </c>
      <c r="L875">
        <v>2415.3200000000002</v>
      </c>
      <c r="M875">
        <v>9</v>
      </c>
      <c r="N875" t="s">
        <v>27</v>
      </c>
      <c r="O875" t="s">
        <v>28</v>
      </c>
    </row>
    <row r="876" spans="1:15" x14ac:dyDescent="0.3">
      <c r="A876" t="s">
        <v>944</v>
      </c>
      <c r="B876" t="s">
        <v>94</v>
      </c>
      <c r="C876" t="s">
        <v>31</v>
      </c>
      <c r="D876">
        <v>49127.14</v>
      </c>
      <c r="E876">
        <v>3</v>
      </c>
      <c r="F876">
        <v>147381.42000000001</v>
      </c>
      <c r="G876" s="1">
        <v>45535</v>
      </c>
      <c r="H876" t="s">
        <v>25</v>
      </c>
      <c r="I876">
        <v>1</v>
      </c>
      <c r="J876" t="s">
        <v>88</v>
      </c>
      <c r="K876">
        <v>2024</v>
      </c>
      <c r="L876">
        <v>29476.284000000003</v>
      </c>
      <c r="M876">
        <v>29</v>
      </c>
      <c r="N876" t="s">
        <v>27</v>
      </c>
      <c r="O876" t="s">
        <v>28</v>
      </c>
    </row>
    <row r="877" spans="1:15" x14ac:dyDescent="0.3">
      <c r="A877" t="s">
        <v>945</v>
      </c>
      <c r="B877" t="s">
        <v>52</v>
      </c>
      <c r="C877" t="s">
        <v>24</v>
      </c>
      <c r="D877">
        <v>1416.84</v>
      </c>
      <c r="E877">
        <v>3</v>
      </c>
      <c r="F877">
        <v>4250.5200000000004</v>
      </c>
      <c r="G877" s="1">
        <v>45450</v>
      </c>
      <c r="H877" t="s">
        <v>80</v>
      </c>
      <c r="I877">
        <v>1.8</v>
      </c>
      <c r="J877" t="s">
        <v>67</v>
      </c>
      <c r="K877">
        <v>2024</v>
      </c>
      <c r="L877">
        <v>850.10400000000016</v>
      </c>
      <c r="M877">
        <v>21</v>
      </c>
      <c r="N877" t="s">
        <v>20</v>
      </c>
      <c r="O877" t="s">
        <v>21</v>
      </c>
    </row>
    <row r="878" spans="1:15" x14ac:dyDescent="0.3">
      <c r="A878" t="s">
        <v>946</v>
      </c>
      <c r="B878" t="s">
        <v>94</v>
      </c>
      <c r="C878" t="s">
        <v>31</v>
      </c>
      <c r="D878">
        <v>21112.13</v>
      </c>
      <c r="E878">
        <v>3</v>
      </c>
      <c r="F878">
        <v>63336.39</v>
      </c>
      <c r="G878" s="1">
        <v>45526</v>
      </c>
      <c r="H878" t="s">
        <v>25</v>
      </c>
      <c r="I878">
        <v>1.9</v>
      </c>
      <c r="J878" t="s">
        <v>88</v>
      </c>
      <c r="K878">
        <v>2024</v>
      </c>
      <c r="L878">
        <v>12667.278</v>
      </c>
      <c r="M878">
        <v>20</v>
      </c>
      <c r="N878" t="s">
        <v>41</v>
      </c>
      <c r="O878" t="s">
        <v>33</v>
      </c>
    </row>
    <row r="879" spans="1:15" x14ac:dyDescent="0.3">
      <c r="A879" t="s">
        <v>947</v>
      </c>
      <c r="B879" t="s">
        <v>61</v>
      </c>
      <c r="C879" t="s">
        <v>31</v>
      </c>
      <c r="D879">
        <v>13061.91</v>
      </c>
      <c r="E879">
        <v>5</v>
      </c>
      <c r="F879">
        <v>65309.55</v>
      </c>
      <c r="G879" s="1">
        <v>45589</v>
      </c>
      <c r="H879" t="s">
        <v>18</v>
      </c>
      <c r="I879">
        <v>1.9</v>
      </c>
      <c r="J879" t="s">
        <v>45</v>
      </c>
      <c r="K879">
        <v>2024</v>
      </c>
      <c r="L879">
        <v>13061.910000000002</v>
      </c>
      <c r="M879">
        <v>19</v>
      </c>
      <c r="N879" t="s">
        <v>20</v>
      </c>
      <c r="O879" t="s">
        <v>33</v>
      </c>
    </row>
    <row r="880" spans="1:15" x14ac:dyDescent="0.3">
      <c r="A880" t="s">
        <v>948</v>
      </c>
      <c r="B880" t="s">
        <v>125</v>
      </c>
      <c r="C880" t="s">
        <v>17</v>
      </c>
      <c r="D880">
        <v>7465.89</v>
      </c>
      <c r="E880">
        <v>5</v>
      </c>
      <c r="F880">
        <v>37329.449999999997</v>
      </c>
      <c r="G880" s="1">
        <v>45379</v>
      </c>
      <c r="H880" t="s">
        <v>18</v>
      </c>
      <c r="I880">
        <v>4.4000000000000004</v>
      </c>
      <c r="J880" t="s">
        <v>56</v>
      </c>
      <c r="K880">
        <v>2024</v>
      </c>
      <c r="L880">
        <v>7465.8899999999994</v>
      </c>
      <c r="M880">
        <v>27</v>
      </c>
      <c r="N880" t="s">
        <v>20</v>
      </c>
      <c r="O880" t="s">
        <v>68</v>
      </c>
    </row>
    <row r="881" spans="1:15" x14ac:dyDescent="0.3">
      <c r="A881" t="s">
        <v>949</v>
      </c>
      <c r="B881" t="s">
        <v>118</v>
      </c>
      <c r="C881" t="s">
        <v>17</v>
      </c>
      <c r="D881">
        <v>38005.050000000003</v>
      </c>
      <c r="E881">
        <v>1</v>
      </c>
      <c r="F881">
        <v>38005.050000000003</v>
      </c>
      <c r="G881" s="1">
        <v>45658</v>
      </c>
      <c r="H881" t="s">
        <v>25</v>
      </c>
      <c r="I881">
        <v>4</v>
      </c>
      <c r="J881" t="s">
        <v>53</v>
      </c>
      <c r="K881">
        <v>2025</v>
      </c>
      <c r="L881">
        <v>7601.0100000000011</v>
      </c>
      <c r="M881">
        <v>19</v>
      </c>
      <c r="N881" t="s">
        <v>41</v>
      </c>
      <c r="O881" t="s">
        <v>68</v>
      </c>
    </row>
    <row r="882" spans="1:15" x14ac:dyDescent="0.3">
      <c r="A882" t="s">
        <v>950</v>
      </c>
      <c r="B882" t="s">
        <v>78</v>
      </c>
      <c r="C882" t="s">
        <v>24</v>
      </c>
      <c r="D882">
        <v>42307.18</v>
      </c>
      <c r="E882">
        <v>5</v>
      </c>
      <c r="F882">
        <v>211535.9</v>
      </c>
      <c r="G882" s="1">
        <v>45525</v>
      </c>
      <c r="H882" t="s">
        <v>64</v>
      </c>
      <c r="I882">
        <v>4.0999999999999996</v>
      </c>
      <c r="J882" t="s">
        <v>88</v>
      </c>
      <c r="K882">
        <v>2024</v>
      </c>
      <c r="L882">
        <v>42307.18</v>
      </c>
      <c r="M882">
        <v>9</v>
      </c>
      <c r="N882" t="s">
        <v>20</v>
      </c>
      <c r="O882" t="s">
        <v>21</v>
      </c>
    </row>
    <row r="883" spans="1:15" x14ac:dyDescent="0.3">
      <c r="A883" t="s">
        <v>951</v>
      </c>
      <c r="B883" t="s">
        <v>43</v>
      </c>
      <c r="C883" t="s">
        <v>40</v>
      </c>
      <c r="D883">
        <v>28727.4</v>
      </c>
      <c r="E883">
        <v>3</v>
      </c>
      <c r="F883">
        <v>86182.2</v>
      </c>
      <c r="G883" s="1">
        <v>45434</v>
      </c>
      <c r="H883" t="s">
        <v>64</v>
      </c>
      <c r="I883">
        <v>4.7</v>
      </c>
      <c r="J883" t="s">
        <v>32</v>
      </c>
      <c r="K883">
        <v>2024</v>
      </c>
      <c r="L883">
        <v>17236.439999999999</v>
      </c>
      <c r="M883">
        <v>25</v>
      </c>
      <c r="N883" t="s">
        <v>41</v>
      </c>
      <c r="O883" t="s">
        <v>21</v>
      </c>
    </row>
    <row r="884" spans="1:15" x14ac:dyDescent="0.3">
      <c r="A884" t="s">
        <v>952</v>
      </c>
      <c r="B884" t="s">
        <v>94</v>
      </c>
      <c r="C884" t="s">
        <v>31</v>
      </c>
      <c r="D884">
        <v>8465.2800000000007</v>
      </c>
      <c r="E884">
        <v>3</v>
      </c>
      <c r="F884">
        <v>25395.84</v>
      </c>
      <c r="G884" s="1">
        <v>45638</v>
      </c>
      <c r="H884" t="s">
        <v>71</v>
      </c>
      <c r="I884">
        <v>1.8</v>
      </c>
      <c r="J884" t="s">
        <v>26</v>
      </c>
      <c r="K884">
        <v>2024</v>
      </c>
      <c r="L884">
        <v>5079.1680000000006</v>
      </c>
      <c r="M884">
        <v>18</v>
      </c>
      <c r="N884" t="s">
        <v>20</v>
      </c>
      <c r="O884" t="s">
        <v>21</v>
      </c>
    </row>
    <row r="885" spans="1:15" x14ac:dyDescent="0.3">
      <c r="A885" t="s">
        <v>953</v>
      </c>
      <c r="B885" t="s">
        <v>74</v>
      </c>
      <c r="C885" t="s">
        <v>17</v>
      </c>
      <c r="D885">
        <v>17194.75</v>
      </c>
      <c r="E885">
        <v>3</v>
      </c>
      <c r="F885">
        <v>51584.25</v>
      </c>
      <c r="G885" s="1">
        <v>45427</v>
      </c>
      <c r="H885" t="s">
        <v>44</v>
      </c>
      <c r="I885">
        <v>1.9</v>
      </c>
      <c r="J885" t="s">
        <v>32</v>
      </c>
      <c r="K885">
        <v>2024</v>
      </c>
      <c r="L885">
        <v>10316.85</v>
      </c>
      <c r="M885">
        <v>6</v>
      </c>
      <c r="N885" t="s">
        <v>41</v>
      </c>
      <c r="O885" t="s">
        <v>28</v>
      </c>
    </row>
    <row r="886" spans="1:15" x14ac:dyDescent="0.3">
      <c r="A886" t="s">
        <v>954</v>
      </c>
      <c r="B886" t="s">
        <v>47</v>
      </c>
      <c r="C886" t="s">
        <v>24</v>
      </c>
      <c r="D886">
        <v>26550.66</v>
      </c>
      <c r="E886">
        <v>4</v>
      </c>
      <c r="F886">
        <v>106202.64</v>
      </c>
      <c r="G886" s="1">
        <v>45360</v>
      </c>
      <c r="H886" t="s">
        <v>64</v>
      </c>
      <c r="I886">
        <v>3.3</v>
      </c>
      <c r="J886" t="s">
        <v>56</v>
      </c>
      <c r="K886">
        <v>2024</v>
      </c>
      <c r="L886">
        <v>21240.528000000002</v>
      </c>
      <c r="M886">
        <v>15</v>
      </c>
      <c r="N886" t="s">
        <v>27</v>
      </c>
      <c r="O886" t="s">
        <v>21</v>
      </c>
    </row>
    <row r="887" spans="1:15" x14ac:dyDescent="0.3">
      <c r="A887" t="s">
        <v>955</v>
      </c>
      <c r="B887" t="s">
        <v>16</v>
      </c>
      <c r="C887" t="s">
        <v>17</v>
      </c>
      <c r="D887">
        <v>24335.78</v>
      </c>
      <c r="E887">
        <v>4</v>
      </c>
      <c r="F887">
        <v>97343.12</v>
      </c>
      <c r="G887" s="1">
        <v>45391</v>
      </c>
      <c r="H887" t="s">
        <v>25</v>
      </c>
      <c r="I887">
        <v>3.1</v>
      </c>
      <c r="J887" t="s">
        <v>62</v>
      </c>
      <c r="K887">
        <v>2024</v>
      </c>
      <c r="L887">
        <v>19468.624</v>
      </c>
      <c r="M887">
        <v>23</v>
      </c>
      <c r="N887" t="s">
        <v>20</v>
      </c>
      <c r="O887" t="s">
        <v>21</v>
      </c>
    </row>
    <row r="888" spans="1:15" x14ac:dyDescent="0.3">
      <c r="A888" t="s">
        <v>956</v>
      </c>
      <c r="B888" t="s">
        <v>145</v>
      </c>
      <c r="C888" t="s">
        <v>40</v>
      </c>
      <c r="D888">
        <v>17308.52</v>
      </c>
      <c r="E888">
        <v>1</v>
      </c>
      <c r="F888">
        <v>17308.52</v>
      </c>
      <c r="G888" s="1">
        <v>45594</v>
      </c>
      <c r="H888" t="s">
        <v>80</v>
      </c>
      <c r="I888">
        <v>2.2000000000000002</v>
      </c>
      <c r="J888" t="s">
        <v>45</v>
      </c>
      <c r="K888">
        <v>2024</v>
      </c>
      <c r="L888">
        <v>3461.7040000000002</v>
      </c>
      <c r="M888">
        <v>11</v>
      </c>
      <c r="N888" t="s">
        <v>20</v>
      </c>
      <c r="O888" t="s">
        <v>68</v>
      </c>
    </row>
    <row r="889" spans="1:15" x14ac:dyDescent="0.3">
      <c r="A889" t="s">
        <v>957</v>
      </c>
      <c r="B889" t="s">
        <v>96</v>
      </c>
      <c r="C889" t="s">
        <v>36</v>
      </c>
      <c r="D889">
        <v>18097.79</v>
      </c>
      <c r="E889">
        <v>1</v>
      </c>
      <c r="F889">
        <v>18097.79</v>
      </c>
      <c r="G889" s="1">
        <v>45434</v>
      </c>
      <c r="H889" t="s">
        <v>80</v>
      </c>
      <c r="I889">
        <v>3.8</v>
      </c>
      <c r="J889" t="s">
        <v>32</v>
      </c>
      <c r="K889">
        <v>2024</v>
      </c>
      <c r="L889">
        <v>3619.5580000000004</v>
      </c>
      <c r="M889">
        <v>10</v>
      </c>
      <c r="N889" t="s">
        <v>20</v>
      </c>
      <c r="O889" t="s">
        <v>21</v>
      </c>
    </row>
    <row r="890" spans="1:15" x14ac:dyDescent="0.3">
      <c r="A890" t="s">
        <v>958</v>
      </c>
      <c r="B890" t="s">
        <v>74</v>
      </c>
      <c r="C890" t="s">
        <v>17</v>
      </c>
      <c r="D890">
        <v>45792.57</v>
      </c>
      <c r="E890">
        <v>2</v>
      </c>
      <c r="F890">
        <v>91585.14</v>
      </c>
      <c r="G890" s="1">
        <v>45453</v>
      </c>
      <c r="H890" t="s">
        <v>71</v>
      </c>
      <c r="I890">
        <v>3.1</v>
      </c>
      <c r="J890" t="s">
        <v>67</v>
      </c>
      <c r="K890">
        <v>2024</v>
      </c>
      <c r="L890">
        <v>18317.028000000002</v>
      </c>
      <c r="M890">
        <v>6</v>
      </c>
      <c r="N890" t="s">
        <v>20</v>
      </c>
      <c r="O890" t="s">
        <v>28</v>
      </c>
    </row>
    <row r="891" spans="1:15" x14ac:dyDescent="0.3">
      <c r="A891" t="s">
        <v>959</v>
      </c>
      <c r="B891" t="s">
        <v>94</v>
      </c>
      <c r="C891" t="s">
        <v>31</v>
      </c>
      <c r="D891">
        <v>35879.79</v>
      </c>
      <c r="E891">
        <v>4</v>
      </c>
      <c r="F891">
        <v>143519.16</v>
      </c>
      <c r="G891" s="1">
        <v>45353</v>
      </c>
      <c r="H891" t="s">
        <v>25</v>
      </c>
      <c r="I891">
        <v>4.4000000000000004</v>
      </c>
      <c r="J891" t="s">
        <v>56</v>
      </c>
      <c r="K891">
        <v>2024</v>
      </c>
      <c r="L891">
        <v>28703.832000000002</v>
      </c>
      <c r="M891">
        <v>10</v>
      </c>
      <c r="N891" t="s">
        <v>27</v>
      </c>
      <c r="O891" t="s">
        <v>28</v>
      </c>
    </row>
    <row r="892" spans="1:15" x14ac:dyDescent="0.3">
      <c r="A892" t="s">
        <v>960</v>
      </c>
      <c r="B892" t="s">
        <v>39</v>
      </c>
      <c r="C892" t="s">
        <v>40</v>
      </c>
      <c r="D892">
        <v>16158.74</v>
      </c>
      <c r="E892">
        <v>3</v>
      </c>
      <c r="F892">
        <v>48476.22</v>
      </c>
      <c r="G892" s="1">
        <v>45528</v>
      </c>
      <c r="H892" t="s">
        <v>64</v>
      </c>
      <c r="I892">
        <v>4.2</v>
      </c>
      <c r="J892" t="s">
        <v>88</v>
      </c>
      <c r="K892">
        <v>2024</v>
      </c>
      <c r="L892">
        <v>9695.2440000000006</v>
      </c>
      <c r="M892">
        <v>22</v>
      </c>
      <c r="N892" t="s">
        <v>20</v>
      </c>
      <c r="O892" t="s">
        <v>68</v>
      </c>
    </row>
    <row r="893" spans="1:15" x14ac:dyDescent="0.3">
      <c r="A893" t="s">
        <v>961</v>
      </c>
      <c r="B893" t="s">
        <v>23</v>
      </c>
      <c r="C893" t="s">
        <v>24</v>
      </c>
      <c r="D893">
        <v>15387.4</v>
      </c>
      <c r="E893">
        <v>1</v>
      </c>
      <c r="F893">
        <v>15387.4</v>
      </c>
      <c r="G893" s="1">
        <v>45354</v>
      </c>
      <c r="H893" t="s">
        <v>25</v>
      </c>
      <c r="I893">
        <v>4.2</v>
      </c>
      <c r="J893" t="s">
        <v>56</v>
      </c>
      <c r="K893">
        <v>2024</v>
      </c>
      <c r="L893">
        <v>3077.48</v>
      </c>
      <c r="M893">
        <v>6</v>
      </c>
      <c r="N893" t="s">
        <v>27</v>
      </c>
      <c r="O893" t="s">
        <v>21</v>
      </c>
    </row>
    <row r="894" spans="1:15" x14ac:dyDescent="0.3">
      <c r="A894" t="s">
        <v>962</v>
      </c>
      <c r="B894" t="s">
        <v>118</v>
      </c>
      <c r="C894" t="s">
        <v>17</v>
      </c>
      <c r="D894">
        <v>11134.83</v>
      </c>
      <c r="E894">
        <v>5</v>
      </c>
      <c r="F894">
        <v>55674.15</v>
      </c>
      <c r="G894" s="1">
        <v>45574</v>
      </c>
      <c r="H894" t="s">
        <v>80</v>
      </c>
      <c r="I894">
        <v>3.2</v>
      </c>
      <c r="J894" t="s">
        <v>45</v>
      </c>
      <c r="K894">
        <v>2024</v>
      </c>
      <c r="L894">
        <v>11134.830000000002</v>
      </c>
      <c r="M894">
        <v>22</v>
      </c>
      <c r="N894" t="s">
        <v>27</v>
      </c>
      <c r="O894" t="s">
        <v>21</v>
      </c>
    </row>
    <row r="895" spans="1:15" x14ac:dyDescent="0.3">
      <c r="A895" t="s">
        <v>963</v>
      </c>
      <c r="B895" t="s">
        <v>30</v>
      </c>
      <c r="C895" t="s">
        <v>31</v>
      </c>
      <c r="D895">
        <v>49835.85</v>
      </c>
      <c r="E895">
        <v>3</v>
      </c>
      <c r="F895">
        <v>149507.54999999999</v>
      </c>
      <c r="G895" s="1">
        <v>45537</v>
      </c>
      <c r="H895" t="s">
        <v>71</v>
      </c>
      <c r="I895">
        <v>4.5</v>
      </c>
      <c r="J895" t="s">
        <v>19</v>
      </c>
      <c r="K895">
        <v>2024</v>
      </c>
      <c r="L895">
        <v>29901.51</v>
      </c>
      <c r="M895">
        <v>19</v>
      </c>
      <c r="N895" t="s">
        <v>27</v>
      </c>
      <c r="O895" t="s">
        <v>28</v>
      </c>
    </row>
    <row r="896" spans="1:15" x14ac:dyDescent="0.3">
      <c r="A896" t="s">
        <v>964</v>
      </c>
      <c r="B896" t="s">
        <v>55</v>
      </c>
      <c r="C896" t="s">
        <v>36</v>
      </c>
      <c r="D896">
        <v>1002.29</v>
      </c>
      <c r="E896">
        <v>1</v>
      </c>
      <c r="F896">
        <v>1002.29</v>
      </c>
      <c r="G896" s="1">
        <v>45665</v>
      </c>
      <c r="H896" t="s">
        <v>25</v>
      </c>
      <c r="I896">
        <v>1.4</v>
      </c>
      <c r="J896" t="s">
        <v>53</v>
      </c>
      <c r="K896">
        <v>2025</v>
      </c>
      <c r="L896">
        <v>200.458</v>
      </c>
      <c r="M896">
        <v>23</v>
      </c>
      <c r="N896" t="s">
        <v>27</v>
      </c>
      <c r="O896" t="s">
        <v>21</v>
      </c>
    </row>
    <row r="897" spans="1:15" x14ac:dyDescent="0.3">
      <c r="A897" t="s">
        <v>965</v>
      </c>
      <c r="B897" t="s">
        <v>107</v>
      </c>
      <c r="C897" t="s">
        <v>36</v>
      </c>
      <c r="D897">
        <v>26448.240000000002</v>
      </c>
      <c r="E897">
        <v>4</v>
      </c>
      <c r="F897">
        <v>105792.96000000001</v>
      </c>
      <c r="G897" s="1">
        <v>45493</v>
      </c>
      <c r="H897" t="s">
        <v>80</v>
      </c>
      <c r="I897">
        <v>1.2</v>
      </c>
      <c r="J897" t="s">
        <v>48</v>
      </c>
      <c r="K897">
        <v>2024</v>
      </c>
      <c r="L897">
        <v>21158.592000000004</v>
      </c>
      <c r="M897">
        <v>6</v>
      </c>
      <c r="N897" t="s">
        <v>41</v>
      </c>
      <c r="O897" t="s">
        <v>21</v>
      </c>
    </row>
    <row r="898" spans="1:15" x14ac:dyDescent="0.3">
      <c r="A898" t="s">
        <v>966</v>
      </c>
      <c r="B898" t="s">
        <v>61</v>
      </c>
      <c r="C898" t="s">
        <v>31</v>
      </c>
      <c r="D898">
        <v>30650.46</v>
      </c>
      <c r="E898">
        <v>5</v>
      </c>
      <c r="F898">
        <v>153252.29999999999</v>
      </c>
      <c r="G898" s="1">
        <v>45547</v>
      </c>
      <c r="H898" t="s">
        <v>80</v>
      </c>
      <c r="I898">
        <v>1.6</v>
      </c>
      <c r="J898" t="s">
        <v>19</v>
      </c>
      <c r="K898">
        <v>2024</v>
      </c>
      <c r="L898">
        <v>30650.46</v>
      </c>
      <c r="M898">
        <v>24</v>
      </c>
      <c r="N898" t="s">
        <v>41</v>
      </c>
      <c r="O898" t="s">
        <v>21</v>
      </c>
    </row>
    <row r="899" spans="1:15" x14ac:dyDescent="0.3">
      <c r="A899" t="s">
        <v>967</v>
      </c>
      <c r="B899" t="s">
        <v>43</v>
      </c>
      <c r="C899" t="s">
        <v>40</v>
      </c>
      <c r="D899">
        <v>31978.03</v>
      </c>
      <c r="E899">
        <v>2</v>
      </c>
      <c r="F899">
        <v>63956.06</v>
      </c>
      <c r="G899" s="1">
        <v>45431</v>
      </c>
      <c r="H899" t="s">
        <v>71</v>
      </c>
      <c r="I899">
        <v>3.7</v>
      </c>
      <c r="J899" t="s">
        <v>32</v>
      </c>
      <c r="K899">
        <v>2024</v>
      </c>
      <c r="L899">
        <v>12791.212</v>
      </c>
      <c r="M899">
        <v>29</v>
      </c>
      <c r="N899" t="s">
        <v>20</v>
      </c>
      <c r="O899" t="s">
        <v>33</v>
      </c>
    </row>
    <row r="900" spans="1:15" x14ac:dyDescent="0.3">
      <c r="A900" t="s">
        <v>968</v>
      </c>
      <c r="B900" t="s">
        <v>176</v>
      </c>
      <c r="C900" t="s">
        <v>24</v>
      </c>
      <c r="D900">
        <v>45516.21</v>
      </c>
      <c r="E900">
        <v>1</v>
      </c>
      <c r="F900">
        <v>45516.21</v>
      </c>
      <c r="G900" s="1">
        <v>45492</v>
      </c>
      <c r="H900" t="s">
        <v>25</v>
      </c>
      <c r="I900">
        <v>1</v>
      </c>
      <c r="J900" t="s">
        <v>48</v>
      </c>
      <c r="K900">
        <v>2024</v>
      </c>
      <c r="L900">
        <v>9103.2420000000002</v>
      </c>
      <c r="M900">
        <v>10</v>
      </c>
      <c r="N900" t="s">
        <v>41</v>
      </c>
      <c r="O900" t="s">
        <v>68</v>
      </c>
    </row>
    <row r="901" spans="1:15" x14ac:dyDescent="0.3">
      <c r="A901" t="s">
        <v>969</v>
      </c>
      <c r="B901" t="s">
        <v>70</v>
      </c>
      <c r="C901" t="s">
        <v>17</v>
      </c>
      <c r="D901">
        <v>31922.03</v>
      </c>
      <c r="E901">
        <v>1</v>
      </c>
      <c r="F901">
        <v>31922.03</v>
      </c>
      <c r="G901" s="1">
        <v>45433</v>
      </c>
      <c r="H901" t="s">
        <v>80</v>
      </c>
      <c r="I901">
        <v>2.5</v>
      </c>
      <c r="J901" t="s">
        <v>32</v>
      </c>
      <c r="K901">
        <v>2024</v>
      </c>
      <c r="L901">
        <v>6384.4059999999999</v>
      </c>
      <c r="M901">
        <v>5</v>
      </c>
      <c r="N901" t="s">
        <v>41</v>
      </c>
      <c r="O901" t="s">
        <v>33</v>
      </c>
    </row>
    <row r="902" spans="1:15" x14ac:dyDescent="0.3">
      <c r="A902" t="s">
        <v>970</v>
      </c>
      <c r="B902" t="s">
        <v>61</v>
      </c>
      <c r="C902" t="s">
        <v>31</v>
      </c>
      <c r="D902">
        <v>3481.52</v>
      </c>
      <c r="E902">
        <v>3</v>
      </c>
      <c r="F902">
        <v>10444.56</v>
      </c>
      <c r="G902" s="1">
        <v>45508</v>
      </c>
      <c r="H902" t="s">
        <v>80</v>
      </c>
      <c r="I902">
        <v>1.1000000000000001</v>
      </c>
      <c r="J902" t="s">
        <v>88</v>
      </c>
      <c r="K902">
        <v>2024</v>
      </c>
      <c r="L902">
        <v>2088.9119999999998</v>
      </c>
      <c r="M902">
        <v>28</v>
      </c>
      <c r="N902" t="s">
        <v>20</v>
      </c>
      <c r="O902" t="s">
        <v>68</v>
      </c>
    </row>
    <row r="903" spans="1:15" x14ac:dyDescent="0.3">
      <c r="A903" t="s">
        <v>971</v>
      </c>
      <c r="B903" t="s">
        <v>50</v>
      </c>
      <c r="C903" t="s">
        <v>40</v>
      </c>
      <c r="D903">
        <v>27507.360000000001</v>
      </c>
      <c r="E903">
        <v>4</v>
      </c>
      <c r="F903">
        <v>110029.44</v>
      </c>
      <c r="G903" s="1">
        <v>45549</v>
      </c>
      <c r="H903" t="s">
        <v>71</v>
      </c>
      <c r="I903">
        <v>4.5</v>
      </c>
      <c r="J903" t="s">
        <v>19</v>
      </c>
      <c r="K903">
        <v>2024</v>
      </c>
      <c r="L903">
        <v>22005.888000000003</v>
      </c>
      <c r="M903">
        <v>19</v>
      </c>
      <c r="N903" t="s">
        <v>20</v>
      </c>
      <c r="O903" t="s">
        <v>28</v>
      </c>
    </row>
    <row r="904" spans="1:15" x14ac:dyDescent="0.3">
      <c r="A904" t="s">
        <v>972</v>
      </c>
      <c r="B904" t="s">
        <v>50</v>
      </c>
      <c r="C904" t="s">
        <v>40</v>
      </c>
      <c r="D904">
        <v>34870.120000000003</v>
      </c>
      <c r="E904">
        <v>5</v>
      </c>
      <c r="F904">
        <v>174350.6</v>
      </c>
      <c r="G904" s="1">
        <v>45680</v>
      </c>
      <c r="H904" t="s">
        <v>18</v>
      </c>
      <c r="I904">
        <v>2.7</v>
      </c>
      <c r="J904" t="s">
        <v>53</v>
      </c>
      <c r="K904">
        <v>2025</v>
      </c>
      <c r="L904">
        <v>34870.120000000003</v>
      </c>
      <c r="M904">
        <v>27</v>
      </c>
      <c r="N904" t="s">
        <v>20</v>
      </c>
      <c r="O904" t="s">
        <v>21</v>
      </c>
    </row>
    <row r="905" spans="1:15" x14ac:dyDescent="0.3">
      <c r="A905" t="s">
        <v>973</v>
      </c>
      <c r="B905" t="s">
        <v>50</v>
      </c>
      <c r="C905" t="s">
        <v>40</v>
      </c>
      <c r="D905">
        <v>11540.73</v>
      </c>
      <c r="E905">
        <v>1</v>
      </c>
      <c r="F905">
        <v>11540.73</v>
      </c>
      <c r="G905" s="1">
        <v>45512</v>
      </c>
      <c r="H905" t="s">
        <v>44</v>
      </c>
      <c r="I905">
        <v>3.6</v>
      </c>
      <c r="J905" t="s">
        <v>88</v>
      </c>
      <c r="K905">
        <v>2024</v>
      </c>
      <c r="L905">
        <v>2308.1460000000002</v>
      </c>
      <c r="M905">
        <v>14</v>
      </c>
      <c r="N905" t="s">
        <v>41</v>
      </c>
      <c r="O905" t="s">
        <v>68</v>
      </c>
    </row>
    <row r="906" spans="1:15" x14ac:dyDescent="0.3">
      <c r="A906" t="s">
        <v>974</v>
      </c>
      <c r="B906" t="s">
        <v>96</v>
      </c>
      <c r="C906" t="s">
        <v>36</v>
      </c>
      <c r="D906">
        <v>2926.8</v>
      </c>
      <c r="E906">
        <v>4</v>
      </c>
      <c r="F906">
        <v>11707.2</v>
      </c>
      <c r="G906" s="1">
        <v>45341</v>
      </c>
      <c r="H906" t="s">
        <v>71</v>
      </c>
      <c r="I906">
        <v>2.2999999999999998</v>
      </c>
      <c r="J906" t="s">
        <v>59</v>
      </c>
      <c r="K906">
        <v>2024</v>
      </c>
      <c r="L906">
        <v>2341.44</v>
      </c>
      <c r="M906">
        <v>23</v>
      </c>
      <c r="N906" t="s">
        <v>41</v>
      </c>
      <c r="O906" t="s">
        <v>33</v>
      </c>
    </row>
    <row r="907" spans="1:15" x14ac:dyDescent="0.3">
      <c r="A907" t="s">
        <v>975</v>
      </c>
      <c r="B907" t="s">
        <v>16</v>
      </c>
      <c r="C907" t="s">
        <v>17</v>
      </c>
      <c r="D907">
        <v>37341.949999999997</v>
      </c>
      <c r="E907">
        <v>2</v>
      </c>
      <c r="F907">
        <v>74683.899999999994</v>
      </c>
      <c r="G907" s="1">
        <v>45567</v>
      </c>
      <c r="H907" t="s">
        <v>18</v>
      </c>
      <c r="I907">
        <v>4.8</v>
      </c>
      <c r="J907" t="s">
        <v>45</v>
      </c>
      <c r="K907">
        <v>2024</v>
      </c>
      <c r="L907">
        <v>14936.779999999999</v>
      </c>
      <c r="M907">
        <v>21</v>
      </c>
      <c r="N907" t="s">
        <v>20</v>
      </c>
      <c r="O907" t="s">
        <v>21</v>
      </c>
    </row>
    <row r="908" spans="1:15" x14ac:dyDescent="0.3">
      <c r="A908" t="s">
        <v>976</v>
      </c>
      <c r="B908" t="s">
        <v>50</v>
      </c>
      <c r="C908" t="s">
        <v>40</v>
      </c>
      <c r="D908">
        <v>30100.73</v>
      </c>
      <c r="E908">
        <v>1</v>
      </c>
      <c r="F908">
        <v>30100.73</v>
      </c>
      <c r="G908" s="1">
        <v>45352</v>
      </c>
      <c r="H908" t="s">
        <v>25</v>
      </c>
      <c r="I908">
        <v>1.7</v>
      </c>
      <c r="J908" t="s">
        <v>56</v>
      </c>
      <c r="K908">
        <v>2024</v>
      </c>
      <c r="L908">
        <v>6020.1460000000006</v>
      </c>
      <c r="M908">
        <v>9</v>
      </c>
      <c r="N908" t="s">
        <v>27</v>
      </c>
      <c r="O908" t="s">
        <v>28</v>
      </c>
    </row>
    <row r="909" spans="1:15" x14ac:dyDescent="0.3">
      <c r="A909" t="s">
        <v>977</v>
      </c>
      <c r="B909" t="s">
        <v>23</v>
      </c>
      <c r="C909" t="s">
        <v>24</v>
      </c>
      <c r="D909">
        <v>4442.1000000000004</v>
      </c>
      <c r="E909">
        <v>3</v>
      </c>
      <c r="F909">
        <v>13326.3</v>
      </c>
      <c r="G909" s="1">
        <v>45380</v>
      </c>
      <c r="H909" t="s">
        <v>18</v>
      </c>
      <c r="I909">
        <v>2.8</v>
      </c>
      <c r="J909" t="s">
        <v>56</v>
      </c>
      <c r="K909">
        <v>2024</v>
      </c>
      <c r="L909">
        <v>2665.26</v>
      </c>
      <c r="M909">
        <v>8</v>
      </c>
      <c r="N909" t="s">
        <v>20</v>
      </c>
      <c r="O909" t="s">
        <v>68</v>
      </c>
    </row>
    <row r="910" spans="1:15" x14ac:dyDescent="0.3">
      <c r="A910" t="s">
        <v>978</v>
      </c>
      <c r="B910" t="s">
        <v>84</v>
      </c>
      <c r="C910" t="s">
        <v>40</v>
      </c>
      <c r="D910">
        <v>18657.990000000002</v>
      </c>
      <c r="E910">
        <v>5</v>
      </c>
      <c r="F910">
        <v>93289.95</v>
      </c>
      <c r="G910" s="1">
        <v>45659</v>
      </c>
      <c r="H910" t="s">
        <v>80</v>
      </c>
      <c r="I910">
        <v>1.7</v>
      </c>
      <c r="J910" t="s">
        <v>53</v>
      </c>
      <c r="K910">
        <v>2025</v>
      </c>
      <c r="L910">
        <v>18657.990000000002</v>
      </c>
      <c r="M910">
        <v>14</v>
      </c>
      <c r="N910" t="s">
        <v>27</v>
      </c>
      <c r="O910" t="s">
        <v>68</v>
      </c>
    </row>
    <row r="911" spans="1:15" x14ac:dyDescent="0.3">
      <c r="A911" t="s">
        <v>979</v>
      </c>
      <c r="B911" t="s">
        <v>100</v>
      </c>
      <c r="C911" t="s">
        <v>31</v>
      </c>
      <c r="D911">
        <v>41402.76</v>
      </c>
      <c r="E911">
        <v>1</v>
      </c>
      <c r="F911">
        <v>41402.76</v>
      </c>
      <c r="G911" s="1">
        <v>45483</v>
      </c>
      <c r="H911" t="s">
        <v>71</v>
      </c>
      <c r="I911">
        <v>3.2</v>
      </c>
      <c r="J911" t="s">
        <v>48</v>
      </c>
      <c r="K911">
        <v>2024</v>
      </c>
      <c r="L911">
        <v>8280.5520000000015</v>
      </c>
      <c r="M911">
        <v>28</v>
      </c>
      <c r="N911" t="s">
        <v>27</v>
      </c>
      <c r="O911" t="s">
        <v>68</v>
      </c>
    </row>
    <row r="912" spans="1:15" x14ac:dyDescent="0.3">
      <c r="A912" t="s">
        <v>980</v>
      </c>
      <c r="B912" t="s">
        <v>16</v>
      </c>
      <c r="C912" t="s">
        <v>17</v>
      </c>
      <c r="D912">
        <v>49796.61</v>
      </c>
      <c r="E912">
        <v>1</v>
      </c>
      <c r="F912">
        <v>49796.61</v>
      </c>
      <c r="G912" s="1">
        <v>45590</v>
      </c>
      <c r="H912" t="s">
        <v>64</v>
      </c>
      <c r="I912">
        <v>4.0999999999999996</v>
      </c>
      <c r="J912" t="s">
        <v>45</v>
      </c>
      <c r="K912">
        <v>2024</v>
      </c>
      <c r="L912">
        <v>9959.3220000000001</v>
      </c>
      <c r="M912">
        <v>21</v>
      </c>
      <c r="N912" t="s">
        <v>20</v>
      </c>
      <c r="O912" t="s">
        <v>21</v>
      </c>
    </row>
    <row r="913" spans="1:15" x14ac:dyDescent="0.3">
      <c r="A913" t="s">
        <v>981</v>
      </c>
      <c r="B913" t="s">
        <v>58</v>
      </c>
      <c r="C913" t="s">
        <v>31</v>
      </c>
      <c r="D913">
        <v>32712.91</v>
      </c>
      <c r="E913">
        <v>2</v>
      </c>
      <c r="F913">
        <v>65425.82</v>
      </c>
      <c r="G913" s="1">
        <v>45415</v>
      </c>
      <c r="H913" t="s">
        <v>80</v>
      </c>
      <c r="I913">
        <v>4.2</v>
      </c>
      <c r="J913" t="s">
        <v>32</v>
      </c>
      <c r="K913">
        <v>2024</v>
      </c>
      <c r="L913">
        <v>13085.164000000001</v>
      </c>
      <c r="M913">
        <v>14</v>
      </c>
      <c r="N913" t="s">
        <v>20</v>
      </c>
      <c r="O913" t="s">
        <v>33</v>
      </c>
    </row>
    <row r="914" spans="1:15" x14ac:dyDescent="0.3">
      <c r="A914" t="s">
        <v>982</v>
      </c>
      <c r="B914" t="s">
        <v>30</v>
      </c>
      <c r="C914" t="s">
        <v>31</v>
      </c>
      <c r="D914">
        <v>26281.98</v>
      </c>
      <c r="E914">
        <v>1</v>
      </c>
      <c r="F914">
        <v>26281.98</v>
      </c>
      <c r="G914" s="1">
        <v>45467</v>
      </c>
      <c r="H914" t="s">
        <v>18</v>
      </c>
      <c r="I914">
        <v>4.3</v>
      </c>
      <c r="J914" t="s">
        <v>67</v>
      </c>
      <c r="K914">
        <v>2024</v>
      </c>
      <c r="L914">
        <v>5256.3960000000006</v>
      </c>
      <c r="M914">
        <v>21</v>
      </c>
      <c r="N914" t="s">
        <v>20</v>
      </c>
      <c r="O914" t="s">
        <v>33</v>
      </c>
    </row>
    <row r="915" spans="1:15" x14ac:dyDescent="0.3">
      <c r="A915" t="s">
        <v>983</v>
      </c>
      <c r="B915" t="s">
        <v>50</v>
      </c>
      <c r="C915" t="s">
        <v>40</v>
      </c>
      <c r="D915">
        <v>30805.88</v>
      </c>
      <c r="E915">
        <v>5</v>
      </c>
      <c r="F915">
        <v>154029.4</v>
      </c>
      <c r="G915" s="1">
        <v>45458</v>
      </c>
      <c r="H915" t="s">
        <v>71</v>
      </c>
      <c r="I915">
        <v>1.1000000000000001</v>
      </c>
      <c r="J915" t="s">
        <v>67</v>
      </c>
      <c r="K915">
        <v>2024</v>
      </c>
      <c r="L915">
        <v>30805.88</v>
      </c>
      <c r="M915">
        <v>24</v>
      </c>
      <c r="N915" t="s">
        <v>41</v>
      </c>
      <c r="O915" t="s">
        <v>68</v>
      </c>
    </row>
    <row r="916" spans="1:15" x14ac:dyDescent="0.3">
      <c r="A916" t="s">
        <v>984</v>
      </c>
      <c r="B916" t="s">
        <v>176</v>
      </c>
      <c r="C916" t="s">
        <v>24</v>
      </c>
      <c r="D916">
        <v>9045.23</v>
      </c>
      <c r="E916">
        <v>5</v>
      </c>
      <c r="F916">
        <v>45226.15</v>
      </c>
      <c r="G916" s="1">
        <v>45477</v>
      </c>
      <c r="H916" t="s">
        <v>64</v>
      </c>
      <c r="I916">
        <v>4.5999999999999996</v>
      </c>
      <c r="J916" t="s">
        <v>48</v>
      </c>
      <c r="K916">
        <v>2024</v>
      </c>
      <c r="L916">
        <v>9045.2300000000014</v>
      </c>
      <c r="M916">
        <v>28</v>
      </c>
      <c r="N916" t="s">
        <v>27</v>
      </c>
      <c r="O916" t="s">
        <v>28</v>
      </c>
    </row>
    <row r="917" spans="1:15" x14ac:dyDescent="0.3">
      <c r="A917" t="s">
        <v>985</v>
      </c>
      <c r="B917" t="s">
        <v>107</v>
      </c>
      <c r="C917" t="s">
        <v>36</v>
      </c>
      <c r="D917">
        <v>16003.38</v>
      </c>
      <c r="E917">
        <v>2</v>
      </c>
      <c r="F917">
        <v>32006.76</v>
      </c>
      <c r="G917" s="1">
        <v>45548</v>
      </c>
      <c r="H917" t="s">
        <v>25</v>
      </c>
      <c r="I917">
        <v>4.0999999999999996</v>
      </c>
      <c r="J917" t="s">
        <v>19</v>
      </c>
      <c r="K917">
        <v>2024</v>
      </c>
      <c r="L917">
        <v>6401.3519999999999</v>
      </c>
      <c r="M917">
        <v>9</v>
      </c>
      <c r="N917" t="s">
        <v>41</v>
      </c>
      <c r="O917" t="s">
        <v>28</v>
      </c>
    </row>
    <row r="918" spans="1:15" x14ac:dyDescent="0.3">
      <c r="A918" t="s">
        <v>986</v>
      </c>
      <c r="B918" t="s">
        <v>23</v>
      </c>
      <c r="C918" t="s">
        <v>24</v>
      </c>
      <c r="D918">
        <v>35139.53</v>
      </c>
      <c r="E918">
        <v>1</v>
      </c>
      <c r="F918">
        <v>35139.53</v>
      </c>
      <c r="G918" s="1">
        <v>45431</v>
      </c>
      <c r="H918" t="s">
        <v>44</v>
      </c>
      <c r="I918">
        <v>2.9</v>
      </c>
      <c r="J918" t="s">
        <v>32</v>
      </c>
      <c r="K918">
        <v>2024</v>
      </c>
      <c r="L918">
        <v>7027.9059999999999</v>
      </c>
      <c r="M918">
        <v>6</v>
      </c>
      <c r="N918" t="s">
        <v>41</v>
      </c>
      <c r="O918" t="s">
        <v>33</v>
      </c>
    </row>
    <row r="919" spans="1:15" x14ac:dyDescent="0.3">
      <c r="A919" t="s">
        <v>987</v>
      </c>
      <c r="B919" t="s">
        <v>118</v>
      </c>
      <c r="C919" t="s">
        <v>17</v>
      </c>
      <c r="D919">
        <v>13640.1</v>
      </c>
      <c r="E919">
        <v>4</v>
      </c>
      <c r="F919">
        <v>54560.4</v>
      </c>
      <c r="G919" s="1">
        <v>45392</v>
      </c>
      <c r="H919" t="s">
        <v>44</v>
      </c>
      <c r="I919">
        <v>3.3</v>
      </c>
      <c r="J919" t="s">
        <v>62</v>
      </c>
      <c r="K919">
        <v>2024</v>
      </c>
      <c r="L919">
        <v>10912.080000000002</v>
      </c>
      <c r="M919">
        <v>10</v>
      </c>
      <c r="N919" t="s">
        <v>20</v>
      </c>
      <c r="O919" t="s">
        <v>28</v>
      </c>
    </row>
    <row r="920" spans="1:15" x14ac:dyDescent="0.3">
      <c r="A920" t="s">
        <v>988</v>
      </c>
      <c r="B920" t="s">
        <v>39</v>
      </c>
      <c r="C920" t="s">
        <v>40</v>
      </c>
      <c r="D920">
        <v>5535.76</v>
      </c>
      <c r="E920">
        <v>2</v>
      </c>
      <c r="F920">
        <v>11071.52</v>
      </c>
      <c r="G920" s="1">
        <v>45692</v>
      </c>
      <c r="H920" t="s">
        <v>25</v>
      </c>
      <c r="I920">
        <v>3.6</v>
      </c>
      <c r="J920" t="s">
        <v>59</v>
      </c>
      <c r="K920">
        <v>2025</v>
      </c>
      <c r="L920">
        <v>2214.3040000000001</v>
      </c>
      <c r="M920">
        <v>25</v>
      </c>
      <c r="N920" t="s">
        <v>41</v>
      </c>
      <c r="O920" t="s">
        <v>33</v>
      </c>
    </row>
    <row r="921" spans="1:15" x14ac:dyDescent="0.3">
      <c r="A921" t="s">
        <v>989</v>
      </c>
      <c r="B921" t="s">
        <v>43</v>
      </c>
      <c r="C921" t="s">
        <v>40</v>
      </c>
      <c r="D921">
        <v>1039.1099999999999</v>
      </c>
      <c r="E921">
        <v>4</v>
      </c>
      <c r="F921">
        <v>4156.4399999999996</v>
      </c>
      <c r="G921" s="1">
        <v>45582</v>
      </c>
      <c r="H921" t="s">
        <v>71</v>
      </c>
      <c r="I921">
        <v>3.8</v>
      </c>
      <c r="J921" t="s">
        <v>45</v>
      </c>
      <c r="K921">
        <v>2024</v>
      </c>
      <c r="L921">
        <v>831.28800000000001</v>
      </c>
      <c r="M921">
        <v>6</v>
      </c>
      <c r="N921" t="s">
        <v>20</v>
      </c>
      <c r="O921" t="s">
        <v>68</v>
      </c>
    </row>
    <row r="922" spans="1:15" x14ac:dyDescent="0.3">
      <c r="A922" t="s">
        <v>990</v>
      </c>
      <c r="B922" t="s">
        <v>50</v>
      </c>
      <c r="C922" t="s">
        <v>40</v>
      </c>
      <c r="D922">
        <v>41169.65</v>
      </c>
      <c r="E922">
        <v>5</v>
      </c>
      <c r="F922">
        <v>205848.25</v>
      </c>
      <c r="G922" s="1">
        <v>45641</v>
      </c>
      <c r="H922" t="s">
        <v>71</v>
      </c>
      <c r="I922">
        <v>2.7</v>
      </c>
      <c r="J922" t="s">
        <v>26</v>
      </c>
      <c r="K922">
        <v>2024</v>
      </c>
      <c r="L922">
        <v>41169.65</v>
      </c>
      <c r="M922">
        <v>17</v>
      </c>
      <c r="N922" t="s">
        <v>27</v>
      </c>
      <c r="O922" t="s">
        <v>33</v>
      </c>
    </row>
    <row r="923" spans="1:15" x14ac:dyDescent="0.3">
      <c r="A923" t="s">
        <v>991</v>
      </c>
      <c r="B923" t="s">
        <v>96</v>
      </c>
      <c r="C923" t="s">
        <v>36</v>
      </c>
      <c r="D923">
        <v>21472.14</v>
      </c>
      <c r="E923">
        <v>2</v>
      </c>
      <c r="F923">
        <v>42944.28</v>
      </c>
      <c r="G923" s="1">
        <v>45543</v>
      </c>
      <c r="H923" t="s">
        <v>18</v>
      </c>
      <c r="I923">
        <v>3.4</v>
      </c>
      <c r="J923" t="s">
        <v>19</v>
      </c>
      <c r="K923">
        <v>2024</v>
      </c>
      <c r="L923">
        <v>8588.8559999999998</v>
      </c>
      <c r="M923">
        <v>15</v>
      </c>
      <c r="N923" t="s">
        <v>20</v>
      </c>
      <c r="O923" t="s">
        <v>33</v>
      </c>
    </row>
    <row r="924" spans="1:15" x14ac:dyDescent="0.3">
      <c r="A924" t="s">
        <v>992</v>
      </c>
      <c r="B924" t="s">
        <v>70</v>
      </c>
      <c r="C924" t="s">
        <v>17</v>
      </c>
      <c r="D924">
        <v>7936.7</v>
      </c>
      <c r="E924">
        <v>5</v>
      </c>
      <c r="F924">
        <v>39683.5</v>
      </c>
      <c r="G924" s="1">
        <v>45636</v>
      </c>
      <c r="H924" t="s">
        <v>18</v>
      </c>
      <c r="I924">
        <v>3.1</v>
      </c>
      <c r="J924" t="s">
        <v>26</v>
      </c>
      <c r="K924">
        <v>2024</v>
      </c>
      <c r="L924">
        <v>7936.7000000000007</v>
      </c>
      <c r="M924">
        <v>15</v>
      </c>
      <c r="N924" t="s">
        <v>41</v>
      </c>
      <c r="O924" t="s">
        <v>68</v>
      </c>
    </row>
    <row r="925" spans="1:15" x14ac:dyDescent="0.3">
      <c r="A925" t="s">
        <v>993</v>
      </c>
      <c r="B925" t="s">
        <v>52</v>
      </c>
      <c r="C925" t="s">
        <v>24</v>
      </c>
      <c r="D925">
        <v>23939.919999999998</v>
      </c>
      <c r="E925">
        <v>3</v>
      </c>
      <c r="F925">
        <v>71819.759999999995</v>
      </c>
      <c r="G925" s="1">
        <v>45636</v>
      </c>
      <c r="H925" t="s">
        <v>80</v>
      </c>
      <c r="I925">
        <v>2.1</v>
      </c>
      <c r="J925" t="s">
        <v>26</v>
      </c>
      <c r="K925">
        <v>2024</v>
      </c>
      <c r="L925">
        <v>14363.951999999999</v>
      </c>
      <c r="M925">
        <v>20</v>
      </c>
      <c r="N925" t="s">
        <v>41</v>
      </c>
      <c r="O925" t="s">
        <v>28</v>
      </c>
    </row>
    <row r="926" spans="1:15" x14ac:dyDescent="0.3">
      <c r="A926" t="s">
        <v>994</v>
      </c>
      <c r="B926" t="s">
        <v>23</v>
      </c>
      <c r="C926" t="s">
        <v>24</v>
      </c>
      <c r="D926">
        <v>47480.71</v>
      </c>
      <c r="E926">
        <v>5</v>
      </c>
      <c r="F926">
        <v>237403.55</v>
      </c>
      <c r="G926" s="1">
        <v>45544</v>
      </c>
      <c r="H926" t="s">
        <v>25</v>
      </c>
      <c r="I926">
        <v>3.1</v>
      </c>
      <c r="J926" t="s">
        <v>19</v>
      </c>
      <c r="K926">
        <v>2024</v>
      </c>
      <c r="L926">
        <v>47480.71</v>
      </c>
      <c r="M926">
        <v>15</v>
      </c>
      <c r="N926" t="s">
        <v>20</v>
      </c>
      <c r="O926" t="s">
        <v>33</v>
      </c>
    </row>
    <row r="927" spans="1:15" x14ac:dyDescent="0.3">
      <c r="A927" t="s">
        <v>995</v>
      </c>
      <c r="B927" t="s">
        <v>145</v>
      </c>
      <c r="C927" t="s">
        <v>40</v>
      </c>
      <c r="D927">
        <v>8058.4</v>
      </c>
      <c r="E927">
        <v>3</v>
      </c>
      <c r="F927">
        <v>24175.200000000001</v>
      </c>
      <c r="G927" s="1">
        <v>45624</v>
      </c>
      <c r="H927" t="s">
        <v>80</v>
      </c>
      <c r="I927">
        <v>2.9</v>
      </c>
      <c r="J927" t="s">
        <v>37</v>
      </c>
      <c r="K927">
        <v>2024</v>
      </c>
      <c r="L927">
        <v>4835.04</v>
      </c>
      <c r="M927">
        <v>23</v>
      </c>
      <c r="N927" t="s">
        <v>20</v>
      </c>
      <c r="O927" t="s">
        <v>33</v>
      </c>
    </row>
    <row r="928" spans="1:15" x14ac:dyDescent="0.3">
      <c r="A928" t="s">
        <v>996</v>
      </c>
      <c r="B928" t="s">
        <v>100</v>
      </c>
      <c r="C928" t="s">
        <v>31</v>
      </c>
      <c r="D928">
        <v>32369.52</v>
      </c>
      <c r="E928">
        <v>2</v>
      </c>
      <c r="F928">
        <v>64739.040000000001</v>
      </c>
      <c r="G928" s="1">
        <v>45684</v>
      </c>
      <c r="H928" t="s">
        <v>18</v>
      </c>
      <c r="I928">
        <v>2.7</v>
      </c>
      <c r="J928" t="s">
        <v>53</v>
      </c>
      <c r="K928">
        <v>2025</v>
      </c>
      <c r="L928">
        <v>12947.808000000001</v>
      </c>
      <c r="M928">
        <v>19</v>
      </c>
      <c r="N928" t="s">
        <v>41</v>
      </c>
      <c r="O928" t="s">
        <v>68</v>
      </c>
    </row>
    <row r="929" spans="1:15" x14ac:dyDescent="0.3">
      <c r="A929" t="s">
        <v>997</v>
      </c>
      <c r="B929" t="s">
        <v>23</v>
      </c>
      <c r="C929" t="s">
        <v>24</v>
      </c>
      <c r="D929">
        <v>29604.77</v>
      </c>
      <c r="E929">
        <v>4</v>
      </c>
      <c r="F929">
        <v>118419.08</v>
      </c>
      <c r="G929" s="1">
        <v>45418</v>
      </c>
      <c r="H929" t="s">
        <v>44</v>
      </c>
      <c r="I929">
        <v>3.7</v>
      </c>
      <c r="J929" t="s">
        <v>32</v>
      </c>
      <c r="K929">
        <v>2024</v>
      </c>
      <c r="L929">
        <v>23683.816000000003</v>
      </c>
      <c r="M929">
        <v>29</v>
      </c>
      <c r="N929" t="s">
        <v>27</v>
      </c>
      <c r="O929" t="s">
        <v>28</v>
      </c>
    </row>
    <row r="930" spans="1:15" x14ac:dyDescent="0.3">
      <c r="A930" t="s">
        <v>998</v>
      </c>
      <c r="B930" t="s">
        <v>52</v>
      </c>
      <c r="C930" t="s">
        <v>24</v>
      </c>
      <c r="D930">
        <v>19927.72</v>
      </c>
      <c r="E930">
        <v>2</v>
      </c>
      <c r="F930">
        <v>39855.440000000002</v>
      </c>
      <c r="G930" s="1">
        <v>45450</v>
      </c>
      <c r="H930" t="s">
        <v>71</v>
      </c>
      <c r="I930">
        <v>3.7</v>
      </c>
      <c r="J930" t="s">
        <v>67</v>
      </c>
      <c r="K930">
        <v>2024</v>
      </c>
      <c r="L930">
        <v>7971.0880000000006</v>
      </c>
      <c r="M930">
        <v>27</v>
      </c>
      <c r="N930" t="s">
        <v>27</v>
      </c>
      <c r="O930" t="s">
        <v>33</v>
      </c>
    </row>
    <row r="931" spans="1:15" x14ac:dyDescent="0.3">
      <c r="A931" t="s">
        <v>999</v>
      </c>
      <c r="B931" t="s">
        <v>70</v>
      </c>
      <c r="C931" t="s">
        <v>17</v>
      </c>
      <c r="D931">
        <v>42170.48</v>
      </c>
      <c r="E931">
        <v>1</v>
      </c>
      <c r="F931">
        <v>42170.48</v>
      </c>
      <c r="G931" s="1">
        <v>45594</v>
      </c>
      <c r="H931" t="s">
        <v>25</v>
      </c>
      <c r="I931">
        <v>4.4000000000000004</v>
      </c>
      <c r="J931" t="s">
        <v>45</v>
      </c>
      <c r="K931">
        <v>2024</v>
      </c>
      <c r="L931">
        <v>8434.0960000000014</v>
      </c>
      <c r="M931">
        <v>27</v>
      </c>
      <c r="N931" t="s">
        <v>20</v>
      </c>
      <c r="O931" t="s">
        <v>68</v>
      </c>
    </row>
    <row r="932" spans="1:15" x14ac:dyDescent="0.3">
      <c r="A932" t="s">
        <v>1000</v>
      </c>
      <c r="B932" t="s">
        <v>176</v>
      </c>
      <c r="C932" t="s">
        <v>24</v>
      </c>
      <c r="D932">
        <v>15950.41</v>
      </c>
      <c r="E932">
        <v>5</v>
      </c>
      <c r="F932">
        <v>79752.05</v>
      </c>
      <c r="G932" s="1">
        <v>45632</v>
      </c>
      <c r="H932" t="s">
        <v>64</v>
      </c>
      <c r="I932">
        <v>1.5</v>
      </c>
      <c r="J932" t="s">
        <v>26</v>
      </c>
      <c r="K932">
        <v>2024</v>
      </c>
      <c r="L932">
        <v>15950.410000000002</v>
      </c>
      <c r="M932">
        <v>20</v>
      </c>
      <c r="N932" t="s">
        <v>27</v>
      </c>
      <c r="O932" t="s">
        <v>33</v>
      </c>
    </row>
    <row r="933" spans="1:15" x14ac:dyDescent="0.3">
      <c r="A933" t="s">
        <v>1001</v>
      </c>
      <c r="B933" t="s">
        <v>118</v>
      </c>
      <c r="C933" t="s">
        <v>17</v>
      </c>
      <c r="D933">
        <v>791.45</v>
      </c>
      <c r="E933">
        <v>4</v>
      </c>
      <c r="F933">
        <v>3165.8</v>
      </c>
      <c r="G933" s="1">
        <v>45372</v>
      </c>
      <c r="H933" t="s">
        <v>71</v>
      </c>
      <c r="I933">
        <v>1.2</v>
      </c>
      <c r="J933" t="s">
        <v>56</v>
      </c>
      <c r="K933">
        <v>2024</v>
      </c>
      <c r="L933">
        <v>633.16000000000008</v>
      </c>
      <c r="M933">
        <v>15</v>
      </c>
      <c r="N933" t="s">
        <v>41</v>
      </c>
      <c r="O933" t="s">
        <v>21</v>
      </c>
    </row>
    <row r="934" spans="1:15" x14ac:dyDescent="0.3">
      <c r="A934" t="s">
        <v>1002</v>
      </c>
      <c r="B934" t="s">
        <v>23</v>
      </c>
      <c r="C934" t="s">
        <v>24</v>
      </c>
      <c r="D934">
        <v>28534.99</v>
      </c>
      <c r="E934">
        <v>3</v>
      </c>
      <c r="F934">
        <v>85604.97</v>
      </c>
      <c r="G934" s="1">
        <v>45519</v>
      </c>
      <c r="H934" t="s">
        <v>80</v>
      </c>
      <c r="I934">
        <v>1.8</v>
      </c>
      <c r="J934" t="s">
        <v>88</v>
      </c>
      <c r="K934">
        <v>2024</v>
      </c>
      <c r="L934">
        <v>17120.994000000002</v>
      </c>
      <c r="M934">
        <v>26</v>
      </c>
      <c r="N934" t="s">
        <v>20</v>
      </c>
      <c r="O934" t="s">
        <v>68</v>
      </c>
    </row>
    <row r="935" spans="1:15" x14ac:dyDescent="0.3">
      <c r="A935" t="s">
        <v>1003</v>
      </c>
      <c r="B935" t="s">
        <v>43</v>
      </c>
      <c r="C935" t="s">
        <v>40</v>
      </c>
      <c r="D935">
        <v>13371.43</v>
      </c>
      <c r="E935">
        <v>4</v>
      </c>
      <c r="F935">
        <v>53485.72</v>
      </c>
      <c r="G935" s="1">
        <v>45449</v>
      </c>
      <c r="H935" t="s">
        <v>80</v>
      </c>
      <c r="I935">
        <v>1.2</v>
      </c>
      <c r="J935" t="s">
        <v>67</v>
      </c>
      <c r="K935">
        <v>2024</v>
      </c>
      <c r="L935">
        <v>10697.144</v>
      </c>
      <c r="M935">
        <v>20</v>
      </c>
      <c r="N935" t="s">
        <v>41</v>
      </c>
      <c r="O935" t="s">
        <v>28</v>
      </c>
    </row>
    <row r="936" spans="1:15" x14ac:dyDescent="0.3">
      <c r="A936" t="s">
        <v>1004</v>
      </c>
      <c r="B936" t="s">
        <v>96</v>
      </c>
      <c r="C936" t="s">
        <v>36</v>
      </c>
      <c r="D936">
        <v>48073.8</v>
      </c>
      <c r="E936">
        <v>4</v>
      </c>
      <c r="F936">
        <v>192295.2</v>
      </c>
      <c r="G936" s="1">
        <v>45568</v>
      </c>
      <c r="H936" t="s">
        <v>71</v>
      </c>
      <c r="I936">
        <v>4.0999999999999996</v>
      </c>
      <c r="J936" t="s">
        <v>45</v>
      </c>
      <c r="K936">
        <v>2024</v>
      </c>
      <c r="L936">
        <v>38459.040000000001</v>
      </c>
      <c r="M936">
        <v>12</v>
      </c>
      <c r="N936" t="s">
        <v>41</v>
      </c>
      <c r="O936" t="s">
        <v>28</v>
      </c>
    </row>
    <row r="937" spans="1:15" x14ac:dyDescent="0.3">
      <c r="A937" t="s">
        <v>1005</v>
      </c>
      <c r="B937" t="s">
        <v>118</v>
      </c>
      <c r="C937" t="s">
        <v>17</v>
      </c>
      <c r="D937">
        <v>15240.16</v>
      </c>
      <c r="E937">
        <v>5</v>
      </c>
      <c r="F937">
        <v>76200.800000000003</v>
      </c>
      <c r="G937" s="1">
        <v>45457</v>
      </c>
      <c r="H937" t="s">
        <v>80</v>
      </c>
      <c r="I937">
        <v>3.6</v>
      </c>
      <c r="J937" t="s">
        <v>67</v>
      </c>
      <c r="K937">
        <v>2024</v>
      </c>
      <c r="L937">
        <v>15240.160000000002</v>
      </c>
      <c r="M937">
        <v>8</v>
      </c>
      <c r="N937" t="s">
        <v>27</v>
      </c>
      <c r="O937" t="s">
        <v>28</v>
      </c>
    </row>
    <row r="938" spans="1:15" x14ac:dyDescent="0.3">
      <c r="A938" t="s">
        <v>1006</v>
      </c>
      <c r="B938" t="s">
        <v>70</v>
      </c>
      <c r="C938" t="s">
        <v>17</v>
      </c>
      <c r="D938">
        <v>11216.38</v>
      </c>
      <c r="E938">
        <v>5</v>
      </c>
      <c r="F938">
        <v>56081.9</v>
      </c>
      <c r="G938" s="1">
        <v>45362</v>
      </c>
      <c r="H938" t="s">
        <v>64</v>
      </c>
      <c r="I938">
        <v>2.8</v>
      </c>
      <c r="J938" t="s">
        <v>56</v>
      </c>
      <c r="K938">
        <v>2024</v>
      </c>
      <c r="L938">
        <v>11216.380000000001</v>
      </c>
      <c r="M938">
        <v>12</v>
      </c>
      <c r="N938" t="s">
        <v>20</v>
      </c>
      <c r="O938" t="s">
        <v>28</v>
      </c>
    </row>
    <row r="939" spans="1:15" x14ac:dyDescent="0.3">
      <c r="A939" t="s">
        <v>1007</v>
      </c>
      <c r="B939" t="s">
        <v>118</v>
      </c>
      <c r="C939" t="s">
        <v>17</v>
      </c>
      <c r="D939">
        <v>540.63</v>
      </c>
      <c r="E939">
        <v>3</v>
      </c>
      <c r="F939">
        <v>1621.89</v>
      </c>
      <c r="G939" s="1">
        <v>45394</v>
      </c>
      <c r="H939" t="s">
        <v>64</v>
      </c>
      <c r="I939">
        <v>3.5</v>
      </c>
      <c r="J939" t="s">
        <v>62</v>
      </c>
      <c r="K939">
        <v>2024</v>
      </c>
      <c r="L939">
        <v>324.37800000000004</v>
      </c>
      <c r="M939">
        <v>8</v>
      </c>
      <c r="N939" t="s">
        <v>20</v>
      </c>
      <c r="O939" t="s">
        <v>33</v>
      </c>
    </row>
    <row r="940" spans="1:15" x14ac:dyDescent="0.3">
      <c r="A940" t="s">
        <v>1008</v>
      </c>
      <c r="B940" t="s">
        <v>35</v>
      </c>
      <c r="C940" t="s">
        <v>36</v>
      </c>
      <c r="D940">
        <v>19845.72</v>
      </c>
      <c r="E940">
        <v>3</v>
      </c>
      <c r="F940">
        <v>59537.16</v>
      </c>
      <c r="G940" s="1">
        <v>45420</v>
      </c>
      <c r="H940" t="s">
        <v>64</v>
      </c>
      <c r="I940">
        <v>4</v>
      </c>
      <c r="J940" t="s">
        <v>32</v>
      </c>
      <c r="K940">
        <v>2024</v>
      </c>
      <c r="L940">
        <v>11907.432000000001</v>
      </c>
      <c r="M940">
        <v>28</v>
      </c>
      <c r="N940" t="s">
        <v>27</v>
      </c>
      <c r="O940" t="s">
        <v>33</v>
      </c>
    </row>
    <row r="941" spans="1:15" x14ac:dyDescent="0.3">
      <c r="A941" t="s">
        <v>1009</v>
      </c>
      <c r="B941" t="s">
        <v>52</v>
      </c>
      <c r="C941" t="s">
        <v>24</v>
      </c>
      <c r="D941">
        <v>31486.57</v>
      </c>
      <c r="E941">
        <v>1</v>
      </c>
      <c r="F941">
        <v>31486.57</v>
      </c>
      <c r="G941" s="1">
        <v>45520</v>
      </c>
      <c r="H941" t="s">
        <v>44</v>
      </c>
      <c r="I941">
        <v>3</v>
      </c>
      <c r="J941" t="s">
        <v>88</v>
      </c>
      <c r="K941">
        <v>2024</v>
      </c>
      <c r="L941">
        <v>6297.3140000000003</v>
      </c>
      <c r="M941">
        <v>29</v>
      </c>
      <c r="N941" t="s">
        <v>41</v>
      </c>
      <c r="O941" t="s">
        <v>28</v>
      </c>
    </row>
    <row r="942" spans="1:15" x14ac:dyDescent="0.3">
      <c r="A942" t="s">
        <v>1010</v>
      </c>
      <c r="B942" t="s">
        <v>35</v>
      </c>
      <c r="C942" t="s">
        <v>36</v>
      </c>
      <c r="D942">
        <v>47899.72</v>
      </c>
      <c r="E942">
        <v>2</v>
      </c>
      <c r="F942">
        <v>95799.44</v>
      </c>
      <c r="G942" s="1">
        <v>45483</v>
      </c>
      <c r="H942" t="s">
        <v>64</v>
      </c>
      <c r="I942">
        <v>4</v>
      </c>
      <c r="J942" t="s">
        <v>48</v>
      </c>
      <c r="K942">
        <v>2024</v>
      </c>
      <c r="L942">
        <v>19159.888000000003</v>
      </c>
      <c r="M942">
        <v>7</v>
      </c>
      <c r="N942" t="s">
        <v>41</v>
      </c>
      <c r="O942" t="s">
        <v>28</v>
      </c>
    </row>
    <row r="943" spans="1:15" x14ac:dyDescent="0.3">
      <c r="A943" t="s">
        <v>1011</v>
      </c>
      <c r="B943" t="s">
        <v>16</v>
      </c>
      <c r="C943" t="s">
        <v>17</v>
      </c>
      <c r="D943">
        <v>39842.15</v>
      </c>
      <c r="E943">
        <v>5</v>
      </c>
      <c r="F943">
        <v>199210.75</v>
      </c>
      <c r="G943" s="1">
        <v>45674</v>
      </c>
      <c r="H943" t="s">
        <v>18</v>
      </c>
      <c r="I943">
        <v>4.8</v>
      </c>
      <c r="J943" t="s">
        <v>53</v>
      </c>
      <c r="K943">
        <v>2025</v>
      </c>
      <c r="L943">
        <v>39842.15</v>
      </c>
      <c r="M943">
        <v>7</v>
      </c>
      <c r="N943" t="s">
        <v>41</v>
      </c>
      <c r="O943" t="s">
        <v>28</v>
      </c>
    </row>
    <row r="944" spans="1:15" x14ac:dyDescent="0.3">
      <c r="A944" t="s">
        <v>1012</v>
      </c>
      <c r="B944" t="s">
        <v>47</v>
      </c>
      <c r="C944" t="s">
        <v>24</v>
      </c>
      <c r="D944">
        <v>46101.14</v>
      </c>
      <c r="E944">
        <v>2</v>
      </c>
      <c r="F944">
        <v>92202.28</v>
      </c>
      <c r="G944" s="1">
        <v>45352</v>
      </c>
      <c r="H944" t="s">
        <v>80</v>
      </c>
      <c r="I944">
        <v>4</v>
      </c>
      <c r="J944" t="s">
        <v>56</v>
      </c>
      <c r="K944">
        <v>2024</v>
      </c>
      <c r="L944">
        <v>18440.456000000002</v>
      </c>
      <c r="M944">
        <v>22</v>
      </c>
      <c r="N944" t="s">
        <v>41</v>
      </c>
      <c r="O944" t="s">
        <v>33</v>
      </c>
    </row>
    <row r="945" spans="1:15" x14ac:dyDescent="0.3">
      <c r="A945" t="s">
        <v>1013</v>
      </c>
      <c r="B945" t="s">
        <v>118</v>
      </c>
      <c r="C945" t="s">
        <v>17</v>
      </c>
      <c r="D945">
        <v>46563.35</v>
      </c>
      <c r="E945">
        <v>5</v>
      </c>
      <c r="F945">
        <v>232816.75</v>
      </c>
      <c r="G945" s="1">
        <v>45420</v>
      </c>
      <c r="H945" t="s">
        <v>18</v>
      </c>
      <c r="I945">
        <v>1.2</v>
      </c>
      <c r="J945" t="s">
        <v>32</v>
      </c>
      <c r="K945">
        <v>2024</v>
      </c>
      <c r="L945">
        <v>46563.350000000006</v>
      </c>
      <c r="M945">
        <v>30</v>
      </c>
      <c r="N945" t="s">
        <v>20</v>
      </c>
      <c r="O945" t="s">
        <v>28</v>
      </c>
    </row>
    <row r="946" spans="1:15" x14ac:dyDescent="0.3">
      <c r="A946" t="s">
        <v>1014</v>
      </c>
      <c r="B946" t="s">
        <v>55</v>
      </c>
      <c r="C946" t="s">
        <v>36</v>
      </c>
      <c r="D946">
        <v>35922.639999999999</v>
      </c>
      <c r="E946">
        <v>4</v>
      </c>
      <c r="F946">
        <v>143690.56</v>
      </c>
      <c r="G946" s="1">
        <v>45339</v>
      </c>
      <c r="H946" t="s">
        <v>25</v>
      </c>
      <c r="I946">
        <v>3.1</v>
      </c>
      <c r="J946" t="s">
        <v>59</v>
      </c>
      <c r="K946">
        <v>2024</v>
      </c>
      <c r="L946">
        <v>28738.112000000001</v>
      </c>
      <c r="M946">
        <v>23</v>
      </c>
      <c r="N946" t="s">
        <v>20</v>
      </c>
      <c r="O946" t="s">
        <v>28</v>
      </c>
    </row>
    <row r="947" spans="1:15" x14ac:dyDescent="0.3">
      <c r="A947" t="s">
        <v>1015</v>
      </c>
      <c r="B947" t="s">
        <v>96</v>
      </c>
      <c r="C947" t="s">
        <v>36</v>
      </c>
      <c r="D947">
        <v>33745.33</v>
      </c>
      <c r="E947">
        <v>1</v>
      </c>
      <c r="F947">
        <v>33745.33</v>
      </c>
      <c r="G947" s="1">
        <v>45670</v>
      </c>
      <c r="H947" t="s">
        <v>64</v>
      </c>
      <c r="I947">
        <v>2.7</v>
      </c>
      <c r="J947" t="s">
        <v>53</v>
      </c>
      <c r="K947">
        <v>2025</v>
      </c>
      <c r="L947">
        <v>6749.0660000000007</v>
      </c>
      <c r="M947">
        <v>23</v>
      </c>
      <c r="N947" t="s">
        <v>27</v>
      </c>
      <c r="O947" t="s">
        <v>21</v>
      </c>
    </row>
    <row r="948" spans="1:15" x14ac:dyDescent="0.3">
      <c r="A948" t="s">
        <v>1016</v>
      </c>
      <c r="B948" t="s">
        <v>176</v>
      </c>
      <c r="C948" t="s">
        <v>24</v>
      </c>
      <c r="D948">
        <v>22870.53</v>
      </c>
      <c r="E948">
        <v>5</v>
      </c>
      <c r="F948">
        <v>114352.65</v>
      </c>
      <c r="G948" s="1">
        <v>45463</v>
      </c>
      <c r="H948" t="s">
        <v>64</v>
      </c>
      <c r="I948">
        <v>1.4</v>
      </c>
      <c r="J948" t="s">
        <v>67</v>
      </c>
      <c r="K948">
        <v>2024</v>
      </c>
      <c r="L948">
        <v>22870.53</v>
      </c>
      <c r="M948">
        <v>25</v>
      </c>
      <c r="N948" t="s">
        <v>27</v>
      </c>
      <c r="O948" t="s">
        <v>21</v>
      </c>
    </row>
    <row r="949" spans="1:15" x14ac:dyDescent="0.3">
      <c r="A949" t="s">
        <v>1017</v>
      </c>
      <c r="B949" t="s">
        <v>145</v>
      </c>
      <c r="C949" t="s">
        <v>40</v>
      </c>
      <c r="D949">
        <v>29715.31</v>
      </c>
      <c r="E949">
        <v>2</v>
      </c>
      <c r="F949">
        <v>59430.62</v>
      </c>
      <c r="G949" s="1">
        <v>45394</v>
      </c>
      <c r="H949" t="s">
        <v>64</v>
      </c>
      <c r="I949">
        <v>3.5</v>
      </c>
      <c r="J949" t="s">
        <v>62</v>
      </c>
      <c r="K949">
        <v>2024</v>
      </c>
      <c r="L949">
        <v>11886.124000000002</v>
      </c>
      <c r="M949">
        <v>9</v>
      </c>
      <c r="N949" t="s">
        <v>20</v>
      </c>
      <c r="O949" t="s">
        <v>28</v>
      </c>
    </row>
    <row r="950" spans="1:15" x14ac:dyDescent="0.3">
      <c r="A950" t="s">
        <v>1018</v>
      </c>
      <c r="B950" t="s">
        <v>23</v>
      </c>
      <c r="C950" t="s">
        <v>24</v>
      </c>
      <c r="D950">
        <v>15543.65</v>
      </c>
      <c r="E950">
        <v>4</v>
      </c>
      <c r="F950">
        <v>62174.6</v>
      </c>
      <c r="G950" s="1">
        <v>45443</v>
      </c>
      <c r="H950" t="s">
        <v>71</v>
      </c>
      <c r="I950">
        <v>2.7</v>
      </c>
      <c r="J950" t="s">
        <v>32</v>
      </c>
      <c r="K950">
        <v>2024</v>
      </c>
      <c r="L950">
        <v>12434.92</v>
      </c>
      <c r="M950">
        <v>22</v>
      </c>
      <c r="N950" t="s">
        <v>20</v>
      </c>
      <c r="O950" t="s">
        <v>68</v>
      </c>
    </row>
    <row r="951" spans="1:15" x14ac:dyDescent="0.3">
      <c r="A951" t="s">
        <v>1019</v>
      </c>
      <c r="B951" t="s">
        <v>66</v>
      </c>
      <c r="C951" t="s">
        <v>36</v>
      </c>
      <c r="D951">
        <v>8234.32</v>
      </c>
      <c r="E951">
        <v>2</v>
      </c>
      <c r="F951">
        <v>16468.64</v>
      </c>
      <c r="G951" s="1">
        <v>45445</v>
      </c>
      <c r="H951" t="s">
        <v>18</v>
      </c>
      <c r="I951">
        <v>1.9</v>
      </c>
      <c r="J951" t="s">
        <v>67</v>
      </c>
      <c r="K951">
        <v>2024</v>
      </c>
      <c r="L951">
        <v>3293.7280000000001</v>
      </c>
      <c r="M951">
        <v>14</v>
      </c>
      <c r="N951" t="s">
        <v>41</v>
      </c>
      <c r="O951" t="s">
        <v>28</v>
      </c>
    </row>
    <row r="952" spans="1:15" x14ac:dyDescent="0.3">
      <c r="A952" t="s">
        <v>1020</v>
      </c>
      <c r="B952" t="s">
        <v>78</v>
      </c>
      <c r="C952" t="s">
        <v>24</v>
      </c>
      <c r="D952">
        <v>959.63</v>
      </c>
      <c r="E952">
        <v>1</v>
      </c>
      <c r="F952">
        <v>959.63</v>
      </c>
      <c r="G952" s="1">
        <v>45617</v>
      </c>
      <c r="H952" t="s">
        <v>44</v>
      </c>
      <c r="I952">
        <v>1.6</v>
      </c>
      <c r="J952" t="s">
        <v>37</v>
      </c>
      <c r="K952">
        <v>2024</v>
      </c>
      <c r="L952">
        <v>191.92600000000002</v>
      </c>
      <c r="M952">
        <v>26</v>
      </c>
      <c r="N952" t="s">
        <v>41</v>
      </c>
      <c r="O952" t="s">
        <v>21</v>
      </c>
    </row>
    <row r="953" spans="1:15" x14ac:dyDescent="0.3">
      <c r="A953" t="s">
        <v>1021</v>
      </c>
      <c r="B953" t="s">
        <v>30</v>
      </c>
      <c r="C953" t="s">
        <v>31</v>
      </c>
      <c r="D953">
        <v>34969.69</v>
      </c>
      <c r="E953">
        <v>5</v>
      </c>
      <c r="F953">
        <v>174848.45</v>
      </c>
      <c r="G953" s="1">
        <v>45381</v>
      </c>
      <c r="H953" t="s">
        <v>80</v>
      </c>
      <c r="I953">
        <v>4</v>
      </c>
      <c r="J953" t="s">
        <v>56</v>
      </c>
      <c r="K953">
        <v>2024</v>
      </c>
      <c r="L953">
        <v>34969.69</v>
      </c>
      <c r="M953">
        <v>25</v>
      </c>
      <c r="N953" t="s">
        <v>27</v>
      </c>
      <c r="O953" t="s">
        <v>68</v>
      </c>
    </row>
    <row r="954" spans="1:15" x14ac:dyDescent="0.3">
      <c r="A954" t="s">
        <v>1022</v>
      </c>
      <c r="B954" t="s">
        <v>107</v>
      </c>
      <c r="C954" t="s">
        <v>36</v>
      </c>
      <c r="D954">
        <v>46553.58</v>
      </c>
      <c r="E954">
        <v>3</v>
      </c>
      <c r="F954">
        <v>139660.74</v>
      </c>
      <c r="G954" s="1">
        <v>45661</v>
      </c>
      <c r="H954" t="s">
        <v>64</v>
      </c>
      <c r="I954">
        <v>2.2999999999999998</v>
      </c>
      <c r="J954" t="s">
        <v>53</v>
      </c>
      <c r="K954">
        <v>2025</v>
      </c>
      <c r="L954">
        <v>27932.148000000001</v>
      </c>
      <c r="M954">
        <v>10</v>
      </c>
      <c r="N954" t="s">
        <v>20</v>
      </c>
      <c r="O954" t="s">
        <v>68</v>
      </c>
    </row>
    <row r="955" spans="1:15" x14ac:dyDescent="0.3">
      <c r="A955" t="s">
        <v>1023</v>
      </c>
      <c r="B955" t="s">
        <v>30</v>
      </c>
      <c r="C955" t="s">
        <v>31</v>
      </c>
      <c r="D955">
        <v>33472.93</v>
      </c>
      <c r="E955">
        <v>1</v>
      </c>
      <c r="F955">
        <v>33472.93</v>
      </c>
      <c r="G955" s="1">
        <v>45441</v>
      </c>
      <c r="H955" t="s">
        <v>71</v>
      </c>
      <c r="I955">
        <v>3.4</v>
      </c>
      <c r="J955" t="s">
        <v>32</v>
      </c>
      <c r="K955">
        <v>2024</v>
      </c>
      <c r="L955">
        <v>6694.5860000000002</v>
      </c>
      <c r="M955">
        <v>5</v>
      </c>
      <c r="N955" t="s">
        <v>27</v>
      </c>
      <c r="O955" t="s">
        <v>28</v>
      </c>
    </row>
    <row r="956" spans="1:15" x14ac:dyDescent="0.3">
      <c r="A956" t="s">
        <v>1024</v>
      </c>
      <c r="B956" t="s">
        <v>66</v>
      </c>
      <c r="C956" t="s">
        <v>36</v>
      </c>
      <c r="D956">
        <v>29781.11</v>
      </c>
      <c r="E956">
        <v>2</v>
      </c>
      <c r="F956">
        <v>59562.22</v>
      </c>
      <c r="G956" s="1">
        <v>45359</v>
      </c>
      <c r="H956" t="s">
        <v>18</v>
      </c>
      <c r="I956">
        <v>3.6</v>
      </c>
      <c r="J956" t="s">
        <v>56</v>
      </c>
      <c r="K956">
        <v>2024</v>
      </c>
      <c r="L956">
        <v>11912.444000000001</v>
      </c>
      <c r="M956">
        <v>9</v>
      </c>
      <c r="N956" t="s">
        <v>20</v>
      </c>
      <c r="O956" t="s">
        <v>21</v>
      </c>
    </row>
    <row r="957" spans="1:15" x14ac:dyDescent="0.3">
      <c r="A957" t="s">
        <v>1025</v>
      </c>
      <c r="B957" t="s">
        <v>39</v>
      </c>
      <c r="C957" t="s">
        <v>40</v>
      </c>
      <c r="D957">
        <v>30564.98</v>
      </c>
      <c r="E957">
        <v>3</v>
      </c>
      <c r="F957">
        <v>91694.94</v>
      </c>
      <c r="G957" s="1">
        <v>45487</v>
      </c>
      <c r="H957" t="s">
        <v>18</v>
      </c>
      <c r="I957">
        <v>3.8</v>
      </c>
      <c r="J957" t="s">
        <v>48</v>
      </c>
      <c r="K957">
        <v>2024</v>
      </c>
      <c r="L957">
        <v>18338.988000000001</v>
      </c>
      <c r="M957">
        <v>13</v>
      </c>
      <c r="N957" t="s">
        <v>41</v>
      </c>
      <c r="O957" t="s">
        <v>21</v>
      </c>
    </row>
    <row r="958" spans="1:15" x14ac:dyDescent="0.3">
      <c r="A958" t="s">
        <v>1026</v>
      </c>
      <c r="B958" t="s">
        <v>47</v>
      </c>
      <c r="C958" t="s">
        <v>24</v>
      </c>
      <c r="D958">
        <v>42407.519999999997</v>
      </c>
      <c r="E958">
        <v>2</v>
      </c>
      <c r="F958">
        <v>84815.039999999994</v>
      </c>
      <c r="G958" s="1">
        <v>45438</v>
      </c>
      <c r="H958" t="s">
        <v>18</v>
      </c>
      <c r="I958">
        <v>4.7</v>
      </c>
      <c r="J958" t="s">
        <v>32</v>
      </c>
      <c r="K958">
        <v>2024</v>
      </c>
      <c r="L958">
        <v>16963.007999999998</v>
      </c>
      <c r="M958">
        <v>16</v>
      </c>
      <c r="N958" t="s">
        <v>27</v>
      </c>
      <c r="O958" t="s">
        <v>68</v>
      </c>
    </row>
    <row r="959" spans="1:15" x14ac:dyDescent="0.3">
      <c r="A959" t="s">
        <v>1027</v>
      </c>
      <c r="B959" t="s">
        <v>118</v>
      </c>
      <c r="C959" t="s">
        <v>17</v>
      </c>
      <c r="D959">
        <v>10435.030000000001</v>
      </c>
      <c r="E959">
        <v>1</v>
      </c>
      <c r="F959">
        <v>10435.030000000001</v>
      </c>
      <c r="G959" s="1">
        <v>45558</v>
      </c>
      <c r="H959" t="s">
        <v>18</v>
      </c>
      <c r="I959">
        <v>3.1</v>
      </c>
      <c r="J959" t="s">
        <v>19</v>
      </c>
      <c r="K959">
        <v>2024</v>
      </c>
      <c r="L959">
        <v>2087.0060000000003</v>
      </c>
      <c r="M959">
        <v>30</v>
      </c>
      <c r="N959" t="s">
        <v>27</v>
      </c>
      <c r="O959" t="s">
        <v>28</v>
      </c>
    </row>
    <row r="960" spans="1:15" x14ac:dyDescent="0.3">
      <c r="A960" t="s">
        <v>1028</v>
      </c>
      <c r="B960" t="s">
        <v>107</v>
      </c>
      <c r="C960" t="s">
        <v>36</v>
      </c>
      <c r="D960">
        <v>35278.46</v>
      </c>
      <c r="E960">
        <v>3</v>
      </c>
      <c r="F960">
        <v>105835.38</v>
      </c>
      <c r="G960" s="1">
        <v>45531</v>
      </c>
      <c r="H960" t="s">
        <v>64</v>
      </c>
      <c r="I960">
        <v>1.2</v>
      </c>
      <c r="J960" t="s">
        <v>88</v>
      </c>
      <c r="K960">
        <v>2024</v>
      </c>
      <c r="L960">
        <v>21167.076000000001</v>
      </c>
      <c r="M960">
        <v>18</v>
      </c>
      <c r="N960" t="s">
        <v>20</v>
      </c>
      <c r="O960" t="s">
        <v>33</v>
      </c>
    </row>
    <row r="961" spans="1:15" x14ac:dyDescent="0.3">
      <c r="A961" t="s">
        <v>1029</v>
      </c>
      <c r="B961" t="s">
        <v>66</v>
      </c>
      <c r="C961" t="s">
        <v>36</v>
      </c>
      <c r="D961">
        <v>34844.54</v>
      </c>
      <c r="E961">
        <v>3</v>
      </c>
      <c r="F961">
        <v>104533.62</v>
      </c>
      <c r="G961" s="1">
        <v>45561</v>
      </c>
      <c r="H961" t="s">
        <v>71</v>
      </c>
      <c r="I961">
        <v>4.8</v>
      </c>
      <c r="J961" t="s">
        <v>19</v>
      </c>
      <c r="K961">
        <v>2024</v>
      </c>
      <c r="L961">
        <v>20906.724000000002</v>
      </c>
      <c r="M961">
        <v>6</v>
      </c>
      <c r="N961" t="s">
        <v>41</v>
      </c>
      <c r="O961" t="s">
        <v>33</v>
      </c>
    </row>
    <row r="962" spans="1:15" x14ac:dyDescent="0.3">
      <c r="A962" t="s">
        <v>1030</v>
      </c>
      <c r="B962" t="s">
        <v>70</v>
      </c>
      <c r="C962" t="s">
        <v>17</v>
      </c>
      <c r="D962">
        <v>31159.759999999998</v>
      </c>
      <c r="E962">
        <v>5</v>
      </c>
      <c r="F962">
        <v>155798.79999999999</v>
      </c>
      <c r="G962" s="1">
        <v>45682</v>
      </c>
      <c r="H962" t="s">
        <v>44</v>
      </c>
      <c r="I962">
        <v>1.1000000000000001</v>
      </c>
      <c r="J962" t="s">
        <v>53</v>
      </c>
      <c r="K962">
        <v>2025</v>
      </c>
      <c r="L962">
        <v>31159.759999999998</v>
      </c>
      <c r="M962">
        <v>21</v>
      </c>
      <c r="N962" t="s">
        <v>27</v>
      </c>
      <c r="O962" t="s">
        <v>21</v>
      </c>
    </row>
    <row r="963" spans="1:15" x14ac:dyDescent="0.3">
      <c r="A963" t="s">
        <v>1031</v>
      </c>
      <c r="B963" t="s">
        <v>176</v>
      </c>
      <c r="C963" t="s">
        <v>24</v>
      </c>
      <c r="D963">
        <v>27369.17</v>
      </c>
      <c r="E963">
        <v>4</v>
      </c>
      <c r="F963">
        <v>109476.68</v>
      </c>
      <c r="G963" s="1">
        <v>45546</v>
      </c>
      <c r="H963" t="s">
        <v>25</v>
      </c>
      <c r="I963">
        <v>3.5</v>
      </c>
      <c r="J963" t="s">
        <v>19</v>
      </c>
      <c r="K963">
        <v>2024</v>
      </c>
      <c r="L963">
        <v>21895.335999999999</v>
      </c>
      <c r="M963">
        <v>18</v>
      </c>
      <c r="N963" t="s">
        <v>41</v>
      </c>
      <c r="O963" t="s">
        <v>33</v>
      </c>
    </row>
    <row r="964" spans="1:15" x14ac:dyDescent="0.3">
      <c r="A964" t="s">
        <v>1032</v>
      </c>
      <c r="B964" t="s">
        <v>61</v>
      </c>
      <c r="C964" t="s">
        <v>31</v>
      </c>
      <c r="D964">
        <v>47055.28</v>
      </c>
      <c r="E964">
        <v>1</v>
      </c>
      <c r="F964">
        <v>47055.28</v>
      </c>
      <c r="G964" s="1">
        <v>45459</v>
      </c>
      <c r="H964" t="s">
        <v>71</v>
      </c>
      <c r="I964">
        <v>3</v>
      </c>
      <c r="J964" t="s">
        <v>67</v>
      </c>
      <c r="K964">
        <v>2024</v>
      </c>
      <c r="L964">
        <v>9411.0560000000005</v>
      </c>
      <c r="M964">
        <v>30</v>
      </c>
      <c r="N964" t="s">
        <v>27</v>
      </c>
      <c r="O964" t="s">
        <v>21</v>
      </c>
    </row>
    <row r="965" spans="1:15" x14ac:dyDescent="0.3">
      <c r="A965" t="s">
        <v>1033</v>
      </c>
      <c r="B965" t="s">
        <v>96</v>
      </c>
      <c r="C965" t="s">
        <v>36</v>
      </c>
      <c r="D965">
        <v>30706.15</v>
      </c>
      <c r="E965">
        <v>4</v>
      </c>
      <c r="F965">
        <v>122824.6</v>
      </c>
      <c r="G965" s="1">
        <v>45510</v>
      </c>
      <c r="H965" t="s">
        <v>25</v>
      </c>
      <c r="I965">
        <v>2.9</v>
      </c>
      <c r="J965" t="s">
        <v>88</v>
      </c>
      <c r="K965">
        <v>2024</v>
      </c>
      <c r="L965">
        <v>24564.920000000002</v>
      </c>
      <c r="M965">
        <v>17</v>
      </c>
      <c r="N965" t="s">
        <v>41</v>
      </c>
      <c r="O965" t="s">
        <v>21</v>
      </c>
    </row>
    <row r="966" spans="1:15" x14ac:dyDescent="0.3">
      <c r="A966" t="s">
        <v>1034</v>
      </c>
      <c r="B966" t="s">
        <v>94</v>
      </c>
      <c r="C966" t="s">
        <v>31</v>
      </c>
      <c r="D966">
        <v>659.73</v>
      </c>
      <c r="E966">
        <v>4</v>
      </c>
      <c r="F966">
        <v>2638.92</v>
      </c>
      <c r="G966" s="1">
        <v>45634</v>
      </c>
      <c r="H966" t="s">
        <v>25</v>
      </c>
      <c r="I966">
        <v>3.5</v>
      </c>
      <c r="J966" t="s">
        <v>26</v>
      </c>
      <c r="K966">
        <v>2024</v>
      </c>
      <c r="L966">
        <v>527.78399999999999</v>
      </c>
      <c r="M966">
        <v>13</v>
      </c>
      <c r="N966" t="s">
        <v>20</v>
      </c>
      <c r="O966" t="s">
        <v>21</v>
      </c>
    </row>
    <row r="967" spans="1:15" x14ac:dyDescent="0.3">
      <c r="A967" t="s">
        <v>1035</v>
      </c>
      <c r="B967" t="s">
        <v>58</v>
      </c>
      <c r="C967" t="s">
        <v>31</v>
      </c>
      <c r="D967">
        <v>14341.13</v>
      </c>
      <c r="E967">
        <v>4</v>
      </c>
      <c r="F967">
        <v>57364.52</v>
      </c>
      <c r="G967" s="1">
        <v>45471</v>
      </c>
      <c r="H967" t="s">
        <v>71</v>
      </c>
      <c r="I967">
        <v>1.5</v>
      </c>
      <c r="J967" t="s">
        <v>67</v>
      </c>
      <c r="K967">
        <v>2024</v>
      </c>
      <c r="L967">
        <v>11472.904</v>
      </c>
      <c r="M967">
        <v>30</v>
      </c>
      <c r="N967" t="s">
        <v>27</v>
      </c>
      <c r="O967" t="s">
        <v>33</v>
      </c>
    </row>
    <row r="968" spans="1:15" x14ac:dyDescent="0.3">
      <c r="A968" t="s">
        <v>1036</v>
      </c>
      <c r="B968" t="s">
        <v>16</v>
      </c>
      <c r="C968" t="s">
        <v>17</v>
      </c>
      <c r="D968">
        <v>22923.93</v>
      </c>
      <c r="E968">
        <v>4</v>
      </c>
      <c r="F968">
        <v>91695.72</v>
      </c>
      <c r="G968" s="1">
        <v>45636</v>
      </c>
      <c r="H968" t="s">
        <v>64</v>
      </c>
      <c r="I968">
        <v>2.7</v>
      </c>
      <c r="J968" t="s">
        <v>26</v>
      </c>
      <c r="K968">
        <v>2024</v>
      </c>
      <c r="L968">
        <v>18339.144</v>
      </c>
      <c r="M968">
        <v>29</v>
      </c>
      <c r="N968" t="s">
        <v>27</v>
      </c>
      <c r="O968" t="s">
        <v>21</v>
      </c>
    </row>
    <row r="969" spans="1:15" x14ac:dyDescent="0.3">
      <c r="A969" t="s">
        <v>1037</v>
      </c>
      <c r="B969" t="s">
        <v>50</v>
      </c>
      <c r="C969" t="s">
        <v>40</v>
      </c>
      <c r="D969">
        <v>20766.47</v>
      </c>
      <c r="E969">
        <v>2</v>
      </c>
      <c r="F969">
        <v>41532.94</v>
      </c>
      <c r="G969" s="1">
        <v>45405</v>
      </c>
      <c r="H969" t="s">
        <v>64</v>
      </c>
      <c r="I969">
        <v>1.8</v>
      </c>
      <c r="J969" t="s">
        <v>62</v>
      </c>
      <c r="K969">
        <v>2024</v>
      </c>
      <c r="L969">
        <v>8306.5880000000016</v>
      </c>
      <c r="M969">
        <v>19</v>
      </c>
      <c r="N969" t="s">
        <v>41</v>
      </c>
      <c r="O969" t="s">
        <v>68</v>
      </c>
    </row>
    <row r="970" spans="1:15" x14ac:dyDescent="0.3">
      <c r="A970" t="s">
        <v>1038</v>
      </c>
      <c r="B970" t="s">
        <v>96</v>
      </c>
      <c r="C970" t="s">
        <v>36</v>
      </c>
      <c r="D970">
        <v>36615.730000000003</v>
      </c>
      <c r="E970">
        <v>5</v>
      </c>
      <c r="F970">
        <v>183078.65</v>
      </c>
      <c r="G970" s="1">
        <v>45392</v>
      </c>
      <c r="H970" t="s">
        <v>80</v>
      </c>
      <c r="I970">
        <v>2</v>
      </c>
      <c r="J970" t="s">
        <v>62</v>
      </c>
      <c r="K970">
        <v>2024</v>
      </c>
      <c r="L970">
        <v>36615.730000000003</v>
      </c>
      <c r="M970">
        <v>29</v>
      </c>
      <c r="N970" t="s">
        <v>41</v>
      </c>
      <c r="O970" t="s">
        <v>28</v>
      </c>
    </row>
    <row r="971" spans="1:15" x14ac:dyDescent="0.3">
      <c r="A971" t="s">
        <v>1039</v>
      </c>
      <c r="B971" t="s">
        <v>78</v>
      </c>
      <c r="C971" t="s">
        <v>24</v>
      </c>
      <c r="D971">
        <v>879.25</v>
      </c>
      <c r="E971">
        <v>4</v>
      </c>
      <c r="F971">
        <v>3517</v>
      </c>
      <c r="G971" s="1">
        <v>45542</v>
      </c>
      <c r="H971" t="s">
        <v>44</v>
      </c>
      <c r="I971">
        <v>4.9000000000000004</v>
      </c>
      <c r="J971" t="s">
        <v>19</v>
      </c>
      <c r="K971">
        <v>2024</v>
      </c>
      <c r="L971">
        <v>703.40000000000009</v>
      </c>
      <c r="M971">
        <v>26</v>
      </c>
      <c r="N971" t="s">
        <v>27</v>
      </c>
      <c r="O971" t="s">
        <v>28</v>
      </c>
    </row>
    <row r="972" spans="1:15" x14ac:dyDescent="0.3">
      <c r="A972" t="s">
        <v>1040</v>
      </c>
      <c r="B972" t="s">
        <v>84</v>
      </c>
      <c r="C972" t="s">
        <v>40</v>
      </c>
      <c r="D972">
        <v>8571.5499999999993</v>
      </c>
      <c r="E972">
        <v>4</v>
      </c>
      <c r="F972">
        <v>34286.199999999997</v>
      </c>
      <c r="G972" s="1">
        <v>45669</v>
      </c>
      <c r="H972" t="s">
        <v>44</v>
      </c>
      <c r="I972">
        <v>3.9</v>
      </c>
      <c r="J972" t="s">
        <v>53</v>
      </c>
      <c r="K972">
        <v>2025</v>
      </c>
      <c r="L972">
        <v>6857.24</v>
      </c>
      <c r="M972">
        <v>19</v>
      </c>
      <c r="N972" t="s">
        <v>20</v>
      </c>
      <c r="O972" t="s">
        <v>21</v>
      </c>
    </row>
    <row r="973" spans="1:15" x14ac:dyDescent="0.3">
      <c r="A973" t="s">
        <v>1041</v>
      </c>
      <c r="B973" t="s">
        <v>107</v>
      </c>
      <c r="C973" t="s">
        <v>36</v>
      </c>
      <c r="D973">
        <v>23125.33</v>
      </c>
      <c r="E973">
        <v>5</v>
      </c>
      <c r="F973">
        <v>115626.65</v>
      </c>
      <c r="G973" s="1">
        <v>45676</v>
      </c>
      <c r="H973" t="s">
        <v>18</v>
      </c>
      <c r="I973">
        <v>3.7</v>
      </c>
      <c r="J973" t="s">
        <v>53</v>
      </c>
      <c r="K973">
        <v>2025</v>
      </c>
      <c r="L973">
        <v>23125.33</v>
      </c>
      <c r="M973">
        <v>28</v>
      </c>
      <c r="N973" t="s">
        <v>41</v>
      </c>
      <c r="O973" t="s">
        <v>28</v>
      </c>
    </row>
    <row r="974" spans="1:15" x14ac:dyDescent="0.3">
      <c r="A974" t="s">
        <v>1042</v>
      </c>
      <c r="B974" t="s">
        <v>16</v>
      </c>
      <c r="C974" t="s">
        <v>17</v>
      </c>
      <c r="D974">
        <v>5712.21</v>
      </c>
      <c r="E974">
        <v>3</v>
      </c>
      <c r="F974">
        <v>17136.63</v>
      </c>
      <c r="G974" s="1">
        <v>45546</v>
      </c>
      <c r="H974" t="s">
        <v>25</v>
      </c>
      <c r="I974">
        <v>3.6</v>
      </c>
      <c r="J974" t="s">
        <v>19</v>
      </c>
      <c r="K974">
        <v>2024</v>
      </c>
      <c r="L974">
        <v>3427.3260000000005</v>
      </c>
      <c r="M974">
        <v>15</v>
      </c>
      <c r="N974" t="s">
        <v>41</v>
      </c>
      <c r="O974" t="s">
        <v>33</v>
      </c>
    </row>
    <row r="975" spans="1:15" x14ac:dyDescent="0.3">
      <c r="A975" t="s">
        <v>1043</v>
      </c>
      <c r="B975" t="s">
        <v>78</v>
      </c>
      <c r="C975" t="s">
        <v>24</v>
      </c>
      <c r="D975">
        <v>1434.23</v>
      </c>
      <c r="E975">
        <v>2</v>
      </c>
      <c r="F975">
        <v>2868.46</v>
      </c>
      <c r="G975" s="1">
        <v>45375</v>
      </c>
      <c r="H975" t="s">
        <v>25</v>
      </c>
      <c r="I975">
        <v>3.5</v>
      </c>
      <c r="J975" t="s">
        <v>56</v>
      </c>
      <c r="K975">
        <v>2024</v>
      </c>
      <c r="L975">
        <v>573.69200000000001</v>
      </c>
      <c r="M975">
        <v>20</v>
      </c>
      <c r="N975" t="s">
        <v>41</v>
      </c>
      <c r="O975" t="s">
        <v>33</v>
      </c>
    </row>
    <row r="976" spans="1:15" x14ac:dyDescent="0.3">
      <c r="A976" t="s">
        <v>1044</v>
      </c>
      <c r="B976" t="s">
        <v>118</v>
      </c>
      <c r="C976" t="s">
        <v>17</v>
      </c>
      <c r="D976">
        <v>43163.16</v>
      </c>
      <c r="E976">
        <v>2</v>
      </c>
      <c r="F976">
        <v>86326.32</v>
      </c>
      <c r="G976" s="1">
        <v>45635</v>
      </c>
      <c r="H976" t="s">
        <v>18</v>
      </c>
      <c r="I976">
        <v>1.9</v>
      </c>
      <c r="J976" t="s">
        <v>26</v>
      </c>
      <c r="K976">
        <v>2024</v>
      </c>
      <c r="L976">
        <v>17265.264000000003</v>
      </c>
      <c r="M976">
        <v>21</v>
      </c>
      <c r="N976" t="s">
        <v>27</v>
      </c>
      <c r="O976" t="s">
        <v>28</v>
      </c>
    </row>
    <row r="977" spans="1:15" x14ac:dyDescent="0.3">
      <c r="A977" t="s">
        <v>1045</v>
      </c>
      <c r="B977" t="s">
        <v>145</v>
      </c>
      <c r="C977" t="s">
        <v>40</v>
      </c>
      <c r="D977">
        <v>38545.29</v>
      </c>
      <c r="E977">
        <v>1</v>
      </c>
      <c r="F977">
        <v>38545.29</v>
      </c>
      <c r="G977" s="1">
        <v>45541</v>
      </c>
      <c r="H977" t="s">
        <v>44</v>
      </c>
      <c r="I977">
        <v>1.3</v>
      </c>
      <c r="J977" t="s">
        <v>19</v>
      </c>
      <c r="K977">
        <v>2024</v>
      </c>
      <c r="L977">
        <v>7709.0580000000009</v>
      </c>
      <c r="M977">
        <v>30</v>
      </c>
      <c r="N977" t="s">
        <v>27</v>
      </c>
      <c r="O977" t="s">
        <v>33</v>
      </c>
    </row>
    <row r="978" spans="1:15" x14ac:dyDescent="0.3">
      <c r="A978" t="s">
        <v>1046</v>
      </c>
      <c r="B978" t="s">
        <v>61</v>
      </c>
      <c r="C978" t="s">
        <v>31</v>
      </c>
      <c r="D978">
        <v>8188.18</v>
      </c>
      <c r="E978">
        <v>2</v>
      </c>
      <c r="F978">
        <v>16376.36</v>
      </c>
      <c r="G978" s="1">
        <v>45519</v>
      </c>
      <c r="H978" t="s">
        <v>44</v>
      </c>
      <c r="I978">
        <v>1.3</v>
      </c>
      <c r="J978" t="s">
        <v>88</v>
      </c>
      <c r="K978">
        <v>2024</v>
      </c>
      <c r="L978">
        <v>3275.2720000000004</v>
      </c>
      <c r="M978">
        <v>8</v>
      </c>
      <c r="N978" t="s">
        <v>27</v>
      </c>
      <c r="O978" t="s">
        <v>28</v>
      </c>
    </row>
    <row r="979" spans="1:15" x14ac:dyDescent="0.3">
      <c r="A979" t="s">
        <v>1047</v>
      </c>
      <c r="B979" t="s">
        <v>50</v>
      </c>
      <c r="C979" t="s">
        <v>40</v>
      </c>
      <c r="D979">
        <v>35763.480000000003</v>
      </c>
      <c r="E979">
        <v>4</v>
      </c>
      <c r="F979">
        <v>143053.92000000001</v>
      </c>
      <c r="G979" s="1">
        <v>45653</v>
      </c>
      <c r="H979" t="s">
        <v>25</v>
      </c>
      <c r="I979">
        <v>3.7</v>
      </c>
      <c r="J979" t="s">
        <v>26</v>
      </c>
      <c r="K979">
        <v>2024</v>
      </c>
      <c r="L979">
        <v>28610.784000000003</v>
      </c>
      <c r="M979">
        <v>5</v>
      </c>
      <c r="N979" t="s">
        <v>27</v>
      </c>
      <c r="O979" t="s">
        <v>28</v>
      </c>
    </row>
    <row r="980" spans="1:15" x14ac:dyDescent="0.3">
      <c r="A980" t="s">
        <v>1048</v>
      </c>
      <c r="B980" t="s">
        <v>39</v>
      </c>
      <c r="C980" t="s">
        <v>40</v>
      </c>
      <c r="D980">
        <v>10818.91</v>
      </c>
      <c r="E980">
        <v>2</v>
      </c>
      <c r="F980">
        <v>21637.82</v>
      </c>
      <c r="G980" s="1">
        <v>45505</v>
      </c>
      <c r="H980" t="s">
        <v>44</v>
      </c>
      <c r="I980">
        <v>1.8</v>
      </c>
      <c r="J980" t="s">
        <v>88</v>
      </c>
      <c r="K980">
        <v>2024</v>
      </c>
      <c r="L980">
        <v>4327.5640000000003</v>
      </c>
      <c r="M980">
        <v>12</v>
      </c>
      <c r="N980" t="s">
        <v>20</v>
      </c>
      <c r="O980" t="s">
        <v>28</v>
      </c>
    </row>
    <row r="981" spans="1:15" x14ac:dyDescent="0.3">
      <c r="A981" t="s">
        <v>1049</v>
      </c>
      <c r="B981" t="s">
        <v>58</v>
      </c>
      <c r="C981" t="s">
        <v>31</v>
      </c>
      <c r="D981">
        <v>35506.410000000003</v>
      </c>
      <c r="E981">
        <v>5</v>
      </c>
      <c r="F981">
        <v>177532.05</v>
      </c>
      <c r="G981" s="1">
        <v>45350</v>
      </c>
      <c r="H981" t="s">
        <v>44</v>
      </c>
      <c r="I981">
        <v>1.2</v>
      </c>
      <c r="J981" t="s">
        <v>59</v>
      </c>
      <c r="K981">
        <v>2024</v>
      </c>
      <c r="L981">
        <v>35506.409999999996</v>
      </c>
      <c r="M981">
        <v>21</v>
      </c>
      <c r="N981" t="s">
        <v>20</v>
      </c>
      <c r="O981" t="s">
        <v>21</v>
      </c>
    </row>
    <row r="982" spans="1:15" x14ac:dyDescent="0.3">
      <c r="A982" t="s">
        <v>1050</v>
      </c>
      <c r="B982" t="s">
        <v>55</v>
      </c>
      <c r="C982" t="s">
        <v>36</v>
      </c>
      <c r="D982">
        <v>19010.38</v>
      </c>
      <c r="E982">
        <v>5</v>
      </c>
      <c r="F982">
        <v>95051.9</v>
      </c>
      <c r="G982" s="1">
        <v>45501</v>
      </c>
      <c r="H982" t="s">
        <v>44</v>
      </c>
      <c r="I982">
        <v>1.5</v>
      </c>
      <c r="J982" t="s">
        <v>48</v>
      </c>
      <c r="K982">
        <v>2024</v>
      </c>
      <c r="L982">
        <v>19010.38</v>
      </c>
      <c r="M982">
        <v>7</v>
      </c>
      <c r="N982" t="s">
        <v>27</v>
      </c>
      <c r="O982" t="s">
        <v>28</v>
      </c>
    </row>
    <row r="983" spans="1:15" x14ac:dyDescent="0.3">
      <c r="A983" t="s">
        <v>1051</v>
      </c>
      <c r="B983" t="s">
        <v>118</v>
      </c>
      <c r="C983" t="s">
        <v>17</v>
      </c>
      <c r="D983">
        <v>29678.85</v>
      </c>
      <c r="E983">
        <v>3</v>
      </c>
      <c r="F983">
        <v>89036.55</v>
      </c>
      <c r="G983" s="1">
        <v>45590</v>
      </c>
      <c r="H983" t="s">
        <v>25</v>
      </c>
      <c r="I983">
        <v>2.9</v>
      </c>
      <c r="J983" t="s">
        <v>45</v>
      </c>
      <c r="K983">
        <v>2024</v>
      </c>
      <c r="L983">
        <v>17807.310000000001</v>
      </c>
      <c r="M983">
        <v>24</v>
      </c>
      <c r="N983" t="s">
        <v>20</v>
      </c>
      <c r="O983" t="s">
        <v>21</v>
      </c>
    </row>
    <row r="984" spans="1:15" x14ac:dyDescent="0.3">
      <c r="A984" t="s">
        <v>1052</v>
      </c>
      <c r="B984" t="s">
        <v>70</v>
      </c>
      <c r="C984" t="s">
        <v>17</v>
      </c>
      <c r="D984">
        <v>5412.9</v>
      </c>
      <c r="E984">
        <v>5</v>
      </c>
      <c r="F984">
        <v>27064.5</v>
      </c>
      <c r="G984" s="1">
        <v>45473</v>
      </c>
      <c r="H984" t="s">
        <v>64</v>
      </c>
      <c r="I984">
        <v>2.1</v>
      </c>
      <c r="J984" t="s">
        <v>67</v>
      </c>
      <c r="K984">
        <v>2024</v>
      </c>
      <c r="L984">
        <v>5412.9000000000015</v>
      </c>
      <c r="M984">
        <v>19</v>
      </c>
      <c r="N984" t="s">
        <v>41</v>
      </c>
      <c r="O984" t="s">
        <v>28</v>
      </c>
    </row>
    <row r="985" spans="1:15" x14ac:dyDescent="0.3">
      <c r="A985" t="s">
        <v>1053</v>
      </c>
      <c r="B985" t="s">
        <v>23</v>
      </c>
      <c r="C985" t="s">
        <v>24</v>
      </c>
      <c r="D985">
        <v>22890.95</v>
      </c>
      <c r="E985">
        <v>3</v>
      </c>
      <c r="F985">
        <v>68672.850000000006</v>
      </c>
      <c r="G985" s="1">
        <v>45626</v>
      </c>
      <c r="H985" t="s">
        <v>71</v>
      </c>
      <c r="I985">
        <v>3</v>
      </c>
      <c r="J985" t="s">
        <v>37</v>
      </c>
      <c r="K985">
        <v>2024</v>
      </c>
      <c r="L985">
        <v>13734.570000000002</v>
      </c>
      <c r="M985">
        <v>19</v>
      </c>
      <c r="N985" t="s">
        <v>41</v>
      </c>
      <c r="O985" t="s">
        <v>28</v>
      </c>
    </row>
    <row r="986" spans="1:15" x14ac:dyDescent="0.3">
      <c r="A986" t="s">
        <v>1054</v>
      </c>
      <c r="B986" t="s">
        <v>23</v>
      </c>
      <c r="C986" t="s">
        <v>24</v>
      </c>
      <c r="D986">
        <v>40905.69</v>
      </c>
      <c r="E986">
        <v>5</v>
      </c>
      <c r="F986">
        <v>204528.45</v>
      </c>
      <c r="G986" s="1">
        <v>45684</v>
      </c>
      <c r="H986" t="s">
        <v>64</v>
      </c>
      <c r="I986">
        <v>1.9</v>
      </c>
      <c r="J986" t="s">
        <v>53</v>
      </c>
      <c r="K986">
        <v>2025</v>
      </c>
      <c r="L986">
        <v>40905.69</v>
      </c>
      <c r="M986">
        <v>28</v>
      </c>
      <c r="N986" t="s">
        <v>41</v>
      </c>
      <c r="O986" t="s">
        <v>28</v>
      </c>
    </row>
    <row r="987" spans="1:15" x14ac:dyDescent="0.3">
      <c r="A987" t="s">
        <v>1055</v>
      </c>
      <c r="B987" t="s">
        <v>84</v>
      </c>
      <c r="C987" t="s">
        <v>40</v>
      </c>
      <c r="D987">
        <v>17253.669999999998</v>
      </c>
      <c r="E987">
        <v>3</v>
      </c>
      <c r="F987">
        <v>51761.01</v>
      </c>
      <c r="G987" s="1">
        <v>45620</v>
      </c>
      <c r="H987" t="s">
        <v>18</v>
      </c>
      <c r="I987">
        <v>4.5999999999999996</v>
      </c>
      <c r="J987" t="s">
        <v>37</v>
      </c>
      <c r="K987">
        <v>2024</v>
      </c>
      <c r="L987">
        <v>10352.202000000001</v>
      </c>
      <c r="M987">
        <v>26</v>
      </c>
      <c r="N987" t="s">
        <v>27</v>
      </c>
      <c r="O987" t="s">
        <v>33</v>
      </c>
    </row>
    <row r="988" spans="1:15" x14ac:dyDescent="0.3">
      <c r="A988" t="s">
        <v>1056</v>
      </c>
      <c r="B988" t="s">
        <v>16</v>
      </c>
      <c r="C988" t="s">
        <v>17</v>
      </c>
      <c r="D988">
        <v>27920.2</v>
      </c>
      <c r="E988">
        <v>5</v>
      </c>
      <c r="F988">
        <v>139601</v>
      </c>
      <c r="G988" s="1">
        <v>45336</v>
      </c>
      <c r="H988" t="s">
        <v>44</v>
      </c>
      <c r="I988">
        <v>2.7</v>
      </c>
      <c r="J988" t="s">
        <v>59</v>
      </c>
      <c r="K988">
        <v>2024</v>
      </c>
      <c r="L988">
        <v>27920.2</v>
      </c>
      <c r="M988">
        <v>18</v>
      </c>
      <c r="N988" t="s">
        <v>41</v>
      </c>
      <c r="O988" t="s">
        <v>21</v>
      </c>
    </row>
    <row r="989" spans="1:15" x14ac:dyDescent="0.3">
      <c r="A989" t="s">
        <v>1057</v>
      </c>
      <c r="B989" t="s">
        <v>52</v>
      </c>
      <c r="C989" t="s">
        <v>24</v>
      </c>
      <c r="D989">
        <v>46055.88</v>
      </c>
      <c r="E989">
        <v>5</v>
      </c>
      <c r="F989">
        <v>230279.4</v>
      </c>
      <c r="G989" s="1">
        <v>45632</v>
      </c>
      <c r="H989" t="s">
        <v>64</v>
      </c>
      <c r="I989">
        <v>4.2</v>
      </c>
      <c r="J989" t="s">
        <v>26</v>
      </c>
      <c r="K989">
        <v>2024</v>
      </c>
      <c r="L989">
        <v>46055.880000000005</v>
      </c>
      <c r="M989">
        <v>30</v>
      </c>
      <c r="N989" t="s">
        <v>20</v>
      </c>
      <c r="O989" t="s">
        <v>21</v>
      </c>
    </row>
    <row r="990" spans="1:15" x14ac:dyDescent="0.3">
      <c r="A990" t="s">
        <v>1058</v>
      </c>
      <c r="B990" t="s">
        <v>35</v>
      </c>
      <c r="C990" t="s">
        <v>36</v>
      </c>
      <c r="D990">
        <v>49569.3</v>
      </c>
      <c r="E990">
        <v>4</v>
      </c>
      <c r="F990">
        <v>198277.2</v>
      </c>
      <c r="G990" s="1">
        <v>45423</v>
      </c>
      <c r="H990" t="s">
        <v>64</v>
      </c>
      <c r="I990">
        <v>1.2</v>
      </c>
      <c r="J990" t="s">
        <v>32</v>
      </c>
      <c r="K990">
        <v>2024</v>
      </c>
      <c r="L990">
        <v>39655.440000000002</v>
      </c>
      <c r="M990">
        <v>27</v>
      </c>
      <c r="N990" t="s">
        <v>27</v>
      </c>
      <c r="O990" t="s">
        <v>28</v>
      </c>
    </row>
    <row r="991" spans="1:15" x14ac:dyDescent="0.3">
      <c r="A991" t="s">
        <v>1059</v>
      </c>
      <c r="B991" t="s">
        <v>16</v>
      </c>
      <c r="C991" t="s">
        <v>17</v>
      </c>
      <c r="D991">
        <v>35948.160000000003</v>
      </c>
      <c r="E991">
        <v>5</v>
      </c>
      <c r="F991">
        <v>179740.79999999999</v>
      </c>
      <c r="G991" s="1">
        <v>45595</v>
      </c>
      <c r="H991" t="s">
        <v>44</v>
      </c>
      <c r="I991">
        <v>2.5</v>
      </c>
      <c r="J991" t="s">
        <v>45</v>
      </c>
      <c r="K991">
        <v>2024</v>
      </c>
      <c r="L991">
        <v>35948.159999999996</v>
      </c>
      <c r="M991">
        <v>18</v>
      </c>
      <c r="N991" t="s">
        <v>20</v>
      </c>
      <c r="O991" t="s">
        <v>28</v>
      </c>
    </row>
    <row r="992" spans="1:15" x14ac:dyDescent="0.3">
      <c r="A992" t="s">
        <v>1060</v>
      </c>
      <c r="B992" t="s">
        <v>118</v>
      </c>
      <c r="C992" t="s">
        <v>17</v>
      </c>
      <c r="D992">
        <v>9189.91</v>
      </c>
      <c r="E992">
        <v>5</v>
      </c>
      <c r="F992">
        <v>45949.55</v>
      </c>
      <c r="G992" s="1">
        <v>45501</v>
      </c>
      <c r="H992" t="s">
        <v>44</v>
      </c>
      <c r="I992">
        <v>4.9000000000000004</v>
      </c>
      <c r="J992" t="s">
        <v>48</v>
      </c>
      <c r="K992">
        <v>2024</v>
      </c>
      <c r="L992">
        <v>9189.9100000000017</v>
      </c>
      <c r="M992">
        <v>28</v>
      </c>
      <c r="N992" t="s">
        <v>41</v>
      </c>
      <c r="O992" t="s">
        <v>33</v>
      </c>
    </row>
    <row r="993" spans="1:15" x14ac:dyDescent="0.3">
      <c r="A993" t="s">
        <v>1061</v>
      </c>
      <c r="B993" t="s">
        <v>43</v>
      </c>
      <c r="C993" t="s">
        <v>40</v>
      </c>
      <c r="D993">
        <v>6075.65</v>
      </c>
      <c r="E993">
        <v>2</v>
      </c>
      <c r="F993">
        <v>12151.3</v>
      </c>
      <c r="G993" s="1">
        <v>45357</v>
      </c>
      <c r="H993" t="s">
        <v>71</v>
      </c>
      <c r="I993">
        <v>2.1</v>
      </c>
      <c r="J993" t="s">
        <v>56</v>
      </c>
      <c r="K993">
        <v>2024</v>
      </c>
      <c r="L993">
        <v>2430.2599999999998</v>
      </c>
      <c r="M993">
        <v>6</v>
      </c>
      <c r="N993" t="s">
        <v>41</v>
      </c>
      <c r="O993" t="s">
        <v>33</v>
      </c>
    </row>
    <row r="994" spans="1:15" x14ac:dyDescent="0.3">
      <c r="A994" t="s">
        <v>1062</v>
      </c>
      <c r="B994" t="s">
        <v>43</v>
      </c>
      <c r="C994" t="s">
        <v>40</v>
      </c>
      <c r="D994">
        <v>25511.46</v>
      </c>
      <c r="E994">
        <v>2</v>
      </c>
      <c r="F994">
        <v>51022.92</v>
      </c>
      <c r="G994" s="1">
        <v>45623</v>
      </c>
      <c r="H994" t="s">
        <v>80</v>
      </c>
      <c r="I994">
        <v>3.7</v>
      </c>
      <c r="J994" t="s">
        <v>37</v>
      </c>
      <c r="K994">
        <v>2024</v>
      </c>
      <c r="L994">
        <v>10204.584000000001</v>
      </c>
      <c r="M994">
        <v>17</v>
      </c>
      <c r="N994" t="s">
        <v>41</v>
      </c>
      <c r="O994" t="s">
        <v>33</v>
      </c>
    </row>
    <row r="995" spans="1:15" x14ac:dyDescent="0.3">
      <c r="A995" t="s">
        <v>1063</v>
      </c>
      <c r="B995" t="s">
        <v>43</v>
      </c>
      <c r="C995" t="s">
        <v>40</v>
      </c>
      <c r="D995">
        <v>5815.52</v>
      </c>
      <c r="E995">
        <v>4</v>
      </c>
      <c r="F995">
        <v>23262.080000000002</v>
      </c>
      <c r="G995" s="1">
        <v>45577</v>
      </c>
      <c r="H995" t="s">
        <v>25</v>
      </c>
      <c r="I995">
        <v>2.2000000000000002</v>
      </c>
      <c r="J995" t="s">
        <v>45</v>
      </c>
      <c r="K995">
        <v>2024</v>
      </c>
      <c r="L995">
        <v>4652.4160000000002</v>
      </c>
      <c r="M995">
        <v>30</v>
      </c>
      <c r="N995" t="s">
        <v>27</v>
      </c>
      <c r="O995" t="s">
        <v>21</v>
      </c>
    </row>
    <row r="996" spans="1:15" x14ac:dyDescent="0.3">
      <c r="A996" t="s">
        <v>1064</v>
      </c>
      <c r="B996" t="s">
        <v>47</v>
      </c>
      <c r="C996" t="s">
        <v>24</v>
      </c>
      <c r="D996">
        <v>11479.89</v>
      </c>
      <c r="E996">
        <v>3</v>
      </c>
      <c r="F996">
        <v>34439.67</v>
      </c>
      <c r="G996" s="1">
        <v>45503</v>
      </c>
      <c r="H996" t="s">
        <v>80</v>
      </c>
      <c r="I996">
        <v>2.5</v>
      </c>
      <c r="J996" t="s">
        <v>48</v>
      </c>
      <c r="K996">
        <v>2024</v>
      </c>
      <c r="L996">
        <v>6887.9340000000002</v>
      </c>
      <c r="M996">
        <v>18</v>
      </c>
      <c r="N996" t="s">
        <v>20</v>
      </c>
      <c r="O996" t="s">
        <v>21</v>
      </c>
    </row>
    <row r="997" spans="1:15" x14ac:dyDescent="0.3">
      <c r="A997" t="s">
        <v>1065</v>
      </c>
      <c r="B997" t="s">
        <v>66</v>
      </c>
      <c r="C997" t="s">
        <v>36</v>
      </c>
      <c r="D997">
        <v>28995.81</v>
      </c>
      <c r="E997">
        <v>3</v>
      </c>
      <c r="F997">
        <v>86987.43</v>
      </c>
      <c r="G997" s="1">
        <v>45670</v>
      </c>
      <c r="H997" t="s">
        <v>64</v>
      </c>
      <c r="I997">
        <v>5</v>
      </c>
      <c r="J997" t="s">
        <v>53</v>
      </c>
      <c r="K997">
        <v>2025</v>
      </c>
      <c r="L997">
        <v>17397.486000000001</v>
      </c>
      <c r="M997">
        <v>28</v>
      </c>
      <c r="N997" t="s">
        <v>27</v>
      </c>
      <c r="O997" t="s">
        <v>21</v>
      </c>
    </row>
    <row r="998" spans="1:15" x14ac:dyDescent="0.3">
      <c r="A998" t="s">
        <v>1066</v>
      </c>
      <c r="B998" t="s">
        <v>58</v>
      </c>
      <c r="C998" t="s">
        <v>31</v>
      </c>
      <c r="D998">
        <v>32799.51</v>
      </c>
      <c r="E998">
        <v>2</v>
      </c>
      <c r="F998">
        <v>65599.02</v>
      </c>
      <c r="G998" s="1">
        <v>45644</v>
      </c>
      <c r="H998" t="s">
        <v>44</v>
      </c>
      <c r="I998">
        <v>2.4</v>
      </c>
      <c r="J998" t="s">
        <v>26</v>
      </c>
      <c r="K998">
        <v>2024</v>
      </c>
      <c r="L998">
        <v>13119.804000000002</v>
      </c>
      <c r="M998">
        <v>23</v>
      </c>
      <c r="N998" t="s">
        <v>27</v>
      </c>
      <c r="O998" t="s">
        <v>28</v>
      </c>
    </row>
    <row r="999" spans="1:15" x14ac:dyDescent="0.3">
      <c r="A999" t="s">
        <v>1067</v>
      </c>
      <c r="B999" t="s">
        <v>30</v>
      </c>
      <c r="C999" t="s">
        <v>31</v>
      </c>
      <c r="D999">
        <v>40840.800000000003</v>
      </c>
      <c r="E999">
        <v>1</v>
      </c>
      <c r="F999">
        <v>40840.800000000003</v>
      </c>
      <c r="G999" s="1">
        <v>45499</v>
      </c>
      <c r="H999" t="s">
        <v>25</v>
      </c>
      <c r="I999">
        <v>3.1</v>
      </c>
      <c r="J999" t="s">
        <v>48</v>
      </c>
      <c r="K999">
        <v>2024</v>
      </c>
      <c r="L999">
        <v>8168.1600000000008</v>
      </c>
      <c r="M999">
        <v>11</v>
      </c>
      <c r="N999" t="s">
        <v>41</v>
      </c>
      <c r="O999" t="s">
        <v>21</v>
      </c>
    </row>
    <row r="1000" spans="1:15" x14ac:dyDescent="0.3">
      <c r="A1000" t="s">
        <v>1068</v>
      </c>
      <c r="B1000" t="s">
        <v>39</v>
      </c>
      <c r="C1000" t="s">
        <v>40</v>
      </c>
      <c r="D1000">
        <v>34741.79</v>
      </c>
      <c r="E1000">
        <v>4</v>
      </c>
      <c r="F1000">
        <v>138967.16</v>
      </c>
      <c r="G1000" s="1">
        <v>45567</v>
      </c>
      <c r="H1000" t="s">
        <v>80</v>
      </c>
      <c r="I1000">
        <v>3.2</v>
      </c>
      <c r="J1000" t="s">
        <v>45</v>
      </c>
      <c r="K1000">
        <v>2024</v>
      </c>
      <c r="L1000">
        <v>27793.432000000001</v>
      </c>
      <c r="M1000">
        <v>7</v>
      </c>
      <c r="N1000" t="s">
        <v>27</v>
      </c>
      <c r="O1000" t="s">
        <v>68</v>
      </c>
    </row>
    <row r="1001" spans="1:15" x14ac:dyDescent="0.3">
      <c r="A1001" t="s">
        <v>1069</v>
      </c>
      <c r="B1001" t="s">
        <v>50</v>
      </c>
      <c r="C1001" t="s">
        <v>40</v>
      </c>
      <c r="D1001">
        <v>16698.12</v>
      </c>
      <c r="E1001">
        <v>4</v>
      </c>
      <c r="F1001">
        <v>66792.479999999996</v>
      </c>
      <c r="G1001" s="1">
        <v>45377</v>
      </c>
      <c r="H1001" t="s">
        <v>71</v>
      </c>
      <c r="I1001">
        <v>1.6</v>
      </c>
      <c r="J1001" t="s">
        <v>56</v>
      </c>
      <c r="K1001">
        <v>2024</v>
      </c>
      <c r="L1001">
        <v>13358.495999999999</v>
      </c>
      <c r="M1001">
        <v>19</v>
      </c>
      <c r="N1001" t="s">
        <v>27</v>
      </c>
      <c r="O1001" t="s">
        <v>68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EA02AC0-B589-474F-85F5-FC2C9C0F573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Pivot_Analysis</vt:lpstr>
      <vt:lpstr>Calculations</vt:lpstr>
      <vt:lpstr>Data_Quality</vt:lpstr>
      <vt:lpstr>Cleaned_Data</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ASHISH VERMA</dc:creator>
  <cp:lastModifiedBy>ASHISH VERMA</cp:lastModifiedBy>
  <dcterms:created xsi:type="dcterms:W3CDTF">2026-07-29T06:13:06Z</dcterms:created>
  <dcterms:modified xsi:type="dcterms:W3CDTF">2026-08-01T10:46:45Z</dcterms:modified>
</cp:coreProperties>
</file>